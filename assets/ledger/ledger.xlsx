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3126.00</v>
      </c>
      <c r="C14" s="3">
        <f>'Sep 2026'!$B$6</f>
        <v>2841.18</v>
      </c>
      <c r="D14" s="3">
        <f>'Sep 2026'!$B$7</f>
        <v>0</v>
      </c>
      <c r="E14" s="3">
        <f>'Sep 2026'!$B$8</f>
        <v>106.00</v>
      </c>
      <c r="F14" s="3">
        <f>'Sep 2026'!$B$9</f>
        <v>284.82</v>
      </c>
      <c r="G14" s="3">
        <f>'Sep 2026'!$B$10</f>
        <v>9127.06</v>
      </c>
    </row>
    <row r="15">
      <c r="A15" s="5" t="inlineStr">
        <is>
          <t>Oct 2026</t>
        </is>
      </c>
      <c r="B15" s="3">
        <f>'Oct 2026'!$B$5</f>
        <v>0</v>
      </c>
      <c r="C15" s="3">
        <f>'Oct 2026'!$B$6</f>
        <v>1536.47</v>
      </c>
      <c r="D15" s="3">
        <f>'Oct 2026'!$B$7</f>
        <v>0</v>
      </c>
      <c r="E15" s="3">
        <f>'Oct 2026'!$B$8</f>
        <v>0.00</v>
      </c>
      <c r="F15" s="3">
        <f>'Oct 2026'!$B$9</f>
        <v>-1536.47</v>
      </c>
      <c r="G15" s="3">
        <f>'Oct 2026'!$B$10</f>
        <v>7590.59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8114.00</v>
      </c>
      <c r="C18" s="3">
        <f>SUM(C6:C17)</f>
        <v>7119.21</v>
      </c>
      <c r="D18" s="3">
        <f>SUM(D6:D17)</f>
        <v>7300.0</v>
      </c>
      <c r="E18" s="3">
        <f>SUM(E6:E17)</f>
        <v>1806.00</v>
      </c>
      <c r="F18" s="3">
        <f>SUM(F6:F17)</f>
        <v>994.79</v>
      </c>
      <c r="G18" s="3">
        <f>LOOKUP(2,1/(G6:G17&lt;&gt;0),G6:G17)</f>
        <v>7590.59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3300.00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-3300.00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117.91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-117.91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757.58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-757.58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1053.29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-1053.29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298.10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-298.10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521.78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-521.78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543.59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-543.59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218.79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-218.79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8114.00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8114.00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0.00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0.00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7300</v>
      </c>
      <c r="E41" s="3">
        <f>C41+D41-B41</f>
        <v>7300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0.00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0.00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amounts; expense reimbursements use negative amounts to reduce the original category.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3126.00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2841.18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106.00</v>
      </c>
      <c r="D8" s="5" t="inlineStr">
        <is>
          <t>Groceries</t>
        </is>
      </c>
      <c r="E8" s="3">
        <f>SUMIFS($J$29:$J$528,$E$29:$E$528,$D8,$I$29:$I$528,"Expense")</f>
        <v>264.75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122.99</v>
      </c>
      <c r="J8" s="3">
        <f>SUMIFS($J$29:$J$528,$B$29:$B$528,3,$I$29:$I$528,"Income")</f>
        <v>30.00</v>
      </c>
      <c r="K8" s="3">
        <f>J8-I8</f>
        <v>-92.99</v>
      </c>
    </row>
    <row r="9">
      <c r="A9" s="5" t="inlineStr">
        <is>
          <t>Net Cash Flow</t>
        </is>
      </c>
      <c r="B9" s="3">
        <f>B5-B6</f>
        <v>284.82</v>
      </c>
      <c r="D9" s="5" t="inlineStr">
        <is>
          <t>Dining</t>
        </is>
      </c>
      <c r="E9" s="3">
        <f>SUMIFS($J$29:$J$528,$E$29:$E$528,$D9,$I$29:$I$528,"Expense")</f>
        <v>567.13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396.47</v>
      </c>
      <c r="J9" s="3">
        <f>SUMIFS($J$29:$J$528,$B$29:$B$528,4,$I$29:$I$528,"Income")</f>
        <v>0</v>
      </c>
      <c r="K9" s="3">
        <f>J9-I9</f>
        <v>-396.47</v>
      </c>
    </row>
    <row r="10">
      <c r="A10" s="5" t="inlineStr">
        <is>
          <t>Current Balance</t>
        </is>
      </c>
      <c r="B10" s="3">
        <v>9127.06</v>
      </c>
      <c r="D10" s="5" t="inlineStr">
        <is>
          <t>Transportation</t>
        </is>
      </c>
      <c r="E10" s="3">
        <f>SUMIFS($J$29:$J$528,$E$29:$E$528,$D10,$I$29:$I$528,"Expense")</f>
        <v>152.65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308.97</v>
      </c>
      <c r="J10" s="3">
        <f>SUMIFS($J$29:$J$528,$B$29:$B$528,5,$I$29:$I$528,"Income")</f>
        <v>1548.00</v>
      </c>
      <c r="K10" s="3">
        <f>J10-I10</f>
        <v>1239.03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2841.18</v>
      </c>
      <c r="J11" s="3">
        <f>B5</f>
        <v>3126.00</v>
      </c>
      <c r="K11" s="3">
        <f>J11-I11</f>
        <v>284.82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A13" t="inlineStr" s="1">
        <is>
          <t>Venmo/Zelle Alcohol Settlement</t>
        </is>
      </c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A14" t="inlineStr">
        <is>
          <t>Paid (+ expense)</t>
        </is>
      </c>
      <c r="B14" s="3">
        <f>SUMIFS($J$29:$J$528,$F$29:$F$528,"Alcohol settlement",$I$29:$I$528,"Expense",$J$29:$J$528,"&gt;0")</f>
        <v>46.36</v>
      </c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A15" t="inlineStr">
        <is>
          <t>Received (- expense)</t>
        </is>
      </c>
      <c r="B15" s="3">
        <f>SUMIFS($J$29:$J$528,$F$29:$F$528,"Alcohol settlement",$I$29:$I$528,"Expense",$J$29:$J$528,"&lt;0")</f>
        <v>-44</v>
      </c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A16" t="inlineStr">
        <is>
          <t>Net Alcohol Expense</t>
        </is>
      </c>
      <c r="B16" s="3">
        <f>SUM(B14:B15)</f>
        <v>2.36</v>
      </c>
      <c r="D16" s="5" t="inlineStr">
        <is>
          <t>Shopping</t>
        </is>
      </c>
      <c r="E16" s="3">
        <f>SUMIFS($J$29:$J$528,$E$29:$E$528,$D16,$I$29:$I$528,"Expense")</f>
        <v>395.68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210.77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3126.00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0.00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>
        <v>46282</v>
      </c>
      <c r="B89" s="9">
        <f>IF(A89="","",INT(DAY(A89)/7)+1)</f>
        <v>3</v>
      </c>
      <c r="C89" s="9" t="inlineStr">
        <is>
          <t>MTA*NYCT PAYGO NEW YORK NY 09/16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9월 3주차; Chase Secure (...0119); Posted 2026-09-17; Balance shown: $8,296.71</t>
        </is>
      </c>
    </row>
    <row r="90">
      <c r="A90" s="4">
        <v>46282</v>
      </c>
      <c r="B90" s="9">
        <f>IF(A90="","",INT(DAY(A90)/7)+1)</f>
        <v>3</v>
      </c>
      <c r="C90" s="9" t="inlineStr">
        <is>
          <t>MTA*NYCT PAYGO NEW YORK NY 09/16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9월 3주차; Chase Secure (...0119); Posted 2026-09-17; Balance shown: $8,299.71</t>
        </is>
      </c>
    </row>
    <row r="91">
      <c r="A91" s="4">
        <v>46283</v>
      </c>
      <c r="B91" s="9">
        <f>IF(A91="","",INT(DAY(A91)/7)+1)</f>
        <v>3</v>
      </c>
      <c r="C91" s="9" t="inlineStr">
        <is>
          <t>MTA*NYCT PAYGO NEW YORK NY 09/17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9월 3주차; Chase Secure (...0119); Posted 2026-09-18; Balance shown: $8,284.50</t>
        </is>
      </c>
    </row>
    <row r="92">
      <c r="A92" s="4">
        <v>46283</v>
      </c>
      <c r="B92" s="9">
        <f>IF(A92="","",INT(DAY(A92)/7)+1)</f>
        <v>3</v>
      </c>
      <c r="C92" s="9" t="inlineStr">
        <is>
          <t>MTA*NYCT PAYGO NEW YORK NY 09/17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9월 3주차; Chase Secure (...0119); Posted 2026-09-18; Balance shown: $8,287.50</t>
        </is>
      </c>
    </row>
    <row r="93">
      <c r="A93" s="4">
        <v>46283</v>
      </c>
      <c r="B93" s="9">
        <f>IF(A93="","",INT(DAY(A93)/7)+1)</f>
        <v>3</v>
      </c>
      <c r="C93" s="9" t="inlineStr">
        <is>
          <t>99 CENT SUPREME PIZZA BROOKLYN NY 09/16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6.21</v>
      </c>
      <c r="K93" s="9" t="inlineStr">
        <is>
          <t>9월 3주차; Chase Secure (...0119); Posted 2026-09-18; Balance shown: $8,290.50</t>
        </is>
      </c>
    </row>
    <row r="94">
      <c r="A94" s="4">
        <v>46286</v>
      </c>
      <c r="B94" s="9">
        <f>IF(A94="","",INT(DAY(A94)/7)+1)</f>
        <v>4</v>
      </c>
      <c r="C94" s="9" t="inlineStr">
        <is>
          <t>Zelle payment to chefp095 30897691612</t>
        </is>
      </c>
      <c r="D94" s="9" t="inlineStr">
        <is>
          <t>chefp095</t>
        </is>
      </c>
      <c r="E94" s="9" t="inlineStr">
        <is>
          <t>Dining</t>
        </is>
      </c>
      <c r="F94" s="9" t="inlineStr">
        <is>
          <t>Alcohol settlement</t>
        </is>
      </c>
      <c r="G94" s="9" t="inlineStr">
        <is>
          <t>Checking</t>
        </is>
      </c>
      <c r="H94" s="9" t="inlineStr">
        <is>
          <t>Venmo/Zelle/PayPal</t>
        </is>
      </c>
      <c r="I94" s="9" t="inlineStr">
        <is>
          <t>Expense</t>
        </is>
      </c>
      <c r="J94" s="3">
        <v>18.68</v>
      </c>
      <c r="K94" s="9" t="inlineStr">
        <is>
          <t>9월 4주차; Chase Secure (...0119); Posted 2026-09-21; Balance shown: $8,039.59; 술값 정산; Alcohol expense</t>
        </is>
      </c>
    </row>
    <row r="95">
      <c r="A95" s="4">
        <v>46286</v>
      </c>
      <c r="B95" s="9">
        <f>IF(A95="","",INT(DAY(A95)/7)+1)</f>
        <v>4</v>
      </c>
      <c r="C95" s="9" t="inlineStr">
        <is>
          <t>KENKA RESTAURANT 212-2546363 NY 09/20 (...0119)</t>
        </is>
      </c>
      <c r="D95" s="9" t="inlineStr">
        <is>
          <t>KENKA RESTAURANT 212-2546363 NY 09/20 (...0119)</t>
        </is>
      </c>
      <c r="E95" s="9" t="inlineStr">
        <is>
          <t>Dining</t>
        </is>
      </c>
      <c r="F95" s="9" t="inlineStr">
        <is>
          <t>Restaurant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50.00</v>
      </c>
      <c r="K95" s="9" t="inlineStr">
        <is>
          <t>9월 4주차; Chase Secure (...0119); Posted 2026-09-21; Balance shown: $8,058.27</t>
        </is>
      </c>
    </row>
    <row r="96">
      <c r="A96" s="4">
        <v>46286</v>
      </c>
      <c r="B96" s="9">
        <f>IF(A96="","",INT(DAY(A96)/7)+1)</f>
        <v>4</v>
      </c>
      <c r="C96" s="9" t="inlineStr">
        <is>
          <t>Zelle payment to ROCKWON SEO JPM99cx86i2u</t>
        </is>
      </c>
      <c r="D96" s="9" t="inlineStr">
        <is>
          <t>ROCKWON SEO</t>
        </is>
      </c>
      <c r="E96" s="9" t="inlineStr">
        <is>
          <t>Dining</t>
        </is>
      </c>
      <c r="F96" s="9" t="inlineStr">
        <is>
          <t>Alcohol settlement</t>
        </is>
      </c>
      <c r="G96" s="9" t="inlineStr">
        <is>
          <t>Checking</t>
        </is>
      </c>
      <c r="H96" s="9" t="inlineStr">
        <is>
          <t>Venmo/Zelle/PayPal</t>
        </is>
      </c>
      <c r="I96" s="9" t="inlineStr">
        <is>
          <t>Expense</t>
        </is>
      </c>
      <c r="J96" s="3">
        <v>23.22</v>
      </c>
      <c r="K96" s="9" t="inlineStr">
        <is>
          <t>9월 4주차; Chase Secure (...0119); Posted 2026-09-21; Balance shown: $8,108.27; 술값 정산; Alcohol expense</t>
        </is>
      </c>
    </row>
    <row r="97">
      <c r="A97" s="4">
        <v>46286</v>
      </c>
      <c r="B97" s="9">
        <f>IF(A97="","",INT(DAY(A97)/7)+1)</f>
        <v>4</v>
      </c>
      <c r="C97" s="9" t="inlineStr">
        <is>
          <t>Zelle payment to JI HOON PARK JPM99cx86a98</t>
        </is>
      </c>
      <c r="D97" s="9" t="inlineStr">
        <is>
          <t>JI HOON PARK</t>
        </is>
      </c>
      <c r="E97" s="9" t="inlineStr">
        <is>
          <t>Dining</t>
        </is>
      </c>
      <c r="F97" s="9" t="inlineStr">
        <is>
          <t>Alcohol settlement</t>
        </is>
      </c>
      <c r="G97" s="9" t="inlineStr">
        <is>
          <t>Checking</t>
        </is>
      </c>
      <c r="H97" s="9" t="inlineStr">
        <is>
          <t>Venmo/Zelle/PayPal</t>
        </is>
      </c>
      <c r="I97" s="9" t="inlineStr">
        <is>
          <t>Expense</t>
        </is>
      </c>
      <c r="J97" s="3">
        <v>4.46</v>
      </c>
      <c r="K97" s="9" t="inlineStr">
        <is>
          <t>9월 4주차; Chase Secure (...0119); Posted 2026-09-21; Balance shown: $8,131.49; 술값 정산; Alcohol expense</t>
        </is>
      </c>
    </row>
    <row r="98">
      <c r="A98" s="4">
        <v>46286</v>
      </c>
      <c r="B98" s="9">
        <f>IF(A98="","",INT(DAY(A98)/7)+1)</f>
        <v>4</v>
      </c>
      <c r="C98" s="9" t="inlineStr">
        <is>
          <t>ON THE RUN FOOD TRUCK NORTH BERGEN NJ 09/20 (...0119)</t>
        </is>
      </c>
      <c r="D98" s="9" t="inlineStr">
        <is>
          <t>ON THE RUN FOOD TRUCK NORTH BERGEN NJ 09/20 (...0119)</t>
        </is>
      </c>
      <c r="E98" s="9" t="inlineStr">
        <is>
          <t>Dining</t>
        </is>
      </c>
      <c r="F98" s="9" t="inlineStr">
        <is>
          <t>Restaurant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3.27</v>
      </c>
      <c r="K98" s="9" t="inlineStr">
        <is>
          <t>9월 4주차; Chase Secure (...0119); Posted 2026-09-21; Balance shown: $8,135.95</t>
        </is>
      </c>
    </row>
    <row r="99">
      <c r="A99" s="4">
        <v>46286</v>
      </c>
      <c r="B99" s="9">
        <f>IF(A99="","",INT(DAY(A99)/7)+1)</f>
        <v>4</v>
      </c>
      <c r="C99" s="9" t="inlineStr">
        <is>
          <t>TST* 7TH STREET BURGER NEW YORK NY 09/21 (...0119)</t>
        </is>
      </c>
      <c r="D99" s="9" t="inlineStr">
        <is>
          <t>TST* 7TH STREET BURGER</t>
        </is>
      </c>
      <c r="E99" s="9" t="inlineStr">
        <is>
          <t>Dining</t>
        </is>
      </c>
      <c r="F99" s="9" t="inlineStr">
        <is>
          <t>Restaurant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28.86</v>
      </c>
      <c r="K99" s="9" t="inlineStr">
        <is>
          <t>9월 4주차; Chase Secure (...0119); Posted 2026-09-21; Balance shown: $8,139.22</t>
        </is>
      </c>
    </row>
    <row r="100">
      <c r="A100" s="4">
        <v>46286</v>
      </c>
      <c r="B100" s="9">
        <f>IF(A100="","",INT(DAY(A100)/7)+1)</f>
        <v>4</v>
      </c>
      <c r="C100" s="9" t="inlineStr">
        <is>
          <t>MTA*NYCT PAYGO NEW YORK NY 09/20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2.00</v>
      </c>
      <c r="K100" s="9" t="inlineStr">
        <is>
          <t>9월 4주차; Chase Secure (...0119); Posted 2026-09-21; Balance shown: $8,168.08</t>
        </is>
      </c>
    </row>
    <row r="101">
      <c r="A101" s="4">
        <v>46286</v>
      </c>
      <c r="B101" s="9">
        <f>IF(A101="","",INT(DAY(A101)/7)+1)</f>
        <v>4</v>
      </c>
      <c r="C101" s="9" t="inlineStr">
        <is>
          <t>MTA*NYCT PAYGO NEW YORK NY 09/19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3.00</v>
      </c>
      <c r="K101" s="9" t="inlineStr">
        <is>
          <t>9월 4주차; Chase Secure (...0119); Posted 2026-09-21; Balance shown: $8,170.08</t>
        </is>
      </c>
    </row>
    <row r="102">
      <c r="A102" s="4">
        <v>46286</v>
      </c>
      <c r="B102" s="9">
        <f>IF(A102="","",INT(DAY(A102)/7)+1)</f>
        <v>4</v>
      </c>
      <c r="C102" s="9" t="inlineStr">
        <is>
          <t>MTA*NYCT PAYGO NEW YORK NY 09/19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3.00</v>
      </c>
      <c r="K102" s="9" t="inlineStr">
        <is>
          <t>9월 4주차; Chase Secure (...0119); Posted 2026-09-21; Balance shown: $8,173.08</t>
        </is>
      </c>
    </row>
    <row r="103">
      <c r="A103" s="4">
        <v>46286</v>
      </c>
      <c r="B103" s="9">
        <f>IF(A103="","",INT(DAY(A103)/7)+1)</f>
        <v>4</v>
      </c>
      <c r="C103" s="9" t="inlineStr">
        <is>
          <t>CUTE GIFTS &amp; CONVENIENC NEW YORK NY 09/19 (...0119)</t>
        </is>
      </c>
      <c r="D103" s="9" t="inlineStr">
        <is>
          <t>CUTE GIFTS &amp; CONVENIENC</t>
        </is>
      </c>
      <c r="E103" s="9" t="inlineStr">
        <is>
          <t>Shopping</t>
        </is>
      </c>
      <c r="F103" s="9" t="inlineStr">
        <is>
          <t>Convenience store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5.20</v>
      </c>
      <c r="K103" s="9" t="inlineStr">
        <is>
          <t>9월 4주차; Chase Secure (...0119); Posted 2026-09-21; Balance shown: $8,176.08; Category inferred from merchant</t>
        </is>
      </c>
    </row>
    <row r="104">
      <c r="A104" s="4">
        <v>46286</v>
      </c>
      <c r="B104" s="9">
        <f>IF(A104="","",INT(DAY(A104)/7)+1)</f>
        <v>4</v>
      </c>
      <c r="C104" s="9" t="inlineStr">
        <is>
          <t>MTA*NYCT PAYGO NEW YORK NY 09/19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3.00</v>
      </c>
      <c r="K104" s="9" t="inlineStr">
        <is>
          <t>9월 4주차; Chase Secure (...0119); Posted 2026-09-21; Balance shown: $8,181.28</t>
        </is>
      </c>
    </row>
    <row r="105">
      <c r="A105" s="4">
        <v>46286</v>
      </c>
      <c r="B105" s="9">
        <f>IF(A105="","",INT(DAY(A105)/7)+1)</f>
        <v>4</v>
      </c>
      <c r="C105" s="9" t="inlineStr">
        <is>
          <t>KODACHAYA 1ST FLOOR 131-27305592 NY 09/19 (...0119)</t>
        </is>
      </c>
      <c r="D105" s="9" t="inlineStr">
        <is>
          <t>KODACHAYA 1ST FLOOR 131-27305592 NY 09/19 (...0119)</t>
        </is>
      </c>
      <c r="E105" s="9" t="inlineStr">
        <is>
          <t>Dining</t>
        </is>
      </c>
      <c r="F105" s="9" t="inlineStr">
        <is>
          <t>Restaurant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42.47</v>
      </c>
      <c r="K105" s="9" t="inlineStr">
        <is>
          <t>9월 4주차; Chase Secure (...0119); Posted 2026-09-21; Balance shown: $8,184.28</t>
        </is>
      </c>
    </row>
    <row r="106">
      <c r="A106" s="4">
        <v>46286</v>
      </c>
      <c r="B106" s="9">
        <f>IF(A106="","",INT(DAY(A106)/7)+1)</f>
        <v>4</v>
      </c>
      <c r="C106" s="9" t="inlineStr">
        <is>
          <t>KODACHAYA 1ST FLOOR POS.CHOWBUS.C NY 09/19 (...0119)</t>
        </is>
      </c>
      <c r="D106" s="9" t="inlineStr">
        <is>
          <t>KODACHAYA 1ST FLOOR POS.CHOWBUS.C NY 09/19 (...0119)</t>
        </is>
      </c>
      <c r="E106" s="9" t="inlineStr">
        <is>
          <t>Dining</t>
        </is>
      </c>
      <c r="F106" s="9" t="inlineStr">
        <is>
          <t>Restaurant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26.20</v>
      </c>
      <c r="K106" s="9" t="inlineStr">
        <is>
          <t>9월 4주차; Chase Secure (...0119); Posted 2026-09-21; Balance shown: $8,226.75</t>
        </is>
      </c>
    </row>
    <row r="107">
      <c r="A107" s="4">
        <v>46286</v>
      </c>
      <c r="B107" s="9">
        <f>IF(A107="","",INT(DAY(A107)/7)+1)</f>
        <v>4</v>
      </c>
      <c r="C107" s="9" t="inlineStr">
        <is>
          <t>MTA*NYCT PAYGO NEW YORK NY 09/18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9월 4주차; Chase Secure (...0119); Posted 2026-09-21; Balance shown: $8,252.95</t>
        </is>
      </c>
    </row>
    <row r="108">
      <c r="A108" s="4">
        <v>46286</v>
      </c>
      <c r="B108" s="9">
        <f>IF(A108="","",INT(DAY(A108)/7)+1)</f>
        <v>4</v>
      </c>
      <c r="C108" s="9" t="inlineStr">
        <is>
          <t>TOPIA NEWS STAND BROOKLYN NY 09/18 (...0119)</t>
        </is>
      </c>
      <c r="D108" s="9" t="inlineStr">
        <is>
          <t>Topia News Stand</t>
        </is>
      </c>
      <c r="E108" s="9" t="inlineStr">
        <is>
          <t>Shopping</t>
        </is>
      </c>
      <c r="F108" s="9" t="inlineStr">
        <is>
          <t>Newsstand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30.49</v>
      </c>
      <c r="K108" s="9" t="inlineStr">
        <is>
          <t>9월 4주차; Chase Secure (...0119); Posted 2026-09-21; Balance shown: $8,255.95; Category inferred from merchant</t>
        </is>
      </c>
    </row>
    <row r="109">
      <c r="A109" s="4">
        <v>46286</v>
      </c>
      <c r="B109" s="9">
        <f>IF(A109="","",INT(DAY(A109)/7)+1)</f>
        <v>4</v>
      </c>
      <c r="C109" s="9" t="inlineStr">
        <is>
          <t>99 CENT SUPREME PIZZA BROOKLYN NY 09/18 (...0119)</t>
        </is>
      </c>
      <c r="D109" s="9" t="inlineStr">
        <is>
          <t>99 Cent Supreme Pizza</t>
        </is>
      </c>
      <c r="E109" s="9" t="inlineStr">
        <is>
          <t>Dining</t>
        </is>
      </c>
      <c r="F109" s="9" t="inlineStr">
        <is>
          <t>Restaurant/Pizza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3.67</v>
      </c>
      <c r="K109" s="9" t="inlineStr">
        <is>
          <t>9월 4주차; Chase Secure (...0119); Posted 2026-09-21; Balance shown: $8,286.44</t>
        </is>
      </c>
    </row>
    <row r="110">
      <c r="A110" s="4">
        <v>46286</v>
      </c>
      <c r="B110" s="9">
        <f>IF(A110="","",INT(DAY(A110)/7)+1)</f>
        <v>4</v>
      </c>
      <c r="C110" s="9" t="inlineStr">
        <is>
          <t>MTA*NYCT PAYGO NEW YORK NY 09/18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9월 4주차; Chase Secure (...0119); Posted 2026-09-21; Balance shown: $8,290.11</t>
        </is>
      </c>
    </row>
    <row r="111">
      <c r="A111" s="4">
        <v>46286</v>
      </c>
      <c r="B111" s="9">
        <f>IF(A111="","",INT(DAY(A111)/7)+1)</f>
        <v>4</v>
      </c>
      <c r="C111" s="9" t="inlineStr">
        <is>
          <t>KAMSA KAMSAUS.ORG NY 09/18 (...0119)</t>
        </is>
      </c>
      <c r="D111" s="9" t="inlineStr">
        <is>
          <t>KAMSA</t>
        </is>
      </c>
      <c r="E111" s="9" t="inlineStr">
        <is>
          <t>Entertainment</t>
        </is>
      </c>
      <c r="F111" s="9" t="inlineStr">
        <is>
          <t>Social event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10.00</v>
      </c>
      <c r="K111" s="9" t="inlineStr">
        <is>
          <t>9월 4주차; Chase Secure (...0119); Posted 2026-09-21; Balance shown: $8,293.11; Social event attendance (user confirmed)</t>
        </is>
      </c>
    </row>
    <row r="112">
      <c r="A112" s="4">
        <v>46286</v>
      </c>
      <c r="B112" s="9">
        <f>IF(A112="","",INT(DAY(A112)/7)+1)</f>
        <v>4</v>
      </c>
      <c r="C112" s="9" t="inlineStr">
        <is>
          <t>99 CENT SUPREME PIZZA BROOKLYN NY 09/17 (...0119)</t>
        </is>
      </c>
      <c r="D112" s="9" t="inlineStr">
        <is>
          <t>99 Cent Supreme Pizza</t>
        </is>
      </c>
      <c r="E112" s="9" t="inlineStr">
        <is>
          <t>Dining</t>
        </is>
      </c>
      <c r="F112" s="9" t="inlineStr">
        <is>
          <t>Restaurant/Pizza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3.39</v>
      </c>
      <c r="K112" s="9" t="inlineStr">
        <is>
          <t>9월 4주차; Chase Secure (...0119); Posted 2026-09-21; Balance shown: $8,303.11</t>
        </is>
      </c>
    </row>
    <row r="113">
      <c r="A113" s="4">
        <v>46286</v>
      </c>
      <c r="B113" s="9">
        <f>IF(A113="","",INT(DAY(A113)/7)+1)</f>
        <v>4</v>
      </c>
      <c r="C113" s="9" t="inlineStr">
        <is>
          <t>Zelle payment from EUN YEOB YEO 30882320902</t>
        </is>
      </c>
      <c r="D113" s="9" t="inlineStr">
        <is>
          <t>EUN YEOB YEO</t>
        </is>
      </c>
      <c r="E113" s="9" t="inlineStr">
        <is>
          <t>Dining</t>
        </is>
      </c>
      <c r="F113" s="9" t="inlineStr">
        <is>
          <t>Alcohol settlement</t>
        </is>
      </c>
      <c r="G113" s="9" t="inlineStr">
        <is>
          <t>Checking</t>
        </is>
      </c>
      <c r="H113" s="9" t="inlineStr">
        <is>
          <t>Venmo/Zelle/PayPal</t>
        </is>
      </c>
      <c r="I113" s="9" t="inlineStr">
        <is>
          <t>Expense</t>
        </is>
      </c>
      <c r="J113" s="3">
        <v>-22.00</v>
      </c>
      <c r="K113" s="9" t="inlineStr">
        <is>
          <t>9월 4주차; Chase Secure (...0119); Posted 2026-09-21; Balance shown: $8,306.50; 술값 정산; Reimbursement reduces alcohol expenses; not income</t>
        </is>
      </c>
    </row>
    <row r="114">
      <c r="A114" s="4" t="n">
        <v>46287</v>
      </c>
      <c r="B114" s="9">
        <f>IF(A114="","",INT(DAY(A114)/7)+1)</f>
        <v>4</v>
      </c>
      <c r="C114" s="9" t="inlineStr">
        <is>
          <t>SQ *ADAM79ST NEW YORK NY 09/21 (...0119)</t>
        </is>
      </c>
      <c r="D114" s="9" t="inlineStr">
        <is>
          <t>ADAM79ST</t>
        </is>
      </c>
      <c r="E114" s="9" t="inlineStr">
        <is>
          <t>Dining</t>
        </is>
      </c>
      <c r="F114" s="9" t="inlineStr">
        <is>
          <t>Unspecified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4.60</v>
      </c>
      <c r="K114" s="9" t="inlineStr">
        <is>
          <t>9월 4주차; Chase Secure (...0119); Posted 2026-09-22; Balance shown: $8,056.99; Category inferred from merchant; purpose unconfirmed</t>
        </is>
      </c>
    </row>
    <row r="115">
      <c r="A115" s="4" t="n">
        <v>46287</v>
      </c>
      <c r="B115" s="9">
        <f>IF(A115="","",INT(DAY(A115)/7)+1)</f>
        <v>4</v>
      </c>
      <c r="C115" s="9" t="inlineStr">
        <is>
          <t>VENMO CASHOUT PPD ID: 5264681992</t>
        </is>
      </c>
      <c r="D115" s="9" t="inlineStr">
        <is>
          <t>Venmo</t>
        </is>
      </c>
      <c r="E115" s="9" t="inlineStr">
        <is>
          <t>Dining</t>
        </is>
      </c>
      <c r="F115" s="9" t="inlineStr">
        <is>
          <t>Alcohol settlement</t>
        </is>
      </c>
      <c r="G115" s="9" t="inlineStr">
        <is>
          <t>Checking</t>
        </is>
      </c>
      <c r="H115" s="9" t="inlineStr">
        <is>
          <t>ACH</t>
        </is>
      </c>
      <c r="I115" s="9" t="inlineStr">
        <is>
          <t>Expense</t>
        </is>
      </c>
      <c r="J115" s="3" t="n">
        <v>-22.00</v>
      </c>
      <c r="K115" s="9" t="inlineStr">
        <is>
          <t>9월 4주차; Chase Secure (...0119); Posted 2026-09-22; Balance shown: $8,061.59; User confirmed alcohol payment purpose; bank entry is a $22.00 credit. Recorded as alcohol reimbursement reducing Dining expense, not income.</t>
        </is>
      </c>
    </row>
    <row r="116">
      <c r="A116" s="4" t="n">
        <v>46288</v>
      </c>
      <c r="B116" s="9">
        <f>IF(A116="","",INT(DAY(A116)/7)+1)</f>
        <v>4</v>
      </c>
      <c r="C116" s="9" t="inlineStr">
        <is>
          <t>MTA*NYCT PAYGO NEW YORK NY 09/22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3.00</v>
      </c>
      <c r="K116" s="9" t="inlineStr">
        <is>
          <t>9월 4주차; Chase Secure (...0119); Posted 2026-09-23; Balance shown: $7,979.02</t>
        </is>
      </c>
    </row>
    <row r="117">
      <c r="A117" s="4" t="n">
        <v>46288</v>
      </c>
      <c r="B117" s="9">
        <f>IF(A117="","",INT(DAY(A117)/7)+1)</f>
        <v>4</v>
      </c>
      <c r="C117" s="9" t="inlineStr">
        <is>
          <t>TST*SAPERAVI - SMB POS New York NY 09/22 (...0119)</t>
        </is>
      </c>
      <c r="D117" s="9" t="inlineStr">
        <is>
          <t>Saperavi</t>
        </is>
      </c>
      <c r="E117" s="9" t="inlineStr">
        <is>
          <t>Dining</t>
        </is>
      </c>
      <c r="F117" s="9" t="inlineStr">
        <is>
          <t>Shared meal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108.44</v>
      </c>
      <c r="K117" s="9" t="inlineStr">
        <is>
          <t>9월 4주차; Chase Secure (...0119); Posted 2026-09-23; Balance shown: $7,982.02; Paid $108.44 for 2 people on 2026-09-22; $46.00 reimbursed by SUNG HEE JUNG via Zelle BACo2fokowb5 on 2026-09-23; own share $62.44. Reimbursement recorded separately as negative Dining expense.</t>
        </is>
      </c>
    </row>
    <row r="118">
      <c r="A118" s="4" t="n">
        <v>46288</v>
      </c>
      <c r="B118" s="9">
        <f>IF(A118="","",INT(DAY(A118)/7)+1)</f>
        <v>4</v>
      </c>
      <c r="C118" s="9" t="inlineStr">
        <is>
          <t>MTA*NYCT PAYGO NEW YORK NY 09/22 (...0119)</t>
        </is>
      </c>
      <c r="D118" s="9" t="inlineStr">
        <is>
          <t>MTA NYCT Paygo</t>
        </is>
      </c>
      <c r="E118" s="9" t="inlineStr">
        <is>
          <t>Transportation</t>
        </is>
      </c>
      <c r="F118" s="9" t="inlineStr">
        <is>
          <t>Public transit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3.00</v>
      </c>
      <c r="K118" s="9" t="inlineStr">
        <is>
          <t>9월 4주차; Chase Secure (...0119); Posted 2026-09-23; Balance shown: $8,090.46</t>
        </is>
      </c>
    </row>
    <row r="119">
      <c r="A119" s="4" t="n">
        <v>46288</v>
      </c>
      <c r="B119" s="9">
        <f>IF(A119="","",INT(DAY(A119)/7)+1)</f>
        <v>4</v>
      </c>
      <c r="C119" s="9" t="inlineStr">
        <is>
          <t>TEA MAKERS BROOKLYN BROOKLYN NY 09/22 (...0119)</t>
        </is>
      </c>
      <c r="D119" s="9" t="inlineStr">
        <is>
          <t>Tea Makers Brooklyn</t>
        </is>
      </c>
      <c r="E119" s="9" t="inlineStr">
        <is>
          <t>Dining</t>
        </is>
      </c>
      <c r="F119" s="9" t="inlineStr">
        <is>
          <t>Cafe</t>
        </is>
      </c>
      <c r="G119" s="9" t="inlineStr">
        <is>
          <t>Checking</t>
        </is>
      </c>
      <c r="H119" s="9" t="inlineStr">
        <is>
          <t>Debit Card</t>
        </is>
      </c>
      <c r="I119" s="9" t="inlineStr">
        <is>
          <t>Expense</t>
        </is>
      </c>
      <c r="J119" s="3" t="n">
        <v>6.53</v>
      </c>
      <c r="K119" s="9" t="inlineStr">
        <is>
          <t>9월 4주차; Chase Secure (...0119); Posted 2026-09-23; Balance shown: $8,093.46</t>
        </is>
      </c>
    </row>
    <row r="120">
      <c r="A120" s="4" t="n">
        <v>46288</v>
      </c>
      <c r="B120" s="9">
        <f>IF(A120="","",INT(DAY(A120)/7)+1)</f>
        <v>4</v>
      </c>
      <c r="C120" s="9" t="inlineStr">
        <is>
          <t>MTA*NYCT PAYGO NEW YORK NY 09/22 (...0119)</t>
        </is>
      </c>
      <c r="D120" s="9" t="inlineStr">
        <is>
          <t>MTA NYCT Paygo</t>
        </is>
      </c>
      <c r="E120" s="9" t="inlineStr">
        <is>
          <t>Transportation</t>
        </is>
      </c>
      <c r="F120" s="9" t="inlineStr">
        <is>
          <t>Public transit</t>
        </is>
      </c>
      <c r="G120" s="9" t="inlineStr">
        <is>
          <t>Checking</t>
        </is>
      </c>
      <c r="H120" s="9" t="inlineStr">
        <is>
          <t>Debit Card</t>
        </is>
      </c>
      <c r="I120" s="9" t="inlineStr">
        <is>
          <t>Expense</t>
        </is>
      </c>
      <c r="J120" s="3" t="n">
        <v>3.00</v>
      </c>
      <c r="K120" s="9" t="inlineStr">
        <is>
          <t>9월 4주차; Chase Secure (...0119); Posted 2026-09-23; Balance shown: $8,099.99</t>
        </is>
      </c>
    </row>
    <row r="121">
      <c r="A121" s="4" t="n">
        <v>46288</v>
      </c>
      <c r="B121" s="9">
        <f>IF(A121="","",INT(DAY(A121)/7)+1)</f>
        <v>4</v>
      </c>
      <c r="C121" s="9" t="inlineStr">
        <is>
          <t>Zelle payment from SUNG HEE JUNG BACo2fokowb5</t>
        </is>
      </c>
      <c r="D121" s="9" t="inlineStr">
        <is>
          <t>SUNG HEE JUNG</t>
        </is>
      </c>
      <c r="E121" s="9" t="inlineStr">
        <is>
          <t>Dining</t>
        </is>
      </c>
      <c r="F121" s="9" t="inlineStr">
        <is>
          <t>Shared meal reimbursement</t>
        </is>
      </c>
      <c r="G121" s="9" t="inlineStr">
        <is>
          <t>Checking</t>
        </is>
      </c>
      <c r="H121" s="9" t="inlineStr">
        <is>
          <t>Venmo/Zelle/PayPal</t>
        </is>
      </c>
      <c r="I121" s="9" t="inlineStr">
        <is>
          <t>Expense</t>
        </is>
      </c>
      <c r="J121" s="3" t="n">
        <v>-46.00</v>
      </c>
      <c r="K121" s="9" t="inlineStr">
        <is>
          <t>9월 4주차; Chase Secure (...0119); Posted 2026-09-23; Balance shown: $8,102.99; Reimbursement for TST*SAPERAVI meal on 2026-09-22 (posted 2026-09-23): paid $108.44 for 2 people, received $46.00, own share $62.44; reduces Dining expenses, not income.</t>
        </is>
      </c>
    </row>
    <row r="122">
      <c r="A122" s="4" t="n">
        <v>46289</v>
      </c>
      <c r="B122" s="9">
        <f>IF(A122="","",INT(DAY(A122)/7)+1)</f>
        <v>4</v>
      </c>
      <c r="C122" s="9" t="inlineStr">
        <is>
          <t>TRADER JOE S #54 445 G NEW YORK NY 262586 09/24 (...0119)</t>
        </is>
      </c>
      <c r="D122" s="9" t="inlineStr">
        <is>
          <t>Trader Joe's</t>
        </is>
      </c>
      <c r="E122" s="9" t="inlineStr">
        <is>
          <t>Groceries</t>
        </is>
      </c>
      <c r="F122" s="9" t="inlineStr">
        <is>
          <t>Groceries</t>
        </is>
      </c>
      <c r="G122" s="9" t="inlineStr">
        <is>
          <t>Checking</t>
        </is>
      </c>
      <c r="H122" s="9" t="inlineStr">
        <is>
          <t>Debit Card</t>
        </is>
      </c>
      <c r="I122" s="9" t="inlineStr">
        <is>
          <t>Expense</t>
        </is>
      </c>
      <c r="J122" s="3" t="n">
        <v>25.64</v>
      </c>
      <c r="K122" s="9" t="inlineStr">
        <is>
          <t>9월 4주차; Chase Secure (...0119); Posted 2026-09-24; Balance shown: $7,927.11</t>
        </is>
      </c>
    </row>
    <row r="123">
      <c r="A123" s="4" t="n">
        <v>46289</v>
      </c>
      <c r="B123" s="9">
        <f>IF(A123="","",INT(DAY(A123)/7)+1)</f>
        <v>4</v>
      </c>
      <c r="C123" s="9" t="inlineStr">
        <is>
          <t>MTA*NYCT PAYGO NEW YORK NY 09/23 (...0119)</t>
        </is>
      </c>
      <c r="D123" s="9" t="inlineStr">
        <is>
          <t>MTA NYCT Paygo</t>
        </is>
      </c>
      <c r="E123" s="9" t="inlineStr">
        <is>
          <t>Transportation</t>
        </is>
      </c>
      <c r="F123" s="9" t="inlineStr">
        <is>
          <t>Public transit</t>
        </is>
      </c>
      <c r="G123" s="9" t="inlineStr">
        <is>
          <t>Checking</t>
        </is>
      </c>
      <c r="H123" s="9" t="inlineStr">
        <is>
          <t>Debit Card</t>
        </is>
      </c>
      <c r="I123" s="9" t="inlineStr">
        <is>
          <t>Expense</t>
        </is>
      </c>
      <c r="J123" s="3" t="n">
        <v>3.00</v>
      </c>
      <c r="K123" s="9" t="inlineStr">
        <is>
          <t>9월 4주차; Chase Secure (...0119); Posted 2026-09-24; Balance shown: $7,952.75</t>
        </is>
      </c>
    </row>
    <row r="124">
      <c r="A124" s="4" t="n">
        <v>46289</v>
      </c>
      <c r="B124" s="9">
        <f>IF(A124="","",INT(DAY(A124)/7)+1)</f>
        <v>4</v>
      </c>
      <c r="C124" s="9" t="inlineStr">
        <is>
          <t>LEGENDS@YANKEE STDM-RE BRONX NY 09/23 (...0119)</t>
        </is>
      </c>
      <c r="D124" s="9" t="inlineStr">
        <is>
          <t>Legends at Yankee Stadium</t>
        </is>
      </c>
      <c r="E124" s="9" t="inlineStr">
        <is>
          <t>Dining</t>
        </is>
      </c>
      <c r="F124" s="9" t="inlineStr">
        <is>
          <t>Stadium concessions</t>
        </is>
      </c>
      <c r="G124" s="9" t="inlineStr">
        <is>
          <t>Checking</t>
        </is>
      </c>
      <c r="H124" s="9" t="inlineStr">
        <is>
          <t>Debit Card</t>
        </is>
      </c>
      <c r="I124" s="9" t="inlineStr">
        <is>
          <t>Expense</t>
        </is>
      </c>
      <c r="J124" s="3" t="n">
        <v>10.88</v>
      </c>
      <c r="K124" s="9" t="inlineStr">
        <is>
          <t>9월 4주차; Chase Secure (...0119); Posted 2026-09-24; Balance shown: $7,955.75; Category inferred from merchant</t>
        </is>
      </c>
    </row>
    <row r="125">
      <c r="A125" s="4" t="n">
        <v>46289</v>
      </c>
      <c r="B125" s="9">
        <f>IF(A125="","",INT(DAY(A125)/7)+1)</f>
        <v>4</v>
      </c>
      <c r="C125" s="9" t="inlineStr">
        <is>
          <t>MTA*NYCT PAYGO NEW YORK NY 09/23 (...0119)</t>
        </is>
      </c>
      <c r="D125" s="9" t="inlineStr">
        <is>
          <t>MTA NYCT Paygo</t>
        </is>
      </c>
      <c r="E125" s="9" t="inlineStr">
        <is>
          <t>Transportation</t>
        </is>
      </c>
      <c r="F125" s="9" t="inlineStr">
        <is>
          <t>Public transit</t>
        </is>
      </c>
      <c r="G125" s="9" t="inlineStr">
        <is>
          <t>Checking</t>
        </is>
      </c>
      <c r="H125" s="9" t="inlineStr">
        <is>
          <t>Debit Card</t>
        </is>
      </c>
      <c r="I125" s="9" t="inlineStr">
        <is>
          <t>Expense</t>
        </is>
      </c>
      <c r="J125" s="3" t="n">
        <v>3.00</v>
      </c>
      <c r="K125" s="9" t="inlineStr">
        <is>
          <t>9월 4주차; Chase Secure (...0119); Posted 2026-09-24; Balance shown: $7,966.63</t>
        </is>
      </c>
    </row>
    <row r="126">
      <c r="A126" s="4" t="n">
        <v>46289</v>
      </c>
      <c r="B126" s="9">
        <f>IF(A126="","",INT(DAY(A126)/7)+1)</f>
        <v>4</v>
      </c>
      <c r="C126" s="9" t="inlineStr">
        <is>
          <t>MTA*NYCT PAYGO NEW YORK NY 09/23 (...0119)</t>
        </is>
      </c>
      <c r="D126" s="9" t="inlineStr">
        <is>
          <t>MTA NYCT Paygo</t>
        </is>
      </c>
      <c r="E126" s="9" t="inlineStr">
        <is>
          <t>Transportation</t>
        </is>
      </c>
      <c r="F126" s="9" t="inlineStr">
        <is>
          <t>Public transit</t>
        </is>
      </c>
      <c r="G126" s="9" t="inlineStr">
        <is>
          <t>Checking</t>
        </is>
      </c>
      <c r="H126" s="9" t="inlineStr">
        <is>
          <t>Debit Card</t>
        </is>
      </c>
      <c r="I126" s="9" t="inlineStr">
        <is>
          <t>Expense</t>
        </is>
      </c>
      <c r="J126" s="3" t="n">
        <v>3.00</v>
      </c>
      <c r="K126" s="9" t="inlineStr">
        <is>
          <t>9월 4주차; Chase Secure (...0119); Posted 2026-09-24; Balance shown: $7,969.63</t>
        </is>
      </c>
    </row>
    <row r="127">
      <c r="A127" s="4" t="n">
        <v>46289</v>
      </c>
      <c r="B127" s="9">
        <f>IF(A127="","",INT(DAY(A127)/7)+1)</f>
        <v>4</v>
      </c>
      <c r="C127" s="9" t="inlineStr">
        <is>
          <t>MTA*NYCT PAYGO NEW YORK NY 09/23 (...0119)</t>
        </is>
      </c>
      <c r="D127" s="9" t="inlineStr">
        <is>
          <t>MTA NYCT Paygo</t>
        </is>
      </c>
      <c r="E127" s="9" t="inlineStr">
        <is>
          <t>Transportation</t>
        </is>
      </c>
      <c r="F127" s="9" t="inlineStr">
        <is>
          <t>Public transit</t>
        </is>
      </c>
      <c r="G127" s="9" t="inlineStr">
        <is>
          <t>Checking</t>
        </is>
      </c>
      <c r="H127" s="9" t="inlineStr">
        <is>
          <t>Debit Card</t>
        </is>
      </c>
      <c r="I127" s="9" t="inlineStr">
        <is>
          <t>Expense</t>
        </is>
      </c>
      <c r="J127" s="3" t="n">
        <v>3.00</v>
      </c>
      <c r="K127" s="9" t="inlineStr">
        <is>
          <t>9월 4주차; Chase Secure (...0119); Posted 2026-09-24; Balance shown: $7,972.63</t>
        </is>
      </c>
    </row>
    <row r="128">
      <c r="A128" s="4" t="n">
        <v>46289</v>
      </c>
      <c r="B128" s="9">
        <f>IF(A128="","",INT(DAY(A128)/7)+1)</f>
        <v>4</v>
      </c>
      <c r="C128" s="9" t="inlineStr">
        <is>
          <t>99 CENT SUPREME PIZZA BROOKLYN NY 09/22 (...0119)</t>
        </is>
      </c>
      <c r="D128" s="9" t="inlineStr">
        <is>
          <t>99 Cent Supreme Pizza</t>
        </is>
      </c>
      <c r="E128" s="9" t="inlineStr">
        <is>
          <t>Dining</t>
        </is>
      </c>
      <c r="F128" s="9" t="inlineStr">
        <is>
          <t>Restaurant/Pizza</t>
        </is>
      </c>
      <c r="G128" s="9" t="inlineStr">
        <is>
          <t>Checking</t>
        </is>
      </c>
      <c r="H128" s="9" t="inlineStr">
        <is>
          <t>Debit Card</t>
        </is>
      </c>
      <c r="I128" s="9" t="inlineStr">
        <is>
          <t>Expense</t>
        </is>
      </c>
      <c r="J128" s="3" t="n">
        <v>3.39</v>
      </c>
      <c r="K128" s="9" t="inlineStr">
        <is>
          <t>9월 4주차; Chase Secure (...0119); Posted 2026-09-24; Balance shown: $7,975.63</t>
        </is>
      </c>
    </row>
    <row r="129">
      <c r="A129" s="4" t="n">
        <v>46290</v>
      </c>
      <c r="B129" s="9">
        <f>IF(A129="","",INT(DAY(A129)/7)+1)</f>
        <v>4</v>
      </c>
      <c r="C129" s="9" t="inlineStr">
        <is>
          <t>VENMO PAYMENT 1053282556410 WEB ID: 3264681992</t>
        </is>
      </c>
      <c r="D129" s="9" t="inlineStr">
        <is>
          <t>Venmo</t>
        </is>
      </c>
      <c r="E129" s="9" t="inlineStr">
        <is>
          <t>Entertainment</t>
        </is>
      </c>
      <c r="F129" s="9" t="inlineStr">
        <is>
          <t>Yankee Stadium visit</t>
        </is>
      </c>
      <c r="G129" s="9" t="inlineStr">
        <is>
          <t>Checking</t>
        </is>
      </c>
      <c r="H129" s="9" t="inlineStr">
        <is>
          <t>ACH</t>
        </is>
      </c>
      <c r="I129" s="9" t="inlineStr">
        <is>
          <t>Expense</t>
        </is>
      </c>
      <c r="J129" s="3" t="n">
        <v>28.00</v>
      </c>
      <c r="K129" s="9" t="inlineStr">
        <is>
          <t>9월 4주차; Chase Secure (...0119); Posted 2026-09-25; Balance shown: $7,888.03; User confirmed spending during Yankee Stadium visit; Entertainment expense paid via Venmo.</t>
        </is>
      </c>
    </row>
    <row r="130">
      <c r="A130" s="4" t="n">
        <v>46290</v>
      </c>
      <c r="B130" s="9">
        <f>IF(A130="","",INT(DAY(A130)/7)+1)</f>
        <v>4</v>
      </c>
      <c r="C130" s="9" t="inlineStr">
        <is>
          <t>MTA*NYCT PAYGO NEW YORK NY 09/24 (...0119)</t>
        </is>
      </c>
      <c r="D130" s="9" t="inlineStr">
        <is>
          <t>MTA NYCT Paygo</t>
        </is>
      </c>
      <c r="E130" s="9" t="inlineStr">
        <is>
          <t>Transportation</t>
        </is>
      </c>
      <c r="F130" s="9" t="inlineStr">
        <is>
          <t>Public transit</t>
        </is>
      </c>
      <c r="G130" s="9" t="inlineStr">
        <is>
          <t>Checking</t>
        </is>
      </c>
      <c r="H130" s="9" t="inlineStr">
        <is>
          <t>Debit Card</t>
        </is>
      </c>
      <c r="I130" s="9" t="inlineStr">
        <is>
          <t>Expense</t>
        </is>
      </c>
      <c r="J130" s="3" t="n">
        <v>3.00</v>
      </c>
      <c r="K130" s="9" t="inlineStr">
        <is>
          <t>9월 4주차; Chase Secure (...0119); Posted 2026-09-25; Balance shown: $7,916.03</t>
        </is>
      </c>
    </row>
    <row r="131">
      <c r="A131" s="4" t="n">
        <v>46290</v>
      </c>
      <c r="B131" s="9">
        <f>IF(A131="","",INT(DAY(A131)/7)+1)</f>
        <v>4</v>
      </c>
      <c r="C131" s="9" t="inlineStr">
        <is>
          <t>MTA*NYCT PAYGO NEW YORK NY 09/24 (...0119)</t>
        </is>
      </c>
      <c r="D131" s="9" t="inlineStr">
        <is>
          <t>MTA NYCT Paygo</t>
        </is>
      </c>
      <c r="E131" s="9" t="inlineStr">
        <is>
          <t>Transportation</t>
        </is>
      </c>
      <c r="F131" s="9" t="inlineStr">
        <is>
          <t>Public transit</t>
        </is>
      </c>
      <c r="G131" s="9" t="inlineStr">
        <is>
          <t>Checking</t>
        </is>
      </c>
      <c r="H131" s="9" t="inlineStr">
        <is>
          <t>Debit Card</t>
        </is>
      </c>
      <c r="I131" s="9" t="inlineStr">
        <is>
          <t>Expense</t>
        </is>
      </c>
      <c r="J131" s="3" t="n">
        <v>3.00</v>
      </c>
      <c r="K131" s="9" t="inlineStr">
        <is>
          <t>9월 4주차; Chase Secure (...0119); Posted 2026-09-25; Balance shown: $7,919.03</t>
        </is>
      </c>
    </row>
    <row r="132">
      <c r="A132" s="4" t="n">
        <v>46290</v>
      </c>
      <c r="B132" s="9">
        <f>IF(A132="","",INT(DAY(A132)/7)+1)</f>
        <v>4</v>
      </c>
      <c r="C132" s="9" t="inlineStr">
        <is>
          <t>MTA*NYCT PAYGO NEW YORK NY 09/24 (...0119)</t>
        </is>
      </c>
      <c r="D132" s="9" t="inlineStr">
        <is>
          <t>MTA NYCT Paygo</t>
        </is>
      </c>
      <c r="E132" s="9" t="inlineStr">
        <is>
          <t>Transportation</t>
        </is>
      </c>
      <c r="F132" s="9" t="inlineStr">
        <is>
          <t>Public transit</t>
        </is>
      </c>
      <c r="G132" s="9" t="inlineStr">
        <is>
          <t>Checking</t>
        </is>
      </c>
      <c r="H132" s="9" t="inlineStr">
        <is>
          <t>Debit Card</t>
        </is>
      </c>
      <c r="I132" s="9" t="inlineStr">
        <is>
          <t>Expense</t>
        </is>
      </c>
      <c r="J132" s="3" t="n">
        <v>3.00</v>
      </c>
      <c r="K132" s="9" t="inlineStr">
        <is>
          <t>9월 4주차; Chase Secure (...0119); Posted 2026-09-25; Balance shown: $7,922.03</t>
        </is>
      </c>
    </row>
    <row r="133">
      <c r="A133" s="4" t="n">
        <v>46290</v>
      </c>
      <c r="B133" s="9">
        <f>IF(A133="","",INT(DAY(A133)/7)+1)</f>
        <v>4</v>
      </c>
      <c r="C133" s="9" t="inlineStr">
        <is>
          <t>CUTE GIFTS &amp; CONVENIENC NEW YORK NY 09/23 (...0119)</t>
        </is>
      </c>
      <c r="D133" s="9" t="inlineStr">
        <is>
          <t>CUTE GIFTS &amp; CONVENIENC</t>
        </is>
      </c>
      <c r="E133" s="9" t="inlineStr">
        <is>
          <t>Shopping</t>
        </is>
      </c>
      <c r="F133" s="9" t="inlineStr">
        <is>
          <t>Convenience store</t>
        </is>
      </c>
      <c r="G133" s="9" t="inlineStr">
        <is>
          <t>Checking</t>
        </is>
      </c>
      <c r="H133" s="9" t="inlineStr">
        <is>
          <t>Debit Card</t>
        </is>
      </c>
      <c r="I133" s="9" t="inlineStr">
        <is>
          <t>Expense</t>
        </is>
      </c>
      <c r="J133" s="3" t="n">
        <v>2.08</v>
      </c>
      <c r="K133" s="9" t="inlineStr">
        <is>
          <t>9월 4주차; Chase Secure (...0119); Posted 2026-09-25; Balance shown: $7,925.03; Category inferred from merchant</t>
        </is>
      </c>
    </row>
    <row r="134">
      <c r="A134" s="4">
        <v>46293</v>
      </c>
      <c r="B134" s="9">
        <f>IF(A134="","",INT(DAY(A134)/7)+1)</f>
        <v>5</v>
      </c>
      <c r="C134" s="9" t="inlineStr">
        <is>
          <t>CVS/PHARMACY #10826 NEW YORK NY 004791 09/27 (...0119)</t>
        </is>
      </c>
      <c r="D134" s="9" t="inlineStr">
        <is>
          <t>CVS Pharmacy</t>
        </is>
      </c>
      <c r="E134" s="9" t="inlineStr">
        <is>
          <t>Shopping</t>
        </is>
      </c>
      <c r="F134" s="9" t="inlineStr">
        <is>
          <t>Pharmacy retail (unconfirmed)</t>
        </is>
      </c>
      <c r="G134" s="9" t="inlineStr">
        <is>
          <t>Checking</t>
        </is>
      </c>
      <c r="H134" s="9" t="inlineStr">
        <is>
          <t>Debit Card</t>
        </is>
      </c>
      <c r="I134" s="9" t="inlineStr">
        <is>
          <t>Expense</t>
        </is>
      </c>
      <c r="J134" s="3">
        <v>21.76</v>
      </c>
      <c r="K134" s="9" t="inlineStr">
        <is>
          <t>9월 5주차; Chase Secure (...0119); Posted 2026-09-28; Balance shown: $7,719.31; Category inferred from merchant; purchase details unconfirmed</t>
        </is>
      </c>
    </row>
    <row r="135">
      <c r="A135" s="4">
        <v>46293</v>
      </c>
      <c r="B135" s="9">
        <f>IF(A135="","",INT(DAY(A135)/7)+1)</f>
        <v>5</v>
      </c>
      <c r="C135" s="9" t="inlineStr">
        <is>
          <t>TST*RAKU EAST VILLAGE New York NY 09/27 (...0119)</t>
        </is>
      </c>
      <c r="D135" s="9" t="inlineStr">
        <is>
          <t>Raku East Village</t>
        </is>
      </c>
      <c r="E135" s="9" t="inlineStr">
        <is>
          <t>Dining</t>
        </is>
      </c>
      <c r="F135" s="9" t="inlineStr">
        <is>
          <t>Restaurant</t>
        </is>
      </c>
      <c r="G135" s="9" t="inlineStr">
        <is>
          <t>Checking</t>
        </is>
      </c>
      <c r="H135" s="9" t="inlineStr">
        <is>
          <t>Debit Card</t>
        </is>
      </c>
      <c r="I135" s="9" t="inlineStr">
        <is>
          <t>Expense</t>
        </is>
      </c>
      <c r="J135" s="3">
        <v>73.45</v>
      </c>
      <c r="K135" s="9" t="inlineStr">
        <is>
          <t>9월 5주차; Chase Secure (...0119); Posted 2026-09-28; Balance shown: $7,741.07</t>
        </is>
      </c>
    </row>
    <row r="136">
      <c r="A136" s="4">
        <v>46293</v>
      </c>
      <c r="B136" s="9">
        <f>IF(A136="","",INT(DAY(A136)/7)+1)</f>
        <v>5</v>
      </c>
      <c r="C136" s="9" t="inlineStr">
        <is>
          <t>BP#2141158491 ROUTE 4 ENGLEWOOD NJ 097650 09/26 (...0119)</t>
        </is>
      </c>
      <c r="D136" s="9" t="inlineStr">
        <is>
          <t>BP Route 4</t>
        </is>
      </c>
      <c r="E136" s="9" t="inlineStr">
        <is>
          <t>Shopping</t>
        </is>
      </c>
      <c r="F136" s="9" t="inlineStr">
        <is>
          <t>Gas station purchase (unconfirmed)</t>
        </is>
      </c>
      <c r="G136" s="9" t="inlineStr">
        <is>
          <t>Checking</t>
        </is>
      </c>
      <c r="H136" s="9" t="inlineStr">
        <is>
          <t>Debit Card</t>
        </is>
      </c>
      <c r="I136" s="9" t="inlineStr">
        <is>
          <t>Expense</t>
        </is>
      </c>
      <c r="J136" s="3">
        <v>5.44</v>
      </c>
      <c r="K136" s="9" t="inlineStr">
        <is>
          <t>9월 5주차; Chase Secure (...0119); Posted 2026-09-28; Balance shown: $7,814.52; Category inferred from merchant; purchase details unconfirmed</t>
        </is>
      </c>
    </row>
    <row r="137">
      <c r="A137" s="4">
        <v>46293</v>
      </c>
      <c r="B137" s="9">
        <f>IF(A137="","",INT(DAY(A137)/7)+1)</f>
        <v>5</v>
      </c>
      <c r="C137" s="9" t="inlineStr">
        <is>
          <t>7-ELEVEN 11427 COYTESVILLE NJ 09/27 (...0119)</t>
        </is>
      </c>
      <c r="D137" s="9" t="inlineStr">
        <is>
          <t>7-Eleven</t>
        </is>
      </c>
      <c r="E137" s="9" t="inlineStr">
        <is>
          <t>Shopping</t>
        </is>
      </c>
      <c r="F137" s="9" t="inlineStr">
        <is>
          <t>Convenience store</t>
        </is>
      </c>
      <c r="G137" s="9" t="inlineStr">
        <is>
          <t>Checking</t>
        </is>
      </c>
      <c r="H137" s="9" t="inlineStr">
        <is>
          <t>Debit Card</t>
        </is>
      </c>
      <c r="I137" s="9" t="inlineStr">
        <is>
          <t>Expense</t>
        </is>
      </c>
      <c r="J137" s="3">
        <v>2.99</v>
      </c>
      <c r="K137" s="9" t="inlineStr">
        <is>
          <t>9월 5주차; Chase Secure (...0119); Posted 2026-09-28; Balance shown: $7,819.96; Category inferred from merchant; purchase details unconfirmed</t>
        </is>
      </c>
    </row>
    <row r="138">
      <c r="A138" s="4">
        <v>46293</v>
      </c>
      <c r="B138" s="9">
        <f>IF(A138="","",INT(DAY(A138)/7)+1)</f>
        <v>5</v>
      </c>
      <c r="C138" s="9" t="inlineStr">
        <is>
          <t>7-ELEVEN 11427 COYTESVILLE NJ 09/27 (...0119)</t>
        </is>
      </c>
      <c r="D138" s="9" t="inlineStr">
        <is>
          <t>7-Eleven</t>
        </is>
      </c>
      <c r="E138" s="9" t="inlineStr">
        <is>
          <t>Shopping</t>
        </is>
      </c>
      <c r="F138" s="9" t="inlineStr">
        <is>
          <t>Convenience store</t>
        </is>
      </c>
      <c r="G138" s="9" t="inlineStr">
        <is>
          <t>Checking</t>
        </is>
      </c>
      <c r="H138" s="9" t="inlineStr">
        <is>
          <t>Debit Card</t>
        </is>
      </c>
      <c r="I138" s="9" t="inlineStr">
        <is>
          <t>Expense</t>
        </is>
      </c>
      <c r="J138" s="3">
        <v>2.99</v>
      </c>
      <c r="K138" s="9" t="inlineStr">
        <is>
          <t>9월 5주차; Chase Secure (...0119); Posted 2026-09-28; Balance shown: $7,822.95; Category inferred from merchant; purchase details unconfirmed</t>
        </is>
      </c>
    </row>
    <row r="139">
      <c r="A139" s="4">
        <v>46293</v>
      </c>
      <c r="B139" s="9">
        <f>IF(A139="","",INT(DAY(A139)/7)+1)</f>
        <v>5</v>
      </c>
      <c r="C139" s="9" t="inlineStr">
        <is>
          <t>NJT BUS MY-TIX JWAITE@NJTRAN NJ 09/26 (...0119)</t>
        </is>
      </c>
      <c r="D139" s="9" t="inlineStr">
        <is>
          <t>NJ Transit</t>
        </is>
      </c>
      <c r="E139" s="9" t="inlineStr">
        <is>
          <t>Transportation</t>
        </is>
      </c>
      <c r="F139" s="9" t="inlineStr">
        <is>
          <t>Public transit</t>
        </is>
      </c>
      <c r="G139" s="9" t="inlineStr">
        <is>
          <t>Checking</t>
        </is>
      </c>
      <c r="H139" s="9" t="inlineStr">
        <is>
          <t>Debit Card</t>
        </is>
      </c>
      <c r="I139" s="9" t="inlineStr">
        <is>
          <t>Expense</t>
        </is>
      </c>
      <c r="J139" s="3">
        <v>2.20</v>
      </c>
      <c r="K139" s="9" t="inlineStr">
        <is>
          <t>9월 5주차; Chase Secure (...0119); Posted 2026-09-28; Balance shown: $7,825.94</t>
        </is>
      </c>
    </row>
    <row r="140">
      <c r="A140" s="4">
        <v>46293</v>
      </c>
      <c r="B140" s="9">
        <f>IF(A140="","",INT(DAY(A140)/7)+1)</f>
        <v>5</v>
      </c>
      <c r="C140" s="9" t="inlineStr">
        <is>
          <t>SHOPRITE ENGLEWOOD S1 ENGLEWOOD NJ 09/26 (...0119)</t>
        </is>
      </c>
      <c r="D140" s="9" t="inlineStr">
        <is>
          <t>ShopRite</t>
        </is>
      </c>
      <c r="E140" s="9" t="inlineStr">
        <is>
          <t>Groceries</t>
        </is>
      </c>
      <c r="F140" s="9" t="inlineStr">
        <is>
          <t>Groceries</t>
        </is>
      </c>
      <c r="G140" s="9" t="inlineStr">
        <is>
          <t>Checking</t>
        </is>
      </c>
      <c r="H140" s="9" t="inlineStr">
        <is>
          <t>Debit Card</t>
        </is>
      </c>
      <c r="I140" s="9" t="inlineStr">
        <is>
          <t>Expense</t>
        </is>
      </c>
      <c r="J140" s="3">
        <v>16.47</v>
      </c>
      <c r="K140" s="9" t="inlineStr">
        <is>
          <t>9월 5주차; Chase Secure (...0119); Posted 2026-09-28; Balance shown: $7,828.14</t>
        </is>
      </c>
    </row>
    <row r="141">
      <c r="A141" s="4">
        <v>46293</v>
      </c>
      <c r="B141" s="9">
        <f>IF(A141="","",INT(DAY(A141)/7)+1)</f>
        <v>5</v>
      </c>
      <c r="C141" s="9" t="inlineStr">
        <is>
          <t>C &amp; R BEVERAGE ENGLEWOOD NJ 09/25 (...0119)</t>
        </is>
      </c>
      <c r="D141" s="9" t="inlineStr">
        <is>
          <t>C &amp; R Beverage</t>
        </is>
      </c>
      <c r="E141" s="9" t="inlineStr">
        <is>
          <t>Dining</t>
        </is>
      </c>
      <c r="F141" s="9" t="inlineStr">
        <is>
          <t>Alcohol (inferred)</t>
        </is>
      </c>
      <c r="G141" s="9" t="inlineStr">
        <is>
          <t>Checking</t>
        </is>
      </c>
      <c r="H141" s="9" t="inlineStr">
        <is>
          <t>Debit Card</t>
        </is>
      </c>
      <c r="I141" s="9" t="inlineStr">
        <is>
          <t>Expense</t>
        </is>
      </c>
      <c r="J141" s="3">
        <v>27.45</v>
      </c>
      <c r="K141" s="9" t="inlineStr">
        <is>
          <t>9월 5주차; Chase Secure (...0119); Posted 2026-09-28; Balance shown: $7,844.61; Category inferred from merchant; purchase details unconfirmed</t>
        </is>
      </c>
    </row>
    <row r="142">
      <c r="A142" s="4">
        <v>46293</v>
      </c>
      <c r="B142" s="9">
        <f>IF(A142="","",INT(DAY(A142)/7)+1)</f>
        <v>5</v>
      </c>
      <c r="C142" s="9" t="inlineStr">
        <is>
          <t>NJTRANSIT PAYGO MARK PATERSON NJ 09/25 (...0119)</t>
        </is>
      </c>
      <c r="D142" s="9" t="inlineStr">
        <is>
          <t>NJ Transit</t>
        </is>
      </c>
      <c r="E142" s="9" t="inlineStr">
        <is>
          <t>Transportation</t>
        </is>
      </c>
      <c r="F142" s="9" t="inlineStr">
        <is>
          <t>Public transit</t>
        </is>
      </c>
      <c r="G142" s="9" t="inlineStr">
        <is>
          <t>Checking</t>
        </is>
      </c>
      <c r="H142" s="9" t="inlineStr">
        <is>
          <t>Debit Card</t>
        </is>
      </c>
      <c r="I142" s="9" t="inlineStr">
        <is>
          <t>Expense</t>
        </is>
      </c>
      <c r="J142" s="3">
        <v>4.20</v>
      </c>
      <c r="K142" s="9" t="inlineStr">
        <is>
          <t>9월 5주차; Chase Secure (...0119); Posted 2026-09-28; Balance shown: $7,872.06</t>
        </is>
      </c>
    </row>
    <row r="143">
      <c r="A143" s="4">
        <v>46293</v>
      </c>
      <c r="B143" s="9">
        <f>IF(A143="","",INT(DAY(A143)/7)+1)</f>
        <v>5</v>
      </c>
      <c r="C143" s="9" t="inlineStr">
        <is>
          <t>MTA*NYCT PAYGO NEW YORK NY 09/25 (...0119)</t>
        </is>
      </c>
      <c r="D143" s="9" t="inlineStr">
        <is>
          <t>MTA NYCT Paygo</t>
        </is>
      </c>
      <c r="E143" s="9" t="inlineStr">
        <is>
          <t>Transportation</t>
        </is>
      </c>
      <c r="F143" s="9" t="inlineStr">
        <is>
          <t>Public transit</t>
        </is>
      </c>
      <c r="G143" s="9" t="inlineStr">
        <is>
          <t>Checking</t>
        </is>
      </c>
      <c r="H143" s="9" t="inlineStr">
        <is>
          <t>Debit Card</t>
        </is>
      </c>
      <c r="I143" s="9" t="inlineStr">
        <is>
          <t>Expense</t>
        </is>
      </c>
      <c r="J143" s="3">
        <v>2.00</v>
      </c>
      <c r="K143" s="9" t="inlineStr">
        <is>
          <t>9월 5주차; Chase Secure (...0119); Posted 2026-09-28; Balance shown: $7,876.26</t>
        </is>
      </c>
    </row>
    <row r="144">
      <c r="A144" s="4">
        <v>46293</v>
      </c>
      <c r="B144" s="9">
        <f>IF(A144="","",INT(DAY(A144)/7)+1)</f>
        <v>5</v>
      </c>
      <c r="C144" s="9" t="inlineStr">
        <is>
          <t>99 CENT SUPREME PIZZA BROOKLYN NY 09/25 (...0119)</t>
        </is>
      </c>
      <c r="D144" s="9" t="inlineStr">
        <is>
          <t>99 Cent Supreme Pizza</t>
        </is>
      </c>
      <c r="E144" s="9" t="inlineStr">
        <is>
          <t>Dining</t>
        </is>
      </c>
      <c r="F144" s="9" t="inlineStr">
        <is>
          <t>Restaurant/Pizza</t>
        </is>
      </c>
      <c r="G144" s="9" t="inlineStr">
        <is>
          <t>Checking</t>
        </is>
      </c>
      <c r="H144" s="9" t="inlineStr">
        <is>
          <t>Debit Card</t>
        </is>
      </c>
      <c r="I144" s="9" t="inlineStr">
        <is>
          <t>Expense</t>
        </is>
      </c>
      <c r="J144" s="3">
        <v>6.77</v>
      </c>
      <c r="K144" s="9" t="inlineStr">
        <is>
          <t>9월 5주차; Chase Secure (...0119); Posted 2026-09-28; Balance shown: $7,878.26</t>
        </is>
      </c>
    </row>
    <row r="145">
      <c r="A145" s="4">
        <v>46293</v>
      </c>
      <c r="B145" s="9">
        <f>IF(A145="","",INT(DAY(A145)/7)+1)</f>
        <v>5</v>
      </c>
      <c r="C145" s="9" t="inlineStr">
        <is>
          <t>MTA*NYCT PAYGO NEW YORK NY 09/25 (...0119)</t>
        </is>
      </c>
      <c r="D145" s="9" t="inlineStr">
        <is>
          <t>MTA NYCT Paygo</t>
        </is>
      </c>
      <c r="E145" s="9" t="inlineStr">
        <is>
          <t>Transportation</t>
        </is>
      </c>
      <c r="F145" s="9" t="inlineStr">
        <is>
          <t>Public transit</t>
        </is>
      </c>
      <c r="G145" s="9" t="inlineStr">
        <is>
          <t>Checking</t>
        </is>
      </c>
      <c r="H145" s="9" t="inlineStr">
        <is>
          <t>Debit Card</t>
        </is>
      </c>
      <c r="I145" s="9" t="inlineStr">
        <is>
          <t>Expense</t>
        </is>
      </c>
      <c r="J145" s="3">
        <v>3.00</v>
      </c>
      <c r="K145" s="9" t="inlineStr">
        <is>
          <t>9월 5주차; Chase Secure (...0119); Posted 2026-09-28; Balance shown: $7,885.03</t>
        </is>
      </c>
    </row>
    <row r="146">
      <c r="A146" s="4">
        <v>46294</v>
      </c>
      <c r="B146" s="9">
        <f>IF(A146="","",INT(DAY(A146)/7)+1)</f>
        <v>5</v>
      </c>
      <c r="C146" s="9" t="inlineStr">
        <is>
          <t>NEW YORK UNIVERS DIRECT DEP PPD ID: 5135562308</t>
        </is>
      </c>
      <c r="D146" s="9" t="inlineStr">
        <is>
          <t>New York University</t>
        </is>
      </c>
      <c r="E146" s="9" t="inlineStr">
        <is>
          <t>Income</t>
        </is>
      </c>
      <c r="F146" s="9" t="inlineStr">
        <is>
          <t>Direct deposit</t>
        </is>
      </c>
      <c r="G146" s="9" t="inlineStr">
        <is>
          <t>Checking</t>
        </is>
      </c>
      <c r="H146" s="9" t="inlineStr">
        <is>
          <t>ACH</t>
        </is>
      </c>
      <c r="I146" s="9" t="inlineStr">
        <is>
          <t>Income</t>
        </is>
      </c>
      <c r="J146" s="3">
        <v>1548.00</v>
      </c>
      <c r="K146" s="9" t="inlineStr">
        <is>
          <t>9월 5주차; Chase Secure (...0119); Posted 2026-09-29; Balance shown: $9,267.31</t>
        </is>
      </c>
    </row>
    <row r="147">
      <c r="A147" s="4">
        <v>46295</v>
      </c>
      <c r="B147" s="9">
        <f>IF(A147="","",INT(DAY(A147)/7)+1)</f>
        <v>5</v>
      </c>
      <c r="C147" s="9" t="inlineStr">
        <is>
          <t>Zelle payment to wwhy28 31023804151</t>
        </is>
      </c>
      <c r="D147" s="9" t="inlineStr">
        <is>
          <t>wwhy28</t>
        </is>
      </c>
      <c r="E147" s="9" t="inlineStr">
        <is>
          <t>Dining</t>
        </is>
      </c>
      <c r="F147" s="9" t="inlineStr">
        <is>
          <t>Alcohol settlement</t>
        </is>
      </c>
      <c r="G147" s="9" t="inlineStr">
        <is>
          <t>Checking</t>
        </is>
      </c>
      <c r="H147" s="9" t="inlineStr">
        <is>
          <t>Venmo/Zelle/PayPal</t>
        </is>
      </c>
      <c r="I147" s="9" t="inlineStr">
        <is>
          <t>Expense</t>
        </is>
      </c>
      <c r="J147" s="3">
        <v>28.00</v>
      </c>
      <c r="K147" s="9" t="inlineStr">
        <is>
          <t>9월 5주차; Chase Secure (...0119); Posted 2026-09-30; Balance shown: $9,127.06; 술값 정산 (user confirmed)</t>
        </is>
      </c>
    </row>
    <row r="148">
      <c r="A148" s="4">
        <v>46295</v>
      </c>
      <c r="B148" s="9">
        <f>IF(A148="","",INT(DAY(A148)/7)+1)</f>
        <v>5</v>
      </c>
      <c r="C148" s="9" t="inlineStr">
        <is>
          <t>Zelle payment to wwhy28 31011487486</t>
        </is>
      </c>
      <c r="D148" s="9" t="inlineStr">
        <is>
          <t>wwhy28</t>
        </is>
      </c>
      <c r="E148" s="9" t="inlineStr">
        <is>
          <t>Dining</t>
        </is>
      </c>
      <c r="F148" s="9" t="inlineStr">
        <is>
          <t>Alcohol settlement</t>
        </is>
      </c>
      <c r="G148" s="9" t="inlineStr">
        <is>
          <t>Checking</t>
        </is>
      </c>
      <c r="H148" s="9" t="inlineStr">
        <is>
          <t>Venmo/Zelle/PayPal</t>
        </is>
      </c>
      <c r="I148" s="9" t="inlineStr">
        <is>
          <t>Expense</t>
        </is>
      </c>
      <c r="J148" s="3">
        <v>30.00</v>
      </c>
      <c r="K148" s="9" t="inlineStr">
        <is>
          <t>9월 5주차; Chase Secure (...0119); Posted 2026-09-30; Balance shown: $9,155.06; 술값 정산 (user confirmed)</t>
        </is>
      </c>
    </row>
    <row r="149">
      <c r="A149" s="4">
        <v>46295</v>
      </c>
      <c r="B149" s="9">
        <f>IF(A149="","",INT(DAY(A149)/7)+1)</f>
        <v>5</v>
      </c>
      <c r="C149" s="9" t="inlineStr">
        <is>
          <t>Zelle payment to wwhy28 31010693624</t>
        </is>
      </c>
      <c r="D149" s="9" t="inlineStr">
        <is>
          <t>wwhy28</t>
        </is>
      </c>
      <c r="E149" s="9" t="inlineStr">
        <is>
          <t>Dining</t>
        </is>
      </c>
      <c r="F149" s="9" t="inlineStr">
        <is>
          <t>Alcohol settlement</t>
        </is>
      </c>
      <c r="G149" s="9" t="inlineStr">
        <is>
          <t>Checking</t>
        </is>
      </c>
      <c r="H149" s="9" t="inlineStr">
        <is>
          <t>Venmo/Zelle/PayPal</t>
        </is>
      </c>
      <c r="I149" s="9" t="inlineStr">
        <is>
          <t>Expense</t>
        </is>
      </c>
      <c r="J149" s="3">
        <v>68.00</v>
      </c>
      <c r="K149" s="9" t="inlineStr">
        <is>
          <t>9월 5주차; Chase Secure (...0119); Posted 2026-09-30; Balance shown: $9,185.06; 술값 정산 (user confirmed)</t>
        </is>
      </c>
    </row>
    <row r="150">
      <c r="A150" s="4">
        <v>46295</v>
      </c>
      <c r="B150" s="9">
        <f>IF(A150="","",INT(DAY(A150)/7)+1)</f>
        <v>5</v>
      </c>
      <c r="C150" s="9" t="inlineStr">
        <is>
          <t>MTA*LIRR ETIX TICKET 718-217-5477 NY 09/30 (...0119)</t>
        </is>
      </c>
      <c r="D150" s="9" t="inlineStr">
        <is>
          <t>MTA LIRR</t>
        </is>
      </c>
      <c r="E150" s="9" t="inlineStr">
        <is>
          <t>Transportation</t>
        </is>
      </c>
      <c r="F150" s="9" t="inlineStr">
        <is>
          <t>Rail ticket</t>
        </is>
      </c>
      <c r="G150" s="9" t="inlineStr">
        <is>
          <t>Checking</t>
        </is>
      </c>
      <c r="H150" s="9" t="inlineStr">
        <is>
          <t>Debit Card</t>
        </is>
      </c>
      <c r="I150" s="9" t="inlineStr">
        <is>
          <t>Expense</t>
        </is>
      </c>
      <c r="J150" s="3">
        <v>5.25</v>
      </c>
      <c r="K150" s="9" t="inlineStr">
        <is>
          <t>9월 5주차; Chase Secure (...0119); Posted 2026-09-30; Balance shown: $9,253.06</t>
        </is>
      </c>
    </row>
    <row r="151">
      <c r="A151" s="4">
        <v>46295</v>
      </c>
      <c r="B151" s="9">
        <f>IF(A151="","",INT(DAY(A151)/7)+1)</f>
        <v>5</v>
      </c>
      <c r="C151" s="9" t="inlineStr">
        <is>
          <t>MTA*NYCT PAYGO NEW YORK NY 09/29 (...0119)</t>
        </is>
      </c>
      <c r="D151" s="9" t="inlineStr">
        <is>
          <t>MTA NYCT Paygo</t>
        </is>
      </c>
      <c r="E151" s="9" t="inlineStr">
        <is>
          <t>Transportation</t>
        </is>
      </c>
      <c r="F151" s="9" t="inlineStr">
        <is>
          <t>Public transit</t>
        </is>
      </c>
      <c r="G151" s="9" t="inlineStr">
        <is>
          <t>Checking</t>
        </is>
      </c>
      <c r="H151" s="9" t="inlineStr">
        <is>
          <t>Debit Card</t>
        </is>
      </c>
      <c r="I151" s="9" t="inlineStr">
        <is>
          <t>Expense</t>
        </is>
      </c>
      <c r="J151" s="3">
        <v>3.00</v>
      </c>
      <c r="K151" s="9" t="inlineStr">
        <is>
          <t>9월 5주차; Chase Secure (...0119); Posted 2026-09-30; Balance shown: $9,258.31</t>
        </is>
      </c>
    </row>
    <row r="152">
      <c r="A152" s="4">
        <v>46295</v>
      </c>
      <c r="B152" s="9">
        <f>IF(A152="","",INT(DAY(A152)/7)+1)</f>
        <v>5</v>
      </c>
      <c r="C152" s="9" t="inlineStr">
        <is>
          <t>MTA*NYCT PAYGO NEW YORK NY 09/29 (...0119)</t>
        </is>
      </c>
      <c r="D152" s="9" t="inlineStr">
        <is>
          <t>MTA NYCT Paygo</t>
        </is>
      </c>
      <c r="E152" s="9" t="inlineStr">
        <is>
          <t>Transportation</t>
        </is>
      </c>
      <c r="F152" s="9" t="inlineStr">
        <is>
          <t>Public transit</t>
        </is>
      </c>
      <c r="G152" s="9" t="inlineStr">
        <is>
          <t>Checking</t>
        </is>
      </c>
      <c r="H152" s="9" t="inlineStr">
        <is>
          <t>Debit Card</t>
        </is>
      </c>
      <c r="I152" s="9" t="inlineStr">
        <is>
          <t>Expense</t>
        </is>
      </c>
      <c r="J152" s="3">
        <v>3.00</v>
      </c>
      <c r="K152" s="9" t="inlineStr">
        <is>
          <t>9월 5주차; Chase Secure (...0119); Posted 2026-09-30; Balance shown: $9,261.31</t>
        </is>
      </c>
    </row>
    <row r="153">
      <c r="A153" s="4">
        <v>46295</v>
      </c>
      <c r="B153" s="9">
        <f>IF(A153="","",INT(DAY(A153)/7)+1)</f>
        <v>5</v>
      </c>
      <c r="C153" s="9" t="inlineStr">
        <is>
          <t>MTA*NYCT PAYGO NEW YORK NY 09/29 (...0119)</t>
        </is>
      </c>
      <c r="D153" s="9" t="inlineStr">
        <is>
          <t>MTA NYCT Paygo</t>
        </is>
      </c>
      <c r="E153" s="9" t="inlineStr">
        <is>
          <t>Transportation</t>
        </is>
      </c>
      <c r="F153" s="9" t="inlineStr">
        <is>
          <t>Public transit</t>
        </is>
      </c>
      <c r="G153" s="9" t="inlineStr">
        <is>
          <t>Checking</t>
        </is>
      </c>
      <c r="H153" s="9" t="inlineStr">
        <is>
          <t>Debit Card</t>
        </is>
      </c>
      <c r="I153" s="9" t="inlineStr">
        <is>
          <t>Expense</t>
        </is>
      </c>
      <c r="J153" s="3">
        <v>3.00</v>
      </c>
      <c r="K153" s="9" t="inlineStr">
        <is>
          <t>9월 5주차; Chase Secure (...0119); Posted 2026-09-30; Balance shown: $9,264.31</t>
        </is>
      </c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1548.00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1881.88</v>
      </c>
      <c r="D6" s="5" t="inlineStr">
        <is>
          <t>Housing</t>
        </is>
      </c>
      <c r="E6" s="3">
        <f>SUMIFS($J$29:$J$528,$E$29:$E$528,$D6,$I$29:$I$528,"Expense")</f>
        <v>1100.00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119.19</v>
      </c>
      <c r="J6" s="3">
        <f>SUMIFS($J$29:$J$528,$B$29:$B$528,1,$I$29:$I$528,"Income")</f>
        <v>0.00</v>
      </c>
      <c r="K6" s="3">
        <f>J6-I6</f>
        <v>-119.19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0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330.78</v>
      </c>
      <c r="J7" s="3">
        <f>SUMIFS($J$29:$J$528,$B$29:$B$528,2,$I$29:$I$528,"Income")</f>
        <v>0.00</v>
      </c>
      <c r="K7" s="3">
        <f>J7-I7</f>
        <v>-330.78</v>
      </c>
    </row>
    <row r="8">
      <c r="A8" s="5" t="inlineStr">
        <is>
          <t>Transfers</t>
        </is>
      </c>
      <c r="B8" s="3">
        <f>SUMIFS($J$29:$J$528,$I$29:$I$528,"Transfer")</f>
        <v>0.00</v>
      </c>
      <c r="D8" s="5" t="inlineStr">
        <is>
          <t>Groceries</t>
        </is>
      </c>
      <c r="E8" s="3">
        <f>SUMIFS($J$29:$J$528,$E$29:$E$528,$D8,$I$29:$I$528,"Expense")</f>
        <v>98.76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0.00</v>
      </c>
      <c r="J8" s="3">
        <f>SUMIFS($J$29:$J$528,$B$29:$B$528,3,$I$29:$I$528,"Income")</f>
        <v>0.00</v>
      </c>
      <c r="K8" s="3">
        <f>J8-I8</f>
        <v>0.00</v>
      </c>
    </row>
    <row r="9">
      <c r="A9" s="5" t="inlineStr">
        <is>
          <t>Net Cash Flow</t>
        </is>
      </c>
      <c r="B9" s="3">
        <f>B5-B6</f>
        <v>-333.88</v>
      </c>
      <c r="D9" s="5" t="inlineStr">
        <is>
          <t>Dining</t>
        </is>
      </c>
      <c r="E9" s="3">
        <f>SUMIFS($J$29:$J$528,$E$29:$E$528,$D9,$I$29:$I$528,"Expense")</f>
        <v>136.15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0.00</v>
      </c>
      <c r="J9" s="3">
        <f>SUMIFS($J$29:$J$528,$B$29:$B$528,4,$I$29:$I$528,"Income")</f>
        <v>0.00</v>
      </c>
      <c r="K9" s="3">
        <f>J9-I9</f>
        <v>0.00</v>
      </c>
    </row>
    <row r="10">
      <c r="A10" s="5" t="inlineStr">
        <is>
          <t>Current Balance</t>
        </is>
      </c>
      <c r="B10" s="3">
        <v>7098.35</v>
      </c>
      <c r="D10" s="5" t="inlineStr">
        <is>
          <t>Transportation</t>
        </is>
      </c>
      <c r="E10" s="3">
        <f>SUMIFS($J$29:$J$528,$E$29:$E$528,$D10,$I$29:$I$528,"Expense")</f>
        <v>35.00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0.00</v>
      </c>
      <c r="J10" s="3">
        <f>SUMIFS($J$29:$J$528,$B$29:$B$528,5,$I$29:$I$528,"Income")</f>
        <v>0.00</v>
      </c>
      <c r="K10" s="3">
        <f>J10-I10</f>
        <v>0.00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47.78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0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118.78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f>IF(A29="","",IF(DAY(A29)&lt;=3,1,INT((DAY(A29)-4)/7)+2))</f>
        <v>1</v>
      </c>
      <c r="C29" s="9" t="inlineStr">
        <is>
          <t>Zelle payment to Joshua 31037164703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Venmo/Zelle/PayPal</t>
        </is>
      </c>
      <c r="I29" s="9" t="inlineStr">
        <is>
          <t>Expense</t>
        </is>
      </c>
      <c r="J29" s="3">
        <v>100.00</v>
      </c>
      <c r="K29" s="9" t="inlineStr">
        <is>
          <t>Chase (...0119); Posted 2026-10-01; Balance shown: $8,020.85; Rent (user confirmed)</t>
        </is>
      </c>
    </row>
    <row r="30">
      <c r="A30" s="4">
        <v>46296</v>
      </c>
      <c r="B30" s="9">
        <f>IF(A30="","",IF(DAY(A30)&lt;=3,1,INT((DAY(A30)-4)/7)+2))</f>
        <v>1</v>
      </c>
      <c r="C30" s="9" t="inlineStr">
        <is>
          <t>ATM WITHDRAWAL 002164 10/013359 BROA (...0119)</t>
        </is>
      </c>
      <c r="D30" s="9" t="inlineStr">
        <is>
          <t>ATM</t>
        </is>
      </c>
      <c r="E30" s="9" t="inlineStr">
        <is>
          <t>Housing</t>
        </is>
      </c>
      <c r="F30" s="9" t="inlineStr">
        <is>
          <t>Rent</t>
        </is>
      </c>
      <c r="G30" s="9" t="inlineStr">
        <is>
          <t>Checking</t>
        </is>
      </c>
      <c r="H30" s="9" t="inlineStr">
        <is>
          <t>Other</t>
        </is>
      </c>
      <c r="I30" s="9" t="inlineStr">
        <is>
          <t>Expense</t>
        </is>
      </c>
      <c r="J30" s="3">
        <v>500.00</v>
      </c>
      <c r="K30" s="9" t="inlineStr">
        <is>
          <t>Chase (...0119); Posted 2026-10-01; Balance shown: $8,120.85; ATM withdrawal used for rent (user confirmed)</t>
        </is>
      </c>
    </row>
    <row r="31">
      <c r="A31" s="4">
        <v>46296</v>
      </c>
      <c r="B31" s="9">
        <f>IF(A31="","",IF(DAY(A31)&lt;=3,1,INT((DAY(A31)-4)/7)+2))</f>
        <v>1</v>
      </c>
      <c r="C31" s="9" t="inlineStr">
        <is>
          <t>ATM WITHDRAWAL 002162 10/013359 BROA (...0119)</t>
        </is>
      </c>
      <c r="D31" s="9" t="inlineStr">
        <is>
          <t>ATM</t>
        </is>
      </c>
      <c r="E31" s="9" t="inlineStr">
        <is>
          <t>Housing</t>
        </is>
      </c>
      <c r="F31" s="9" t="inlineStr">
        <is>
          <t>Rent</t>
        </is>
      </c>
      <c r="G31" s="9" t="inlineStr">
        <is>
          <t>Checking</t>
        </is>
      </c>
      <c r="H31" s="9" t="inlineStr">
        <is>
          <t>Other</t>
        </is>
      </c>
      <c r="I31" s="9" t="inlineStr">
        <is>
          <t>Expense</t>
        </is>
      </c>
      <c r="J31" s="3">
        <v>500.00</v>
      </c>
      <c r="K31" s="9" t="inlineStr">
        <is>
          <t>Chase (...0119); Posted 2026-10-01; Balance shown: $8,620.85; ATM withdrawal used for rent (user confirmed)</t>
        </is>
      </c>
    </row>
    <row r="32">
      <c r="A32" s="4">
        <v>46296</v>
      </c>
      <c r="B32" s="9">
        <f>IF(A32="","",IF(DAY(A32)&lt;=3,1,INT((DAY(A32)-4)/7)+2))</f>
        <v>1</v>
      </c>
      <c r="C32" s="9" t="inlineStr">
        <is>
          <t>99 CENT SUPREME PIZZA BROOKLYN NY 09/29 (...0119)</t>
        </is>
      </c>
      <c r="D32" s="9" t="inlineStr">
        <is>
          <t>99 Cent Supreme Pizza</t>
        </is>
      </c>
      <c r="E32" s="9" t="inlineStr">
        <is>
          <t>Dining</t>
        </is>
      </c>
      <c r="F32" s="9" t="inlineStr">
        <is>
          <t>Restaurant/Pizza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>
        <v>6.21</v>
      </c>
      <c r="K32" s="9" t="inlineStr">
        <is>
          <t>Chase (...0119); Posted 2026-10-01; Balance shown: $9,120.85</t>
        </is>
      </c>
    </row>
    <row r="33">
      <c r="A33" s="4">
        <v>46297</v>
      </c>
      <c r="B33" s="9">
        <f>IF(A33="","",IF(DAY(A33)&lt;=3,1,INT((DAY(A33)-4)/7)+2))</f>
        <v>1</v>
      </c>
      <c r="C33" s="9" t="inlineStr">
        <is>
          <t>TRADER JOE S #54 445 G NEW YORK NY 172057 10/02 (...0119)</t>
        </is>
      </c>
      <c r="D33" s="9" t="inlineStr">
        <is>
          <t>Trader Joe's</t>
        </is>
      </c>
      <c r="E33" s="9" t="inlineStr">
        <is>
          <t>Groceries</t>
        </is>
      </c>
      <c r="F33" s="9" t="inlineStr">
        <is>
          <t>Groceries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>
        <v>46.07</v>
      </c>
      <c r="K33" s="9" t="inlineStr">
        <is>
          <t>Chase (...0119); Posted 2026-10-02; Balance shown: $7,907.87</t>
        </is>
      </c>
    </row>
    <row r="34">
      <c r="A34" s="4">
        <v>46297</v>
      </c>
      <c r="B34" s="9">
        <f>IF(A34="","",IF(DAY(A34)&lt;=3,1,INT((DAY(A34)-4)/7)+2))</f>
        <v>1</v>
      </c>
      <c r="C34" s="9" t="inlineStr">
        <is>
          <t>MTA*NYCT PAYGO NEW YORK NY 10/01 (...0119)</t>
        </is>
      </c>
      <c r="D34" s="9" t="inlineStr">
        <is>
          <t>MTA NYCT Paygo</t>
        </is>
      </c>
      <c r="E34" s="9" t="inlineStr">
        <is>
          <t>Transportation</t>
        </is>
      </c>
      <c r="F34" s="9" t="inlineStr">
        <is>
          <t>Public transit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>
        <v>3.00</v>
      </c>
      <c r="K34" s="9" t="inlineStr">
        <is>
          <t>Chase (...0119); Posted 2026-10-02; Balance shown: $7,953.94</t>
        </is>
      </c>
    </row>
    <row r="35">
      <c r="A35" s="4">
        <v>46297</v>
      </c>
      <c r="B35" s="9">
        <f>IF(A35="","",IF(DAY(A35)&lt;=3,1,INT((DAY(A35)-4)/7)+2))</f>
        <v>1</v>
      </c>
      <c r="C35" s="9" t="inlineStr">
        <is>
          <t>MTA*NYCT PAYGO NEW YORK NY 10/01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>
        <v>3.00</v>
      </c>
      <c r="K35" s="9" t="inlineStr">
        <is>
          <t>Chase (...0119); Posted 2026-10-02; Balance shown: $7,956.94</t>
        </is>
      </c>
    </row>
    <row r="36">
      <c r="A36" s="4">
        <v>46297</v>
      </c>
      <c r="B36" s="9">
        <f>IF(A36="","",IF(DAY(A36)&lt;=3,1,INT((DAY(A36)-4)/7)+2))</f>
        <v>1</v>
      </c>
      <c r="C36" s="9" t="inlineStr">
        <is>
          <t>IHOP 3503 OLO BROOKLYN NY 10/01 (...0119)</t>
        </is>
      </c>
      <c r="D36" s="9" t="inlineStr">
        <is>
          <t>IHOP</t>
        </is>
      </c>
      <c r="E36" s="9" t="inlineStr">
        <is>
          <t>Dining</t>
        </is>
      </c>
      <c r="F36" s="9" t="inlineStr">
        <is>
          <t>Restaurant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>
        <v>20.24</v>
      </c>
      <c r="K36" s="9" t="inlineStr">
        <is>
          <t>Chase (...0119); Posted 2026-10-02; Balance shown: $7,959.94</t>
        </is>
      </c>
    </row>
    <row r="37">
      <c r="A37" s="4">
        <v>46297</v>
      </c>
      <c r="B37" s="9">
        <f>IF(A37="","",IF(DAY(A37)&lt;=3,1,INT((DAY(A37)-4)/7)+2))</f>
        <v>1</v>
      </c>
      <c r="C37" s="9" t="inlineStr">
        <is>
          <t>CHIPOTLE 2090 BROOKLYN NY 10/01 (...0119)</t>
        </is>
      </c>
      <c r="D37" s="9" t="inlineStr">
        <is>
          <t>Chipotle</t>
        </is>
      </c>
      <c r="E37" s="9" t="inlineStr">
        <is>
          <t>Dining</t>
        </is>
      </c>
      <c r="F37" s="9" t="inlineStr">
        <is>
          <t>Restaurant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>
        <v>15.02</v>
      </c>
      <c r="K37" s="9" t="inlineStr">
        <is>
          <t>Chase (...0119); Posted 2026-10-02; Balance shown: $7,980.18</t>
        </is>
      </c>
    </row>
    <row r="38">
      <c r="A38" s="4">
        <v>46297</v>
      </c>
      <c r="B38" s="9">
        <f>IF(A38="","",IF(DAY(A38)&lt;=3,1,INT((DAY(A38)-4)/7)+2))</f>
        <v>1</v>
      </c>
      <c r="C38" s="9" t="inlineStr">
        <is>
          <t>MTA*NYCT PAYGO NEW YORK NY 10/01 (...0119)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>
        <v>3.00</v>
      </c>
      <c r="K38" s="9" t="inlineStr">
        <is>
          <t>Chase (...0119); Posted 2026-10-02; Balance shown: $7,995.20</t>
        </is>
      </c>
    </row>
    <row r="39">
      <c r="A39" s="4">
        <v>46297</v>
      </c>
      <c r="B39" s="9">
        <f>IF(A39="","",IF(DAY(A39)&lt;=3,1,INT((DAY(A39)-4)/7)+2))</f>
        <v>1</v>
      </c>
      <c r="C39" s="9" t="inlineStr">
        <is>
          <t>GOLDEN DELI CORP NEW YORK NY 09/30 (...0119)</t>
        </is>
      </c>
      <c r="D39" s="9" t="inlineStr">
        <is>
          <t>Golden Deli</t>
        </is>
      </c>
      <c r="E39" s="9" t="inlineStr">
        <is>
          <t>Dining</t>
        </is>
      </c>
      <c r="F39" s="9" t="inlineStr">
        <is>
          <t>Deli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>
        <v>22.65</v>
      </c>
      <c r="K39" s="9" t="inlineStr">
        <is>
          <t>Chase (...0119); Posted 2026-10-02; Balance shown: $7,998.20; Category inferred from merchant; purchase details unconfirmed</t>
        </is>
      </c>
    </row>
    <row r="40">
      <c r="A40" s="4">
        <v>46300</v>
      </c>
      <c r="B40" s="9">
        <f>IF(A40="","",IF(DAY(A40)&lt;=3,1,INT((DAY(A40)-4)/7)+2))</f>
        <v>2</v>
      </c>
      <c r="C40" s="9" t="inlineStr">
        <is>
          <t>Amazon.com*5924406G1 Amzn.com/bill WA 10/05 (...0119)</t>
        </is>
      </c>
      <c r="D40" s="9" t="inlineStr">
        <is>
          <t>Amazon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>
        <v>6.42</v>
      </c>
      <c r="K40" s="9" t="inlineStr">
        <is>
          <t>Chase (...0119); Posted 2026-10-05; Balance shown: $7,764.09; Category inferred from merchant; purchase details unconfirmed</t>
        </is>
      </c>
    </row>
    <row r="41">
      <c r="A41" s="4">
        <v>46300</v>
      </c>
      <c r="B41" s="9">
        <f>IF(A41="","",IF(DAY(A41)&lt;=3,1,INT((DAY(A41)-4)/7)+2))</f>
        <v>2</v>
      </c>
      <c r="C41" s="9" t="inlineStr">
        <is>
          <t>HANA MART COLUMBIA CORP NEW YORK NY 10/04 (...0119)</t>
        </is>
      </c>
      <c r="D41" s="9" t="inlineStr">
        <is>
          <t>Hana Mart</t>
        </is>
      </c>
      <c r="E41" s="9" t="inlineStr">
        <is>
          <t>Groceries</t>
        </is>
      </c>
      <c r="F41" s="9" t="inlineStr">
        <is>
          <t>Groceries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>
        <v>52.69</v>
      </c>
      <c r="K41" s="9" t="inlineStr">
        <is>
          <t>Chase (...0119); Posted 2026-10-05; Balance shown: $7,770.51</t>
        </is>
      </c>
    </row>
    <row r="42">
      <c r="A42" s="4">
        <v>46300</v>
      </c>
      <c r="B42" s="9">
        <f>IF(A42="","",IF(DAY(A42)&lt;=3,1,INT((DAY(A42)-4)/7)+2))</f>
        <v>2</v>
      </c>
      <c r="C42" s="9" t="inlineStr">
        <is>
          <t>MTA*NYCT PAYGO NEW YORK NY 10/04 (...0119)</t>
        </is>
      </c>
      <c r="D42" s="9" t="inlineStr">
        <is>
          <t>MTA NYCT Paygo</t>
        </is>
      </c>
      <c r="E42" s="9" t="inlineStr">
        <is>
          <t>Transportation</t>
        </is>
      </c>
      <c r="F42" s="9" t="inlineStr">
        <is>
          <t>Public transit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>
        <v>3.00</v>
      </c>
      <c r="K42" s="9" t="inlineStr">
        <is>
          <t>Chase (...0119); Posted 2026-10-05; Balance shown: $7,823.20</t>
        </is>
      </c>
    </row>
    <row r="43">
      <c r="A43" s="4">
        <v>46300</v>
      </c>
      <c r="B43" s="9">
        <f>IF(A43="","",IF(DAY(A43)&lt;=3,1,INT((DAY(A43)-4)/7)+2))</f>
        <v>2</v>
      </c>
      <c r="C43" s="9" t="inlineStr">
        <is>
          <t>STARBUCKS STORE 26286 NEW YORK NY 10/04 (...0119)</t>
        </is>
      </c>
      <c r="D43" s="9" t="inlineStr">
        <is>
          <t>Starbucks</t>
        </is>
      </c>
      <c r="E43" s="9" t="inlineStr">
        <is>
          <t>Dining</t>
        </is>
      </c>
      <c r="F43" s="9" t="inlineStr">
        <is>
          <t>Coffee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>
        <v>7.57</v>
      </c>
      <c r="K43" s="9" t="inlineStr">
        <is>
          <t>Chase (...0119); Posted 2026-10-05; Balance shown: $7,826.20</t>
        </is>
      </c>
    </row>
    <row r="44">
      <c r="A44" s="4">
        <v>46300</v>
      </c>
      <c r="B44" s="9">
        <f>IF(A44="","",IF(DAY(A44)&lt;=3,1,INT((DAY(A44)-4)/7)+2))</f>
        <v>2</v>
      </c>
      <c r="C44" s="9" t="inlineStr">
        <is>
          <t>MTA*NYCT PAYGO NEW YORK NY 10/03 (...0119)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>
        <v>3.00</v>
      </c>
      <c r="K44" s="9" t="inlineStr">
        <is>
          <t>Chase (...0119); Posted 2026-10-05; Balance shown: $7,833.77</t>
        </is>
      </c>
    </row>
    <row r="45">
      <c r="A45" s="4">
        <v>46300</v>
      </c>
      <c r="B45" s="9">
        <f>IF(A45="","",IF(DAY(A45)&lt;=3,1,INT((DAY(A45)-4)/7)+2))</f>
        <v>2</v>
      </c>
      <c r="C45" s="9" t="inlineStr">
        <is>
          <t>MTA*NYCT PAYGO NEW YORK NY 10/03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>
        <v>3.00</v>
      </c>
      <c r="K45" s="9" t="inlineStr">
        <is>
          <t>Chase (...0119); Posted 2026-10-05; Balance shown: $7,836.77</t>
        </is>
      </c>
    </row>
    <row r="46">
      <c r="A46" s="4">
        <v>46300</v>
      </c>
      <c r="B46" s="9">
        <f>IF(A46="","",IF(DAY(A46)&lt;=3,1,INT((DAY(A46)-4)/7)+2))</f>
        <v>2</v>
      </c>
      <c r="C46" s="9" t="inlineStr">
        <is>
          <t>TST* SALT AND STRAW - H NEW YORK NY 10/04 (...0119)</t>
        </is>
      </c>
      <c r="D46" s="9" t="inlineStr">
        <is>
          <t>Salt &amp; Straw</t>
        </is>
      </c>
      <c r="E46" s="9" t="inlineStr">
        <is>
          <t>Dining</t>
        </is>
      </c>
      <c r="F46" s="9" t="inlineStr">
        <is>
          <t>Ice cream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>
        <v>8.44</v>
      </c>
      <c r="K46" s="9" t="inlineStr">
        <is>
          <t>Chase (...0119); Posted 2026-10-05; Balance shown: $7,839.77</t>
        </is>
      </c>
    </row>
    <row r="47">
      <c r="A47" s="4">
        <v>46300</v>
      </c>
      <c r="B47" s="9">
        <f>IF(A47="","",IF(DAY(A47)&lt;=3,1,INT((DAY(A47)-4)/7)+2))</f>
        <v>2</v>
      </c>
      <c r="C47" s="9" t="inlineStr">
        <is>
          <t>MTA*NYCT PAYGO NEW YORK NY 10/03 (...0119)</t>
        </is>
      </c>
      <c r="D47" s="9" t="inlineStr">
        <is>
          <t>MTA NYCT Paygo</t>
        </is>
      </c>
      <c r="E47" s="9" t="inlineStr">
        <is>
          <t>Transportation</t>
        </is>
      </c>
      <c r="F47" s="9" t="inlineStr">
        <is>
          <t>Public transit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3.00</v>
      </c>
      <c r="K47" s="9" t="inlineStr">
        <is>
          <t>Chase (...0119); Posted 2026-10-05; Balance shown: $7,848.21</t>
        </is>
      </c>
    </row>
    <row r="48">
      <c r="A48" s="4">
        <v>46300</v>
      </c>
      <c r="B48" s="9">
        <f>IF(A48="","",IF(DAY(A48)&lt;=3,1,INT((DAY(A48)-4)/7)+2))</f>
        <v>2</v>
      </c>
      <c r="C48" s="9" t="inlineStr">
        <is>
          <t>MTA*NYCT PAYGO NEW YORK NY 10/02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3.00</v>
      </c>
      <c r="K48" s="9" t="inlineStr">
        <is>
          <t>Chase (...0119); Posted 2026-10-05; Balance shown: $7,851.21</t>
        </is>
      </c>
    </row>
    <row r="49">
      <c r="A49" s="4">
        <v>46300</v>
      </c>
      <c r="B49" s="9">
        <f>IF(A49="","",IF(DAY(A49)&lt;=3,1,INT((DAY(A49)-4)/7)+2))</f>
        <v>2</v>
      </c>
      <c r="C49" s="9" t="inlineStr">
        <is>
          <t>TOPIA NEWS STAND BROOKLYN NY 10/02 (...0119)</t>
        </is>
      </c>
      <c r="D49" s="9" t="inlineStr">
        <is>
          <t>Topia News Stand</t>
        </is>
      </c>
      <c r="E49" s="9" t="inlineStr">
        <is>
          <t>Shopping</t>
        </is>
      </c>
      <c r="F49" s="9" t="inlineStr">
        <is>
          <t>Newsstand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31.57</v>
      </c>
      <c r="K49" s="9" t="inlineStr">
        <is>
          <t>Chase (...0119); Posted 2026-10-05; Balance shown: $7,854.21; Category inferred from merchant; purchase details unconfirmed</t>
        </is>
      </c>
    </row>
    <row r="50">
      <c r="A50" s="4">
        <v>46300</v>
      </c>
      <c r="B50" s="9">
        <f>IF(A50="","",IF(DAY(A50)&lt;=3,1,INT((DAY(A50)-4)/7)+2))</f>
        <v>2</v>
      </c>
      <c r="C50" s="9" t="inlineStr">
        <is>
          <t>TST* 7TH STREET BURGER BROOKLYN NY 10/03 (...0119)</t>
        </is>
      </c>
      <c r="D50" s="9" t="inlineStr">
        <is>
          <t>7th Street Burger</t>
        </is>
      </c>
      <c r="E50" s="9" t="inlineStr">
        <is>
          <t>Dining</t>
        </is>
      </c>
      <c r="F50" s="9" t="inlineStr">
        <is>
          <t>Restaurant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10.89</v>
      </c>
      <c r="K50" s="9" t="inlineStr">
        <is>
          <t>Chase (...0119); Posted 2026-10-05; Balance shown: $7,885.78</t>
        </is>
      </c>
    </row>
    <row r="51">
      <c r="A51" s="4">
        <v>46300</v>
      </c>
      <c r="B51" s="9">
        <f>IF(A51="","",IF(DAY(A51)&lt;=3,1,INT((DAY(A51)-4)/7)+2))</f>
        <v>2</v>
      </c>
      <c r="C51" s="9" t="inlineStr">
        <is>
          <t>99 CENT SUPREME PIZZA BROOKLYN NY 10/02 (...0119)</t>
        </is>
      </c>
      <c r="D51" s="9" t="inlineStr">
        <is>
          <t>99 Cent Supreme Pizza</t>
        </is>
      </c>
      <c r="E51" s="9" t="inlineStr">
        <is>
          <t>Dining</t>
        </is>
      </c>
      <c r="F51" s="9" t="inlineStr">
        <is>
          <t>Restaurant/Pizza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3.39</v>
      </c>
      <c r="K51" s="9" t="inlineStr">
        <is>
          <t>Chase (...0119); Posted 2026-10-05; Balance shown: $7,896.67</t>
        </is>
      </c>
    </row>
    <row r="52">
      <c r="A52" s="4">
        <v>46300</v>
      </c>
      <c r="B52" s="9">
        <f>IF(A52="","",IF(DAY(A52)&lt;=3,1,INT((DAY(A52)-4)/7)+2))</f>
        <v>2</v>
      </c>
      <c r="C52" s="9" t="inlineStr">
        <is>
          <t>MTA*NYCT PAYGO NEW YORK NY 10/02 (...0119)</t>
        </is>
      </c>
      <c r="D52" s="9" t="inlineStr">
        <is>
          <t>MTA NYCT Paygo</t>
        </is>
      </c>
      <c r="E52" s="9" t="inlineStr">
        <is>
          <t>Transportation</t>
        </is>
      </c>
      <c r="F52" s="9" t="inlineStr">
        <is>
          <t>Public transit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3.00</v>
      </c>
      <c r="K52" s="9" t="inlineStr">
        <is>
          <t>Chase (...0119); Posted 2026-10-05; Balance shown: $7,900.06</t>
        </is>
      </c>
    </row>
    <row r="53">
      <c r="A53" s="4">
        <v>46300</v>
      </c>
      <c r="B53" s="9">
        <f>IF(A53="","",IF(DAY(A53)&lt;=3,1,INT((DAY(A53)-4)/7)+2))</f>
        <v>2</v>
      </c>
      <c r="C53" s="9" t="inlineStr">
        <is>
          <t>MILANO PIZZA &amp; PASTA NEW YORK NY 10/01 (...0119)</t>
        </is>
      </c>
      <c r="D53" s="9" t="inlineStr">
        <is>
          <t>Milano Pizza &amp; Pasta</t>
        </is>
      </c>
      <c r="E53" s="9" t="inlineStr">
        <is>
          <t>Dining</t>
        </is>
      </c>
      <c r="F53" s="9" t="inlineStr">
        <is>
          <t>Restaurant/Pizza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4.81</v>
      </c>
      <c r="K53" s="9" t="inlineStr">
        <is>
          <t>Chase (...0119); Posted 2026-10-05; Balance shown: $7,903.06</t>
        </is>
      </c>
    </row>
    <row r="54">
      <c r="A54" s="4">
        <v>46301</v>
      </c>
      <c r="B54" s="9">
        <f>IF(A54="","",IF(DAY(A54)&lt;=3,1,INT((DAY(A54)-4)/7)+2))</f>
        <v>2</v>
      </c>
      <c r="C54" s="9" t="inlineStr">
        <is>
          <t>MTA*NYCT PAYGO NEW YORK NY 10/05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2.00</v>
      </c>
      <c r="K54" s="9" t="inlineStr">
        <is>
          <t>Chase (...0119); Posted 2026-10-06; Balance shown: $7,762.09</t>
        </is>
      </c>
    </row>
    <row r="55">
      <c r="A55" s="4">
        <v>46302</v>
      </c>
      <c r="B55" s="9">
        <f>IF(A55="","",IF(DAY(A55)&lt;=3,1,INT((DAY(A55)-4)/7)+2))</f>
        <v>2</v>
      </c>
      <c r="C55" s="9" t="inlineStr">
        <is>
          <t>MTA*NYCT PAYGO NEW YORK NY 10/06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3.00</v>
      </c>
      <c r="K55" s="9" t="inlineStr">
        <is>
          <t>Chase (...0119); Posted 2026-10-07; Balance shown: $7,590.59</t>
        </is>
      </c>
    </row>
    <row r="56">
      <c r="A56" s="4">
        <v>46302</v>
      </c>
      <c r="B56" s="9">
        <f>IF(A56="","",IF(DAY(A56)&lt;=3,1,INT((DAY(A56)-4)/7)+2))</f>
        <v>2</v>
      </c>
      <c r="C56" s="9" t="inlineStr">
        <is>
          <t>TST* 7TH STREET BURGER BROOKLYN NY 10/07 (...0119)</t>
        </is>
      </c>
      <c r="D56" s="9" t="inlineStr">
        <is>
          <t>7th Street Burger</t>
        </is>
      </c>
      <c r="E56" s="9" t="inlineStr">
        <is>
          <t>Dining</t>
        </is>
      </c>
      <c r="F56" s="9" t="inlineStr">
        <is>
          <t>Restaurant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>
        <v>10.89</v>
      </c>
      <c r="K56" s="9" t="inlineStr">
        <is>
          <t>Chase (...0119); Posted 2026-10-07; Balance shown: $7,593.59</t>
        </is>
      </c>
    </row>
    <row r="57">
      <c r="A57" s="4">
        <v>46302</v>
      </c>
      <c r="B57" s="9">
        <f>IF(A57="","",IF(DAY(A57)&lt;=3,1,INT((DAY(A57)-4)/7)+2))</f>
        <v>2</v>
      </c>
      <c r="C57" s="9" t="inlineStr">
        <is>
          <t>OPENAI *CHATGPT SUBSCR OPENAI.COM CA 10/06 (...0119)</t>
        </is>
      </c>
      <c r="D57" s="9" t="inlineStr">
        <is>
          <t>OpenAI ChatGPT</t>
        </is>
      </c>
      <c r="E57" s="9" t="inlineStr">
        <is>
          <t>Education</t>
        </is>
      </c>
      <c r="F57" s="9" t="inlineStr">
        <is>
          <t>Software subscription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>
        <v>118.78</v>
      </c>
      <c r="K57" s="9" t="inlineStr">
        <is>
          <t>Chase (...0119); Posted 2026-10-07; Balance shown: $7,604.48</t>
        </is>
      </c>
    </row>
    <row r="58">
      <c r="A58" s="4">
        <v>46302</v>
      </c>
      <c r="B58" s="9">
        <f>IF(A58="","",IF(DAY(A58)&lt;=3,1,INT((DAY(A58)-4)/7)+2))</f>
        <v>2</v>
      </c>
      <c r="C58" s="9" t="inlineStr">
        <is>
          <t>MTA*NYCT PAYGO NEW YORK NY 10/06 (...0119)</t>
        </is>
      </c>
      <c r="D58" s="9" t="inlineStr">
        <is>
          <t>MTA NYCT Paygo</t>
        </is>
      </c>
      <c r="E58" s="9" t="inlineStr">
        <is>
          <t>Transportation</t>
        </is>
      </c>
      <c r="F58" s="9" t="inlineStr">
        <is>
          <t>Public transit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>
        <v>3.00</v>
      </c>
      <c r="K58" s="9" t="inlineStr">
        <is>
          <t>Chase (...0119); Posted 2026-10-07; Balance shown: $7,723.26</t>
        </is>
      </c>
    </row>
    <row r="59">
      <c r="A59" s="4">
        <v>46302</v>
      </c>
      <c r="B59" s="9">
        <f>IF(A59="","",IF(DAY(A59)&lt;=3,1,INT((DAY(A59)-4)/7)+2))</f>
        <v>2</v>
      </c>
      <c r="C59" s="9" t="inlineStr">
        <is>
          <t>GOLDEN DELI CORP NEW YORK NY 10/06 (...0119)</t>
        </is>
      </c>
      <c r="D59" s="9" t="inlineStr">
        <is>
          <t>Golden Deli</t>
        </is>
      </c>
      <c r="E59" s="9" t="inlineStr">
        <is>
          <t>Dining</t>
        </is>
      </c>
      <c r="F59" s="9" t="inlineStr">
        <is>
          <t>Deli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>
        <v>22.65</v>
      </c>
      <c r="K59" s="9" t="inlineStr">
        <is>
          <t>Chase (...0119); Posted 2026-10-07; Balance shown: $7,726.26; Category inferred from merchant; purchase details unconfirmed</t>
        </is>
      </c>
    </row>
    <row r="60">
      <c r="A60" s="4">
        <v>46302</v>
      </c>
      <c r="B60" s="9">
        <f>IF(A60="","",IF(DAY(A60)&lt;=3,1,INT((DAY(A60)-4)/7)+2))</f>
        <v>2</v>
      </c>
      <c r="C60" s="9" t="inlineStr">
        <is>
          <t>AMAZON MKTPL*594TT0X Amzn.com/bill WA 10/06 (...0119)</t>
        </is>
      </c>
      <c r="D60" s="9" t="inlineStr">
        <is>
          <t>Amazon</t>
        </is>
      </c>
      <c r="E60" s="9" t="inlineStr">
        <is>
          <t>Shopping</t>
        </is>
      </c>
      <c r="F60" s="9" t="inlineStr">
        <is>
          <t>Retail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>
        <v>9.79</v>
      </c>
      <c r="K60" s="9" t="inlineStr">
        <is>
          <t>Chase (...0119); Posted 2026-10-07; Balance shown: $7,748.91; Category inferred from merchant; purchase details unconfirmed</t>
        </is>
      </c>
    </row>
    <row r="61">
      <c r="A61" s="4">
        <v>46302</v>
      </c>
      <c r="B61" s="9">
        <f>IF(A61="","",IF(DAY(A61)&lt;=3,1,INT((DAY(A61)-4)/7)+2))</f>
        <v>2</v>
      </c>
      <c r="C61" s="9" t="inlineStr">
        <is>
          <t>99 CENT SUPREME PIZZA BROOKLYN NY 10/05 (...0119)</t>
        </is>
      </c>
      <c r="D61" s="9" t="inlineStr">
        <is>
          <t>99 Cent Supreme Pizza</t>
        </is>
      </c>
      <c r="E61" s="9" t="inlineStr">
        <is>
          <t>Dining</t>
        </is>
      </c>
      <c r="F61" s="9" t="inlineStr">
        <is>
          <t>Restaurant/Pizza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>
        <v>3.39</v>
      </c>
      <c r="K61" s="9" t="inlineStr">
        <is>
          <t>Chase (...0119); Posted 2026-10-07; Balance shown: $7,758.70</t>
        </is>
      </c>
    </row>
    <row r="62">
      <c r="A62" s="4">
        <v>46303</v>
      </c>
      <c r="B62" s="9">
        <f>IF(A62="","",IF(DAY(A62)&lt;=3,1,INT((DAY(A62)-4)/7)+2))</f>
        <v>2</v>
      </c>
      <c r="C62" s="9" t="inlineStr">
        <is>
          <t>Zelle payment to YI HUANG 31139004829</t>
        </is>
      </c>
      <c r="D62" s="9" t="inlineStr">
        <is>
          <t>YI HUANG</t>
        </is>
      </c>
      <c r="E62" s="9" t="inlineStr">
        <is>
          <t>Dining</t>
        </is>
      </c>
      <c r="F62" s="9" t="inlineStr">
        <is>
          <t>Restaurant</t>
        </is>
      </c>
      <c r="G62" s="9" t="inlineStr">
        <is>
          <t>Checking</t>
        </is>
      </c>
      <c r="H62" s="9" t="inlineStr">
        <is>
          <t>Venmo/Zelle/PayPal</t>
        </is>
      </c>
      <c r="I62" s="9" t="inlineStr">
        <is>
          <t>Expense</t>
        </is>
      </c>
      <c r="J62" s="3">
        <v>2.50</v>
      </c>
      <c r="K62" s="9" t="inlineStr">
        <is>
          <t>Chase (...0119); Posted 2026-10-08; Balance shown: $7,586.09</t>
        </is>
      </c>
    </row>
    <row r="63">
      <c r="A63" s="4">
        <v>46303</v>
      </c>
      <c r="B63" s="9">
        <f>IF(A63="","",IF(DAY(A63)&lt;=3,1,INT((DAY(A63)-4)/7)+2))</f>
        <v>2</v>
      </c>
      <c r="C63" s="9" t="inlineStr">
        <is>
          <t>Zelle payment to SORA KAKIGI JPM99cz7fxgk</t>
        </is>
      </c>
      <c r="D63" s="9" t="inlineStr">
        <is>
          <t>SORA KAKIGI</t>
        </is>
      </c>
      <c r="E63" s="9" t="inlineStr">
        <is>
          <t>Dining</t>
        </is>
      </c>
      <c r="F63" s="9" t="inlineStr">
        <is>
          <t>Restaurant</t>
        </is>
      </c>
      <c r="G63" s="9" t="inlineStr">
        <is>
          <t>Checking</t>
        </is>
      </c>
      <c r="H63" s="9" t="inlineStr">
        <is>
          <t>Venmo/Zelle/PayPal</t>
        </is>
      </c>
      <c r="I63" s="9" t="inlineStr">
        <is>
          <t>Expense</t>
        </is>
      </c>
      <c r="J63" s="3">
        <v>2.00</v>
      </c>
      <c r="K63" s="9" t="inlineStr">
        <is>
          <t>Chase (...0119); Posted 2026-10-08; Balance shown: $7,588.59</t>
        </is>
      </c>
    </row>
    <row r="64">
      <c r="A64" s="4">
        <v>46304</v>
      </c>
      <c r="B64" s="9">
        <f>IF(A64="","",IF(DAY(A64)&lt;=3,1,INT((DAY(A64)-4)/7)+2))</f>
        <v>2</v>
      </c>
      <c r="C64" s="9" t="inlineStr">
        <is>
          <t>MTA*NYCT PAYGO NEW YORK NY 10/08 (...0119)</t>
        </is>
      </c>
      <c r="D64" s="9" t="inlineStr">
        <is>
          <t>MTA NYCT Paygo</t>
        </is>
      </c>
      <c r="E64" s="9" t="inlineStr">
        <is>
          <t>Transportation</t>
        </is>
      </c>
      <c r="F64" s="9" t="inlineStr">
        <is>
          <t>Public transit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>
        <v>3.00</v>
      </c>
      <c r="K64" s="9" t="inlineStr">
        <is>
          <t>Chase (...0119); Posted 2026-10-09; Balance shown: $7,577.09</t>
        </is>
      </c>
    </row>
    <row r="65">
      <c r="A65" s="4">
        <v>46304</v>
      </c>
      <c r="B65" s="9">
        <f>IF(A65="","",IF(DAY(A65)&lt;=3,1,INT((DAY(A65)-4)/7)+2))</f>
        <v>2</v>
      </c>
      <c r="C65" s="9" t="inlineStr">
        <is>
          <t>MTA*NYCT PAYGO NEW YORK NY 10/08 (...0119)</t>
        </is>
      </c>
      <c r="D65" s="9" t="inlineStr">
        <is>
          <t>MTA NYCT Paygo</t>
        </is>
      </c>
      <c r="E65" s="9" t="inlineStr">
        <is>
          <t>Transportation</t>
        </is>
      </c>
      <c r="F65" s="9" t="inlineStr">
        <is>
          <t>Public transit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>
        <v>3.00</v>
      </c>
      <c r="K65" s="9" t="inlineStr">
        <is>
          <t>Chase (...0119); Posted 2026-10-09; Balance shown: $7,580.09</t>
        </is>
      </c>
    </row>
    <row r="66">
      <c r="A66" s="4">
        <v>46304</v>
      </c>
      <c r="B66" s="9">
        <f>IF(A66="","",IF(DAY(A66)&lt;=3,1,INT((DAY(A66)-4)/7)+2))</f>
        <v>2</v>
      </c>
      <c r="C66" s="9" t="inlineStr">
        <is>
          <t>MTA*NYCT PAYGO NEW YORK NY 10/08 (...0119)</t>
        </is>
      </c>
      <c r="D66" s="9" t="inlineStr">
        <is>
          <t>MTA NYCT Paygo</t>
        </is>
      </c>
      <c r="E66" s="9" t="inlineStr">
        <is>
          <t>Transportation</t>
        </is>
      </c>
      <c r="F66" s="9" t="inlineStr">
        <is>
          <t>Public transit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>
        <v>3.00</v>
      </c>
      <c r="K66" s="9" t="inlineStr">
        <is>
          <t>Chase (...0119); Posted 2026-10-09; Balance shown: $7,583.09</t>
        </is>
      </c>
    </row>
    <row r="67">
      <c r="A67" s="4">
        <v>46308</v>
      </c>
      <c r="B67" s="9">
        <f>IF(A67="","",IF(DAY(A67)&lt;=3,1,INT((DAY(A67)-4)/7)+2))</f>
        <v>3</v>
      </c>
      <c r="C67" s="9" t="inlineStr">
        <is>
          <t>NEW YORK UNIVERS DIRECT DEP PPD ID: 5135562308</t>
        </is>
      </c>
      <c r="D67" s="9" t="inlineStr">
        <is>
          <t>New York University</t>
        </is>
      </c>
      <c r="E67" s="9" t="inlineStr">
        <is>
          <t>Income</t>
        </is>
      </c>
      <c r="F67" s="9" t="inlineStr">
        <is>
          <t>Salary/Direct deposit</t>
        </is>
      </c>
      <c r="G67" s="9" t="inlineStr">
        <is>
          <t>Checking</t>
        </is>
      </c>
      <c r="H67" s="9" t="inlineStr">
        <is>
          <t>ACH</t>
        </is>
      </c>
      <c r="I67" s="9" t="inlineStr">
        <is>
          <t>Income</t>
        </is>
      </c>
      <c r="J67" s="3">
        <v>1548.00</v>
      </c>
      <c r="K67" s="9" t="inlineStr">
        <is>
          <t>Chase (...0119); Posted 2026-10-13; Balance shown: $9,125.09</t>
        </is>
      </c>
    </row>
    <row r="68">
      <c r="A68" s="4">
        <v>46308</v>
      </c>
      <c r="B68" s="9">
        <f>IF(A68="","",IF(DAY(A68)&lt;=3,1,INT((DAY(A68)-4)/7)+2))</f>
        <v>3</v>
      </c>
      <c r="C68" s="9" t="inlineStr">
        <is>
          <t>CITY LINE CONVENIENCE C NEW YORK NY 10/08 (...0119)</t>
        </is>
      </c>
      <c r="D68" s="9" t="inlineStr">
        <is>
          <t>City Line Convenience</t>
        </is>
      </c>
      <c r="E68" s="9" t="inlineStr">
        <is>
          <t>Groceries</t>
        </is>
      </c>
      <c r="F68" s="9" t="inlineStr">
        <is>
          <t>Convenience store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>
        <v>4.16</v>
      </c>
      <c r="K68" s="9" t="inlineStr">
        <is>
          <t>Chase (...0119); Posted 2026-10-13; Balance shown: $9,120.93</t>
        </is>
      </c>
    </row>
    <row r="69">
      <c r="A69" s="4">
        <v>46308</v>
      </c>
      <c r="B69" s="9">
        <f>IF(A69="","",IF(DAY(A69)&lt;=3,1,INT((DAY(A69)-4)/7)+2))</f>
        <v>3</v>
      </c>
      <c r="C69" s="9" t="inlineStr">
        <is>
          <t>TMOBILE*PREPD AUTOPY 877-778-2106 WA 10/10 (...0119)</t>
        </is>
      </c>
      <c r="D69" s="9" t="inlineStr">
        <is>
          <t>T-Mobile</t>
        </is>
      </c>
      <c r="E69" s="9" t="inlineStr">
        <is>
          <t>Utilities</t>
        </is>
      </c>
      <c r="F69" s="9" t="inlineStr">
        <is>
          <t>Mobile phone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50.19</v>
      </c>
      <c r="K69" s="9" t="inlineStr">
        <is>
          <t>Chase (...0119); Posted 2026-10-13; Balance shown: $9,070.74</t>
        </is>
      </c>
    </row>
    <row r="70">
      <c r="A70" s="4">
        <v>46308</v>
      </c>
      <c r="B70" s="9">
        <f>IF(A70="","",IF(DAY(A70)&lt;=3,1,INT((DAY(A70)-4)/7)+2))</f>
        <v>3</v>
      </c>
      <c r="C70" s="9" t="inlineStr">
        <is>
          <t>MTA*NYCT PAYGO NEW YORK NY 10/09 (...0119)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3.00</v>
      </c>
      <c r="K70" s="9" t="inlineStr">
        <is>
          <t>Chase (...0119); Posted 2026-10-13; Balance shown: $9,067.74</t>
        </is>
      </c>
    </row>
    <row r="71">
      <c r="A71" s="4">
        <v>46308</v>
      </c>
      <c r="B71" s="9">
        <f>IF(A71="","",IF(DAY(A71)&lt;=3,1,INT((DAY(A71)-4)/7)+2))</f>
        <v>3</v>
      </c>
      <c r="C71" s="9" t="inlineStr">
        <is>
          <t>MTA*NYCT PAYGO NEW YORK NY 10/09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Chase (...0119); Posted 2026-10-13; Balance shown: $9,064.74</t>
        </is>
      </c>
    </row>
    <row r="72">
      <c r="A72" s="4">
        <v>46308</v>
      </c>
      <c r="B72" s="9">
        <f>IF(A72="","",IF(DAY(A72)&lt;=3,1,INT((DAY(A72)-4)/7)+2))</f>
        <v>3</v>
      </c>
      <c r="C72" s="9" t="inlineStr">
        <is>
          <t>TST*COSPA RAMEN New York NY 10/09 (...0119)</t>
        </is>
      </c>
      <c r="D72" s="9" t="inlineStr">
        <is>
          <t>Cospa Ramen</t>
        </is>
      </c>
      <c r="E72" s="9" t="inlineStr">
        <is>
          <t>Dining</t>
        </is>
      </c>
      <c r="F72" s="9" t="inlineStr">
        <is>
          <t>Restaurant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17.79</v>
      </c>
      <c r="K72" s="9" t="inlineStr">
        <is>
          <t>Chase (...0119); Posted 2026-10-13; Balance shown: $9,046.95</t>
        </is>
      </c>
    </row>
    <row r="73">
      <c r="A73" s="4">
        <v>46308</v>
      </c>
      <c r="B73" s="9">
        <f>IF(A73="","",IF(DAY(A73)&lt;=3,1,INT((DAY(A73)-4)/7)+2))</f>
        <v>3</v>
      </c>
      <c r="C73" s="9" t="inlineStr">
        <is>
          <t>MTA*NYCT PAYGO NEW YORK NY 10/09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Chase (...0119); Posted 2026-10-13; Balance shown: $9,043.95</t>
        </is>
      </c>
    </row>
    <row r="74">
      <c r="A74" s="4">
        <v>46308</v>
      </c>
      <c r="B74" s="9">
        <f>IF(A74="","",IF(DAY(A74)&lt;=3,1,INT((DAY(A74)-4)/7)+2))</f>
        <v>3</v>
      </c>
      <c r="C74" s="9" t="inlineStr">
        <is>
          <t>AMAZON MKTPL*5E29B6S Amzn.com/bill WA 10/10 (...0119)</t>
        </is>
      </c>
      <c r="D74" s="9" t="inlineStr">
        <is>
          <t>Amazon</t>
        </is>
      </c>
      <c r="E74" s="9" t="inlineStr">
        <is>
          <t>Shopping</t>
        </is>
      </c>
      <c r="F74" s="9" t="inlineStr">
        <is>
          <t>Retail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13.05</v>
      </c>
      <c r="K74" s="9" t="inlineStr">
        <is>
          <t>Chase (...0119); Posted 2026-10-13; Balance shown: $9,030.90</t>
        </is>
      </c>
    </row>
    <row r="75">
      <c r="A75" s="4">
        <v>46308</v>
      </c>
      <c r="B75" s="9">
        <f>IF(A75="","",IF(DAY(A75)&lt;=3,1,INT((DAY(A75)-4)/7)+2))</f>
        <v>3</v>
      </c>
      <c r="C75" s="9" t="inlineStr">
        <is>
          <t>UBER EATS SAN FRANCISCO CA 706605 10/11 (...0119)</t>
        </is>
      </c>
      <c r="D75" s="9" t="inlineStr">
        <is>
          <t>Uber Eats</t>
        </is>
      </c>
      <c r="E75" s="9" t="inlineStr">
        <is>
          <t>Dining</t>
        </is>
      </c>
      <c r="F75" s="9" t="inlineStr">
        <is>
          <t>Food delivery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25.42</v>
      </c>
      <c r="K75" s="9" t="inlineStr">
        <is>
          <t>Chase (...0119); Posted 2026-10-13; Balance shown: $9,005.48</t>
        </is>
      </c>
    </row>
    <row r="76">
      <c r="A76" s="4">
        <v>46308</v>
      </c>
      <c r="B76" s="9">
        <f>IF(A76="","",IF(DAY(A76)&lt;=3,1,INT((DAY(A76)-4)/7)+2))</f>
        <v>3</v>
      </c>
      <c r="C76" s="9" t="inlineStr">
        <is>
          <t>APPLE.COM/BILL 866-712-7753 CA 10/12 (...0119)</t>
        </is>
      </c>
      <c r="D76" s="9" t="inlineStr">
        <is>
          <t>Apple</t>
        </is>
      </c>
      <c r="E76" s="9" t="inlineStr">
        <is>
          <t>Entertainment</t>
        </is>
      </c>
      <c r="F76" s="9" t="inlineStr">
        <is>
          <t>Digital services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Chase (...0119); Posted 2026-10-13; Balance shown: $9,002.49</t>
        </is>
      </c>
    </row>
    <row r="77">
      <c r="A77" s="4">
        <v>46308</v>
      </c>
      <c r="B77" s="9">
        <f>IF(A77="","",IF(DAY(A77)&lt;=3,1,INT((DAY(A77)-4)/7)+2))</f>
        <v>3</v>
      </c>
      <c r="C77" s="9" t="inlineStr">
        <is>
          <t>FOOD UNIVERSE # 1908 NEW YORK NY 10/12 (...0119)</t>
        </is>
      </c>
      <c r="D77" s="9" t="inlineStr">
        <is>
          <t>Food Universe</t>
        </is>
      </c>
      <c r="E77" s="9" t="inlineStr">
        <is>
          <t>Groceries</t>
        </is>
      </c>
      <c r="F77" s="9" t="inlineStr">
        <is>
          <t>Groceries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6.51</v>
      </c>
      <c r="K77" s="9" t="inlineStr">
        <is>
          <t>Chase (...0119); Posted 2026-10-13; Balance shown: $8,995.98</t>
        </is>
      </c>
    </row>
    <row r="78">
      <c r="A78" s="4">
        <v>46308</v>
      </c>
      <c r="B78" s="9">
        <f>IF(A78="","",IF(DAY(A78)&lt;=3,1,INT((DAY(A78)-4)/7)+2))</f>
        <v>3</v>
      </c>
      <c r="C78" s="9" t="inlineStr">
        <is>
          <t>MTA*NYCT PAYGO NEW YORK NY 10/12 (...0119)</t>
        </is>
      </c>
      <c r="D78" s="9" t="inlineStr">
        <is>
          <t>MTA NYCT Paygo</t>
        </is>
      </c>
      <c r="E78" s="9" t="inlineStr">
        <is>
          <t>Transportation</t>
        </is>
      </c>
      <c r="F78" s="9" t="inlineStr">
        <is>
          <t>Public transit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3.00</v>
      </c>
      <c r="K78" s="9" t="inlineStr">
        <is>
          <t>Chase (...0119); Posted 2026-10-13; Balance shown: $8,992.98</t>
        </is>
      </c>
    </row>
    <row r="79">
      <c r="A79" s="4">
        <v>46308</v>
      </c>
      <c r="B79" s="9">
        <f>IF(A79="","",IF(DAY(A79)&lt;=3,1,INT((DAY(A79)-4)/7)+2))</f>
        <v>3</v>
      </c>
      <c r="C79" s="9" t="inlineStr">
        <is>
          <t>HANA MART COLUMBIA CORP NEW YORK NY 10/12 (...0119)</t>
        </is>
      </c>
      <c r="D79" s="9" t="inlineStr">
        <is>
          <t>Hana Mart</t>
        </is>
      </c>
      <c r="E79" s="9" t="inlineStr">
        <is>
          <t>Groceries</t>
        </is>
      </c>
      <c r="F79" s="9" t="inlineStr">
        <is>
          <t>Groceries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31.11</v>
      </c>
      <c r="K79" s="9" t="inlineStr">
        <is>
          <t>Chase (...0119); Posted 2026-10-13; Balance shown: $8,961.87</t>
        </is>
      </c>
    </row>
    <row r="80">
      <c r="A80" s="4">
        <v>46308</v>
      </c>
      <c r="B80" s="9">
        <f>IF(A80="","",IF(DAY(A80)&lt;=3,1,INT((DAY(A80)-4)/7)+2))</f>
        <v>3</v>
      </c>
      <c r="C80" s="9" t="inlineStr">
        <is>
          <t>MTA*NYCT PAYGO NEW YORK NY 10/12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3.00</v>
      </c>
      <c r="K80" s="9" t="inlineStr">
        <is>
          <t>Chase (...0119); Posted 2026-10-13; Balance shown: $8,958.87</t>
        </is>
      </c>
    </row>
    <row r="81">
      <c r="A81" s="4">
        <v>46308</v>
      </c>
      <c r="B81" s="9">
        <f>IF(A81="","",IF(DAY(A81)&lt;=3,1,INT((DAY(A81)-4)/7)+2))</f>
        <v>3</v>
      </c>
      <c r="C81" s="9" t="inlineStr">
        <is>
          <t>TRADER JOE S #54 445 G NEW YORK NY 174119 10/13 (...0119)</t>
        </is>
      </c>
      <c r="D81" s="9" t="inlineStr">
        <is>
          <t>Trader Joe's</t>
        </is>
      </c>
      <c r="E81" s="9" t="inlineStr">
        <is>
          <t>Groceries</t>
        </is>
      </c>
      <c r="F81" s="9" t="inlineStr">
        <is>
          <t>Groceries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>
        <v>26.83</v>
      </c>
      <c r="K81" s="9" t="inlineStr">
        <is>
          <t>Chase (...0119); Posted 2026-10-13; Balance shown: $8,932.04</t>
        </is>
      </c>
    </row>
    <row r="82">
      <c r="A82" s="4">
        <v>46309</v>
      </c>
      <c r="B82" s="9">
        <f>IF(A82="","",IF(DAY(A82)&lt;=3,1,INT((DAY(A82)-4)/7)+2))</f>
        <v>3</v>
      </c>
      <c r="C82" s="9" t="inlineStr">
        <is>
          <t>MTA*NYCT PAYGO NEW YORK NY 10/13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>
        <v>3.00</v>
      </c>
      <c r="K82" s="9" t="inlineStr">
        <is>
          <t>Chase (...0119); Posted 2026-10-14; Balance shown: $8,929.04</t>
        </is>
      </c>
    </row>
    <row r="83">
      <c r="A83" s="4">
        <v>46309</v>
      </c>
      <c r="B83" s="9">
        <f>IF(A83="","",IF(DAY(A83)&lt;=3,1,INT((DAY(A83)-4)/7)+2))</f>
        <v>3</v>
      </c>
      <c r="C83" s="9" t="inlineStr">
        <is>
          <t>MTA*NYCT PAYGO NEW YORK NY 10/13 (...0119)</t>
        </is>
      </c>
      <c r="D83" s="9" t="inlineStr">
        <is>
          <t>MTA NYCT Paygo</t>
        </is>
      </c>
      <c r="E83" s="9" t="inlineStr">
        <is>
          <t>Transportation</t>
        </is>
      </c>
      <c r="F83" s="9" t="inlineStr">
        <is>
          <t>Public transit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>
        <v>3.00</v>
      </c>
      <c r="K83" s="9" t="inlineStr">
        <is>
          <t>Chase (...0119); Posted 2026-10-14; Balance shown: $8,926.04</t>
        </is>
      </c>
    </row>
    <row r="84">
      <c r="A84" s="4">
        <v>46309</v>
      </c>
      <c r="B84" s="9">
        <f>IF(A84="","",IF(DAY(A84)&lt;=3,1,INT((DAY(A84)-4)/7)+2))</f>
        <v>3</v>
      </c>
      <c r="C84" s="9" t="inlineStr">
        <is>
          <t>HANA MART COLUMBIA CORP NEW YORK NY 10/13 (...0119)</t>
        </is>
      </c>
      <c r="D84" s="9" t="inlineStr">
        <is>
          <t>Hana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>
        <v>18.89</v>
      </c>
      <c r="K84" s="9" t="inlineStr">
        <is>
          <t>Chase (...0119); Posted 2026-10-14; Balance shown: $8,907.15</t>
        </is>
      </c>
    </row>
    <row r="85">
      <c r="A85" s="4">
        <v>46309</v>
      </c>
      <c r="B85" s="9">
        <f>IF(A85="","",IF(DAY(A85)&lt;=3,1,INT((DAY(A85)-4)/7)+2))</f>
        <v>3</v>
      </c>
      <c r="C85" s="9" t="inlineStr">
        <is>
          <t>BROADWAY TOBACCO HOUSE NEW YORK NY 10/13 (...0119)</t>
        </is>
      </c>
      <c r="D85" s="9" t="inlineStr">
        <is>
          <t>Broadway Tobacco House</t>
        </is>
      </c>
      <c r="E85" s="9" t="inlineStr">
        <is>
          <t>Shopping</t>
        </is>
      </c>
      <c r="F85" s="9" t="inlineStr">
        <is>
          <t>Tobacco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>
        <v>78.00</v>
      </c>
      <c r="K85" s="9" t="inlineStr">
        <is>
          <t>Chase (...0119); Posted 2026-10-14; Balance shown: $8,829.15</t>
        </is>
      </c>
    </row>
    <row r="86">
      <c r="A86" s="4">
        <v>46309</v>
      </c>
      <c r="B86" s="9">
        <f>IF(A86="","",IF(DAY(A86)&lt;=3,1,INT((DAY(A86)-4)/7)+2))</f>
        <v>3</v>
      </c>
      <c r="C86" s="9" t="inlineStr">
        <is>
          <t>MTA*NYCT PAYGO NEW YORK NY 10/13 (...0119)</t>
        </is>
      </c>
      <c r="D86" s="9" t="inlineStr">
        <is>
          <t>MTA NYCT Paygo</t>
        </is>
      </c>
      <c r="E86" s="9" t="inlineStr">
        <is>
          <t>Transportation</t>
        </is>
      </c>
      <c r="F86" s="9" t="inlineStr">
        <is>
          <t>Public transit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>
        <v>3.00</v>
      </c>
      <c r="K86" s="9" t="inlineStr">
        <is>
          <t>Chase (...0119); Posted 2026-10-14; Balance shown: $8,826.15</t>
        </is>
      </c>
    </row>
    <row r="87">
      <c r="A87" s="4">
        <v>46310</v>
      </c>
      <c r="B87" s="9">
        <f>IF(A87="","",IF(DAY(A87)&lt;=3,1,INT((DAY(A87)-4)/7)+2))</f>
        <v>3</v>
      </c>
      <c r="C87" s="9" t="inlineStr">
        <is>
          <t>99 CENT SUPREME PIZZA BROOKLYN NY 10/13 (...0119)</t>
        </is>
      </c>
      <c r="D87" s="9" t="inlineStr">
        <is>
          <t>99 Cent Supreme Pizza</t>
        </is>
      </c>
      <c r="E87" s="9" t="inlineStr">
        <is>
          <t>Dining</t>
        </is>
      </c>
      <c r="F87" s="9" t="inlineStr">
        <is>
          <t>Restaurant/Pizza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>
        <v>3.27</v>
      </c>
      <c r="K87" s="9" t="inlineStr">
        <is>
          <t>Chase (...0119); Posted 2026-10-15; Balance shown: $8,822.88</t>
        </is>
      </c>
    </row>
    <row r="88">
      <c r="A88" s="4">
        <v>46311</v>
      </c>
      <c r="B88" s="9">
        <f>IF(A88="","",IF(DAY(A88)&lt;=3,1,INT((DAY(A88)-4)/7)+2))</f>
        <v>3</v>
      </c>
      <c r="C88" s="9" t="inlineStr">
        <is>
          <t>MTA*NYCT PAYGO NEW YORK NY 10/15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>
        <v>3.00</v>
      </c>
      <c r="K88" s="9" t="inlineStr">
        <is>
          <t>Chase (...0119); Posted 2026-10-16; Balance shown: $8,819.88</t>
        </is>
      </c>
    </row>
    <row r="89">
      <c r="A89" s="4">
        <v>46311</v>
      </c>
      <c r="B89" s="9">
        <f>IF(A89="","",IF(DAY(A89)&lt;=3,1,INT((DAY(A89)-4)/7)+2))</f>
        <v>3</v>
      </c>
      <c r="C89" s="9" t="inlineStr">
        <is>
          <t>TST* 7TH STREET BURGER BROOKLYN NY 10/16 (...0119)</t>
        </is>
      </c>
      <c r="D89" s="9" t="inlineStr">
        <is>
          <t>7th Street Burger</t>
        </is>
      </c>
      <c r="E89" s="9" t="inlineStr">
        <is>
          <t>Dining</t>
        </is>
      </c>
      <c r="F89" s="9" t="inlineStr">
        <is>
          <t>Restaurant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11.43</v>
      </c>
      <c r="K89" s="9" t="inlineStr">
        <is>
          <t>Chase (...0119); Posted 2026-10-16; Balance shown: $8,808.45</t>
        </is>
      </c>
    </row>
    <row r="90">
      <c r="A90" s="4">
        <v>46311</v>
      </c>
      <c r="B90" s="9">
        <f>IF(A90="","",IF(DAY(A90)&lt;=3,1,INT((DAY(A90)-4)/7)+2))</f>
        <v>3</v>
      </c>
      <c r="C90" s="9" t="inlineStr">
        <is>
          <t>MTA*NYCT PAYGO NEW YORK NY 10/15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Chase (...0119); Posted 2026-10-16; Balance shown: $8,805.45</t>
        </is>
      </c>
    </row>
    <row r="91">
      <c r="A91" s="4">
        <v>46311</v>
      </c>
      <c r="B91" s="9">
        <f>IF(A91="","",IF(DAY(A91)&lt;=3,1,INT((DAY(A91)-4)/7)+2))</f>
        <v>3</v>
      </c>
      <c r="C91" s="9" t="inlineStr">
        <is>
          <t>TARGET T-2850 445 ALBE BROOKLYN NY 735160 10/16 (...0119)</t>
        </is>
      </c>
      <c r="D91" s="9" t="inlineStr">
        <is>
          <t>Target</t>
        </is>
      </c>
      <c r="E91" s="9" t="inlineStr">
        <is>
          <t>Shopping</t>
        </is>
      </c>
      <c r="F91" s="9" t="inlineStr">
        <is>
          <t>Retail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12.27</v>
      </c>
      <c r="K91" s="9" t="inlineStr">
        <is>
          <t>Chase (...0119); Posted 2026-10-16; Balance shown: $8,793.18</t>
        </is>
      </c>
    </row>
    <row r="92">
      <c r="A92" s="4">
        <v>46311</v>
      </c>
      <c r="B92" s="9">
        <f>IF(A92="","",IF(DAY(A92)&lt;=3,1,INT((DAY(A92)-4)/7)+2))</f>
        <v>3</v>
      </c>
      <c r="C92" s="9" t="inlineStr">
        <is>
          <t>MTA*NYCT PAYGO NEW YORK NY 10/16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Chase (...0119); Posted 2026-10-16; Balance shown: $8,790.18</t>
        </is>
      </c>
    </row>
    <row r="93">
      <c r="A93" s="4">
        <v>46314</v>
      </c>
      <c r="B93" s="9">
        <f>IF(A93="","",IF(DAY(A93)&lt;=3,1,INT((DAY(A93)-4)/7)+2))</f>
        <v>4</v>
      </c>
      <c r="C93" s="9" t="inlineStr">
        <is>
          <t>99 CENT SUPREME PIZZA BROOKLYN NY 10/16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3.27</v>
      </c>
      <c r="K93" s="9" t="inlineStr">
        <is>
          <t>Chase (...0119); Posted 2026-10-19; Balance shown: $8,786.91</t>
        </is>
      </c>
    </row>
    <row r="94">
      <c r="A94" s="4">
        <v>46314</v>
      </c>
      <c r="B94" s="9">
        <f>IF(A94="","",IF(DAY(A94)&lt;=3,1,INT((DAY(A94)-4)/7)+2))</f>
        <v>4</v>
      </c>
      <c r="C94" s="9" t="inlineStr">
        <is>
          <t>PANDA EXPRESS 2614 BROOKLYN NY 10/16 (...0119)</t>
        </is>
      </c>
      <c r="D94" s="9" t="inlineStr">
        <is>
          <t>Panda Express</t>
        </is>
      </c>
      <c r="E94" s="9" t="inlineStr">
        <is>
          <t>Dining</t>
        </is>
      </c>
      <c r="F94" s="9" t="inlineStr">
        <is>
          <t>Restaurant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>
        <v>15.90</v>
      </c>
      <c r="K94" s="9" t="inlineStr">
        <is>
          <t>Chase (...0119); Posted 2026-10-19; Balance shown: $8,771.01</t>
        </is>
      </c>
    </row>
    <row r="95">
      <c r="A95" s="4">
        <v>46314</v>
      </c>
      <c r="B95" s="9">
        <f>IF(A95="","",IF(DAY(A95)&lt;=3,1,INT((DAY(A95)-4)/7)+2))</f>
        <v>4</v>
      </c>
      <c r="C95" s="9" t="inlineStr">
        <is>
          <t>MTA*NYCT PAYGO NEW YORK NY 10/16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3.00</v>
      </c>
      <c r="K95" s="9" t="inlineStr">
        <is>
          <t>Chase (...0119); Posted 2026-10-19; Balance shown: $8,768.01</t>
        </is>
      </c>
    </row>
    <row r="96">
      <c r="A96" s="4">
        <v>46314</v>
      </c>
      <c r="B96" s="9">
        <f>IF(A96="","",IF(DAY(A96)&lt;=3,1,INT((DAY(A96)-4)/7)+2))</f>
        <v>4</v>
      </c>
      <c r="C96" s="9" t="inlineStr">
        <is>
          <t>ANTHROPIC* CLAUDE SU ANTHROPIC.COM CA 10/17 (...0119)</t>
        </is>
      </c>
      <c r="D96" s="9" t="inlineStr">
        <is>
          <t>Anthropic Claude</t>
        </is>
      </c>
      <c r="E96" s="9" t="inlineStr">
        <is>
          <t>Entertainment</t>
        </is>
      </c>
      <c r="F96" s="9" t="inlineStr">
        <is>
          <t>Software/Subscriptions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>
        <v>108.88</v>
      </c>
      <c r="K96" s="9" t="inlineStr">
        <is>
          <t>Chase (...0119); Posted 2026-10-19; Balance shown: $8,659.13</t>
        </is>
      </c>
    </row>
    <row r="97">
      <c r="A97" s="4">
        <v>46314</v>
      </c>
      <c r="B97" s="9">
        <f>IF(A97="","",IF(DAY(A97)&lt;=3,1,INT((DAY(A97)-4)/7)+2))</f>
        <v>4</v>
      </c>
      <c r="C97" s="9" t="inlineStr">
        <is>
          <t>MTA*NYCT PAYGO NEW YORK NY 10/17 (...0119)</t>
        </is>
      </c>
      <c r="D97" s="9" t="inlineStr">
        <is>
          <t>MTA NYCT Paygo</t>
        </is>
      </c>
      <c r="E97" s="9" t="inlineStr">
        <is>
          <t>Transportation</t>
        </is>
      </c>
      <c r="F97" s="9" t="inlineStr">
        <is>
          <t>Public transit</t>
        </is>
      </c>
      <c r="G97" s="9" t="inlineStr">
        <is>
          <t>Checking</t>
        </is>
      </c>
      <c r="H97" s="9" t="inlineStr">
        <is>
          <t>Debit Card</t>
        </is>
      </c>
      <c r="I97" s="9" t="inlineStr">
        <is>
          <t>Expense</t>
        </is>
      </c>
      <c r="J97" s="3">
        <v>3.00</v>
      </c>
      <c r="K97" s="9" t="inlineStr">
        <is>
          <t>Chase (...0119); Posted 2026-10-19; Balance shown: $8,656.13</t>
        </is>
      </c>
    </row>
    <row r="98">
      <c r="A98" s="4">
        <v>46314</v>
      </c>
      <c r="B98" s="9">
        <f>IF(A98="","",IF(DAY(A98)&lt;=3,1,INT((DAY(A98)-4)/7)+2))</f>
        <v>4</v>
      </c>
      <c r="C98" s="9" t="inlineStr">
        <is>
          <t>MTA*LIRR ETIX TICKET 718-217-5477 NY 10/18 (...0119)</t>
        </is>
      </c>
      <c r="D98" s="9" t="inlineStr">
        <is>
          <t>MTA LIRR</t>
        </is>
      </c>
      <c r="E98" s="9" t="inlineStr">
        <is>
          <t>Transportation</t>
        </is>
      </c>
      <c r="F98" s="9" t="inlineStr">
        <is>
          <t>Train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5.25</v>
      </c>
      <c r="K98" s="9" t="inlineStr">
        <is>
          <t>Chase (...0119); Posted 2026-10-19; Balance shown: $8,650.88</t>
        </is>
      </c>
    </row>
    <row r="99">
      <c r="A99" s="4">
        <v>46314</v>
      </c>
      <c r="B99" s="9">
        <f>IF(A99="","",IF(DAY(A99)&lt;=3,1,INT((DAY(A99)-4)/7)+2))</f>
        <v>4</v>
      </c>
      <c r="C99" s="9" t="inlineStr">
        <is>
          <t>MTA*LIRR ETIX TICKET 718-217-5477 NY 10/18 (...0119)</t>
        </is>
      </c>
      <c r="D99" s="9" t="inlineStr">
        <is>
          <t>MTA LIRR</t>
        </is>
      </c>
      <c r="E99" s="9" t="inlineStr">
        <is>
          <t>Transportation</t>
        </is>
      </c>
      <c r="F99" s="9" t="inlineStr">
        <is>
          <t>Train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5.25</v>
      </c>
      <c r="K99" s="9" t="inlineStr">
        <is>
          <t>Chase (...0119); Posted 2026-10-19; Balance shown: $8,645.63</t>
        </is>
      </c>
    </row>
    <row r="100">
      <c r="A100" s="4">
        <v>46314</v>
      </c>
      <c r="B100" s="9">
        <f>IF(A100="","",IF(DAY(A100)&lt;=3,1,INT((DAY(A100)-4)/7)+2))</f>
        <v>4</v>
      </c>
      <c r="C100" s="9" t="inlineStr">
        <is>
          <t>MTA*NYCT PAYGO NEW YORK NY 10/17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3.00</v>
      </c>
      <c r="K100" s="9" t="inlineStr">
        <is>
          <t>Chase (...0119); Posted 2026-10-19; Balance shown: $8,642.63</t>
        </is>
      </c>
    </row>
    <row r="101">
      <c r="A101" s="4">
        <v>46314</v>
      </c>
      <c r="B101" s="9">
        <f>IF(A101="","",IF(DAY(A101)&lt;=3,1,INT((DAY(A101)-4)/7)+2))</f>
        <v>4</v>
      </c>
      <c r="C101" s="9" t="inlineStr">
        <is>
          <t>CITY LINE CONVENIENCE C NEW YORK NY 10/17 (...0119)</t>
        </is>
      </c>
      <c r="D101" s="9" t="inlineStr">
        <is>
          <t>City Line Convenience</t>
        </is>
      </c>
      <c r="E101" s="9" t="inlineStr">
        <is>
          <t>Groceries</t>
        </is>
      </c>
      <c r="F101" s="9" t="inlineStr">
        <is>
          <t>Convenience store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3.12</v>
      </c>
      <c r="K101" s="9" t="inlineStr">
        <is>
          <t>Chase (...0119); Posted 2026-10-19; Balance shown: $8,639.51</t>
        </is>
      </c>
    </row>
    <row r="102">
      <c r="A102" s="4">
        <v>46314</v>
      </c>
      <c r="B102" s="9">
        <f>IF(A102="","",IF(DAY(A102)&lt;=3,1,INT((DAY(A102)-4)/7)+2))</f>
        <v>4</v>
      </c>
      <c r="C102" s="9" t="inlineStr">
        <is>
          <t>RIOT GAMES 866-373-9211 CA 10/18 (...0119)</t>
        </is>
      </c>
      <c r="D102" s="9" t="inlineStr">
        <is>
          <t>Riot Games</t>
        </is>
      </c>
      <c r="E102" s="9" t="inlineStr">
        <is>
          <t>Entertainment</t>
        </is>
      </c>
      <c r="F102" s="9" t="inlineStr">
        <is>
          <t>Games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23.94</v>
      </c>
      <c r="K102" s="9" t="inlineStr">
        <is>
          <t>Chase (...0119); Posted 2026-10-19; Balance shown: $8,615.57</t>
        </is>
      </c>
    </row>
    <row r="103">
      <c r="A103" s="4">
        <v>46315</v>
      </c>
      <c r="B103" s="9">
        <f>IF(A103="","",IF(DAY(A103)&lt;=3,1,INT((DAY(A103)-4)/7)+2))</f>
        <v>4</v>
      </c>
      <c r="C103" s="9" t="inlineStr">
        <is>
          <t>MTA*NYCT PAYGO NEW YORK NY 10/19 (...0119)</t>
        </is>
      </c>
      <c r="D103" s="9" t="inlineStr">
        <is>
          <t>MTA NYCT Paygo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3.00</v>
      </c>
      <c r="K103" s="9" t="inlineStr">
        <is>
          <t>Chase (...0119); Posted 2026-10-20; Balance shown: $8,612.57</t>
        </is>
      </c>
    </row>
    <row r="104">
      <c r="A104" s="4">
        <v>46315</v>
      </c>
      <c r="B104" s="9">
        <f>IF(A104="","",IF(DAY(A104)&lt;=3,1,INT((DAY(A104)-4)/7)+2))</f>
        <v>4</v>
      </c>
      <c r="C104" s="9" t="inlineStr">
        <is>
          <t>TOPIA NEWS STAND BROOKLYN NY 10/19 (...0119)</t>
        </is>
      </c>
      <c r="D104" s="9" t="inlineStr">
        <is>
          <t>Topia News Stand</t>
        </is>
      </c>
      <c r="E104" s="9" t="inlineStr">
        <is>
          <t>Shopping</t>
        </is>
      </c>
      <c r="F104" s="9" t="inlineStr">
        <is>
          <t>Convenience store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16.33</v>
      </c>
      <c r="K104" s="9" t="inlineStr">
        <is>
          <t>Chase (...0119); Posted 2026-10-20; Balance shown: $8,596.24</t>
        </is>
      </c>
    </row>
    <row r="105">
      <c r="A105" s="4">
        <v>46315</v>
      </c>
      <c r="B105" s="9">
        <f>IF(A105="","",IF(DAY(A105)&lt;=3,1,INT((DAY(A105)-4)/7)+2))</f>
        <v>4</v>
      </c>
      <c r="C105" s="9" t="inlineStr">
        <is>
          <t>MTA*NYCT PAYGO NEW YORK NY 10/19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3.00</v>
      </c>
      <c r="K105" s="9" t="inlineStr">
        <is>
          <t>Chase (...0119); Posted 2026-10-20; Balance shown: $8,593.24</t>
        </is>
      </c>
    </row>
    <row r="106">
      <c r="A106" s="4">
        <v>46315</v>
      </c>
      <c r="B106" s="9">
        <f>IF(A106="","",IF(DAY(A106)&lt;=3,1,INT((DAY(A106)-4)/7)+2))</f>
        <v>4</v>
      </c>
      <c r="C106" s="9" t="inlineStr">
        <is>
          <t>MTA*NYCT PAYGO NEW YORK NY 10/19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2.00</v>
      </c>
      <c r="K106" s="9" t="inlineStr">
        <is>
          <t>Chase (...0119); Posted 2026-10-20; Balance shown: $8,591.24</t>
        </is>
      </c>
    </row>
    <row r="107">
      <c r="A107" s="4">
        <v>46316</v>
      </c>
      <c r="B107" s="9">
        <f>IF(A107="","",IF(DAY(A107)&lt;=3,1,INT((DAY(A107)-4)/7)+2))</f>
        <v>4</v>
      </c>
      <c r="C107" s="9" t="inlineStr">
        <is>
          <t>99 CENT SUPREME PIZZA BROOKLYN NY 10/19 (...0119)</t>
        </is>
      </c>
      <c r="D107" s="9" t="inlineStr">
        <is>
          <t>99 Cent Supreme Pizza</t>
        </is>
      </c>
      <c r="E107" s="9" t="inlineStr">
        <is>
          <t>Dining</t>
        </is>
      </c>
      <c r="F107" s="9" t="inlineStr">
        <is>
          <t>Restaurant/Pizza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3.27</v>
      </c>
      <c r="K107" s="9" t="inlineStr">
        <is>
          <t>Chase (...0119); Posted 2026-10-21; Balance shown: $8,587.97</t>
        </is>
      </c>
    </row>
    <row r="108">
      <c r="A108" s="4">
        <v>46316</v>
      </c>
      <c r="B108" s="9">
        <f>IF(A108="","",IF(DAY(A108)&lt;=3,1,INT((DAY(A108)-4)/7)+2))</f>
        <v>4</v>
      </c>
      <c r="C108" s="9" t="inlineStr">
        <is>
          <t>TST* ANTOYA KOREAN BBQ NEW YORK NY 10/20 (...0119)</t>
        </is>
      </c>
      <c r="D108" s="9" t="inlineStr">
        <is>
          <t>Antoya Korean BBQ</t>
        </is>
      </c>
      <c r="E108" s="9" t="inlineStr">
        <is>
          <t>Dining</t>
        </is>
      </c>
      <c r="F108" s="9" t="inlineStr">
        <is>
          <t>Restaurant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43.98</v>
      </c>
      <c r="K108" s="9" t="inlineStr">
        <is>
          <t>Chase (...0119); Posted 2026-10-21; Balance shown: $8,543.99</t>
        </is>
      </c>
    </row>
    <row r="109">
      <c r="A109" s="4">
        <v>46316</v>
      </c>
      <c r="B109" s="9">
        <f>IF(A109="","",IF(DAY(A109)&lt;=3,1,INT((DAY(A109)-4)/7)+2))</f>
        <v>4</v>
      </c>
      <c r="C109" s="9" t="inlineStr">
        <is>
          <t>MTA*NYCT PAYGO NEW YORK NY 10/20 (...0119)</t>
        </is>
      </c>
      <c r="D109" s="9" t="inlineStr">
        <is>
          <t>MTA NYCT Paygo</t>
        </is>
      </c>
      <c r="E109" s="9" t="inlineStr">
        <is>
          <t>Transportation</t>
        </is>
      </c>
      <c r="F109" s="9" t="inlineStr">
        <is>
          <t>Public transit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3.00</v>
      </c>
      <c r="K109" s="9" t="inlineStr">
        <is>
          <t>Chase (...0119); Posted 2026-10-21; Balance shown: $8,540.99</t>
        </is>
      </c>
    </row>
    <row r="110">
      <c r="A110" s="4">
        <v>46316</v>
      </c>
      <c r="B110" s="9">
        <f>IF(A110="","",IF(DAY(A110)&lt;=3,1,INT((DAY(A110)-4)/7)+2))</f>
        <v>4</v>
      </c>
      <c r="C110" s="9" t="inlineStr">
        <is>
          <t>MTA*NYCT PAYGO NEW YORK NY 10/20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Chase (...0119); Posted 2026-10-21; Balance shown: $8,537.99</t>
        </is>
      </c>
    </row>
    <row r="111">
      <c r="A111" s="4">
        <v>46316</v>
      </c>
      <c r="B111" s="9">
        <f>IF(A111="","",IF(DAY(A111)&lt;=3,1,INT((DAY(A111)-4)/7)+2))</f>
        <v>4</v>
      </c>
      <c r="C111" s="9" t="inlineStr">
        <is>
          <t>TRADER JOE S #54 445 G NEW YORK NY 520184 10/21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31.70</v>
      </c>
      <c r="K111" s="9" t="inlineStr">
        <is>
          <t>Chase (...0119); Posted 2026-10-21; Balance shown: $8,506.29</t>
        </is>
      </c>
    </row>
    <row r="112">
      <c r="A112" s="4">
        <v>46317</v>
      </c>
      <c r="B112" s="9">
        <f>IF(A112="","",IF(DAY(A112)&lt;=3,1,INT((DAY(A112)-4)/7)+2))</f>
        <v>4</v>
      </c>
      <c r="C112" s="9" t="inlineStr">
        <is>
          <t>MTA*NYCT PAYGO NEW YORK NY 10/21 (...0119)</t>
        </is>
      </c>
      <c r="D112" s="9" t="inlineStr">
        <is>
          <t>MTA NYCT Paygo</t>
        </is>
      </c>
      <c r="E112" s="9" t="inlineStr">
        <is>
          <t>Transportation</t>
        </is>
      </c>
      <c r="F112" s="9" t="inlineStr">
        <is>
          <t>Public transit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3.00</v>
      </c>
      <c r="K112" s="9" t="inlineStr">
        <is>
          <t>Chase (...0119); Posted 2026-10-22; Balance shown: $8,503.29</t>
        </is>
      </c>
    </row>
    <row r="113">
      <c r="A113" s="4">
        <v>46317</v>
      </c>
      <c r="B113" s="9">
        <f>IF(A113="","",IF(DAY(A113)&lt;=3,1,INT((DAY(A113)-4)/7)+2))</f>
        <v>4</v>
      </c>
      <c r="C113" s="9" t="inlineStr">
        <is>
          <t>SQ *DAIGO HAND ROLL BAR BROOKLYN NY 10/21 (...0119)</t>
        </is>
      </c>
      <c r="D113" s="9" t="inlineStr">
        <is>
          <t>Daigo Hand Roll Bar</t>
        </is>
      </c>
      <c r="E113" s="9" t="inlineStr">
        <is>
          <t>Dining</t>
        </is>
      </c>
      <c r="F113" s="9" t="inlineStr">
        <is>
          <t>Restaurant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>
        <v>17.42</v>
      </c>
      <c r="K113" s="9" t="inlineStr">
        <is>
          <t>Chase (...0119); Posted 2026-10-22; Balance shown: $8,485.87</t>
        </is>
      </c>
    </row>
    <row r="114">
      <c r="A114" s="4">
        <v>46317</v>
      </c>
      <c r="B114" s="9">
        <f>IF(A114="","",IF(DAY(A114)&lt;=3,1,INT((DAY(A114)-4)/7)+2))</f>
        <v>4</v>
      </c>
      <c r="C114" s="9" t="inlineStr">
        <is>
          <t>TARGET T-2850 BROOKLYN NY 10/21 (...0119)</t>
        </is>
      </c>
      <c r="D114" s="9" t="inlineStr">
        <is>
          <t>Target</t>
        </is>
      </c>
      <c r="E114" s="9" t="inlineStr">
        <is>
          <t>Shopping</t>
        </is>
      </c>
      <c r="F114" s="9" t="inlineStr">
        <is>
          <t>Retail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>
        <v>8.00</v>
      </c>
      <c r="K114" s="9" t="inlineStr">
        <is>
          <t>Chase (...0119); Posted 2026-10-22; Balance shown: $8,477.87</t>
        </is>
      </c>
    </row>
    <row r="115">
      <c r="A115" s="4">
        <v>46317</v>
      </c>
      <c r="B115" s="9">
        <f>IF(A115="","",IF(DAY(A115)&lt;=3,1,INT((DAY(A115)-4)/7)+2))</f>
        <v>4</v>
      </c>
      <c r="C115" s="9" t="inlineStr">
        <is>
          <t>MTA*NYCT PAYGO NEW YORK NY 10/21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>
        <v>3.00</v>
      </c>
      <c r="K115" s="9" t="inlineStr">
        <is>
          <t>Chase (...0119); Posted 2026-10-22; Balance shown: $8,474.87</t>
        </is>
      </c>
    </row>
    <row r="116">
      <c r="A116" s="4">
        <v>46317</v>
      </c>
      <c r="B116" s="9">
        <f>IF(A116="","",IF(DAY(A116)&lt;=3,1,INT((DAY(A116)-4)/7)+2))</f>
        <v>4</v>
      </c>
      <c r="C116" s="9" t="inlineStr">
        <is>
          <t>Wise 888-9083833 NY 10/22 (...0119)</t>
        </is>
      </c>
      <c r="D116" s="9" t="inlineStr">
        <is>
          <t>Wise</t>
        </is>
      </c>
      <c r="E116" s="9" t="inlineStr">
        <is>
          <t>Transfers</t>
        </is>
      </c>
      <c r="F116" s="9" t="inlineStr">
        <is>
          <t>Transfer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>
        <v>19.23</v>
      </c>
      <c r="K116" s="9" t="inlineStr">
        <is>
          <t>Chase (...0119); Posted 2026-10-22; Balance shown: $8,455.64</t>
        </is>
      </c>
    </row>
    <row r="117">
      <c r="A117" s="4">
        <v>46321</v>
      </c>
      <c r="B117" s="9">
        <f>IF(A117="","",IF(DAY(A117)&lt;=3,1,INT((DAY(A117)-4)/7)+2))</f>
        <v>5</v>
      </c>
      <c r="C117" s="9" t="inlineStr">
        <is>
          <t>MTA*NYCT PAYGO NEW YORK NY 10/22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>
        <v>3.00</v>
      </c>
      <c r="K117" s="9" t="inlineStr">
        <is>
          <t>Chase (...0119); Posted 2026-10-26; Balance shown: $8,452.64</t>
        </is>
      </c>
    </row>
    <row r="118">
      <c r="A118" s="4">
        <v>46321</v>
      </c>
      <c r="B118" s="9">
        <f>IF(A118="","",IF(DAY(A118)&lt;=3,1,INT((DAY(A118)-4)/7)+2))</f>
        <v>5</v>
      </c>
      <c r="C118" s="9" t="inlineStr">
        <is>
          <t>MTA*NYCT PAYGO NEW YORK NY 10/22 (...0119)</t>
        </is>
      </c>
      <c r="D118" s="9" t="inlineStr">
        <is>
          <t>MTA NYCT Paygo</t>
        </is>
      </c>
      <c r="E118" s="9" t="inlineStr">
        <is>
          <t>Transportation</t>
        </is>
      </c>
      <c r="F118" s="9" t="inlineStr">
        <is>
          <t>Public transit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>
        <v>3.00</v>
      </c>
      <c r="K118" s="9" t="inlineStr">
        <is>
          <t>Chase (...0119); Posted 2026-10-26; Balance shown: $8,449.64</t>
        </is>
      </c>
    </row>
    <row r="119">
      <c r="A119" s="4">
        <v>46321</v>
      </c>
      <c r="B119" s="9">
        <f>IF(A119="","",IF(DAY(A119)&lt;=3,1,INT((DAY(A119)-4)/7)+2))</f>
        <v>5</v>
      </c>
      <c r="C119" s="9" t="inlineStr">
        <is>
          <t>MTA*NYCT PAYGO NEW YORK NY 10/23 (...0119)</t>
        </is>
      </c>
      <c r="D119" s="9" t="inlineStr">
        <is>
          <t>MTA NYCT Paygo</t>
        </is>
      </c>
      <c r="E119" s="9" t="inlineStr">
        <is>
          <t>Transportation</t>
        </is>
      </c>
      <c r="F119" s="9" t="inlineStr">
        <is>
          <t>Public transit</t>
        </is>
      </c>
      <c r="G119" s="9" t="inlineStr">
        <is>
          <t>Checking</t>
        </is>
      </c>
      <c r="H119" s="9" t="inlineStr">
        <is>
          <t>Debit Card</t>
        </is>
      </c>
      <c r="I119" s="9" t="inlineStr">
        <is>
          <t>Expense</t>
        </is>
      </c>
      <c r="J119" s="3">
        <v>3.00</v>
      </c>
      <c r="K119" s="9" t="inlineStr">
        <is>
          <t>Chase (...0119); Posted 2026-10-26; Balance shown: $8,446.64</t>
        </is>
      </c>
    </row>
    <row r="120">
      <c r="A120" s="4">
        <v>46321</v>
      </c>
      <c r="B120" s="9">
        <f>IF(A120="","",IF(DAY(A120)&lt;=3,1,INT((DAY(A120)-4)/7)+2))</f>
        <v>5</v>
      </c>
      <c r="C120" s="9" t="inlineStr">
        <is>
          <t>99 CENT SUPREME PIZZA BROOKLYN NY 10/23 (...0119)</t>
        </is>
      </c>
      <c r="D120" s="9" t="inlineStr">
        <is>
          <t>99 Cent Supreme Pizza</t>
        </is>
      </c>
      <c r="E120" s="9" t="inlineStr">
        <is>
          <t>Dining</t>
        </is>
      </c>
      <c r="F120" s="9" t="inlineStr">
        <is>
          <t>Restaurant/Pizza</t>
        </is>
      </c>
      <c r="G120" s="9" t="inlineStr">
        <is>
          <t>Checking</t>
        </is>
      </c>
      <c r="H120" s="9" t="inlineStr">
        <is>
          <t>Debit Card</t>
        </is>
      </c>
      <c r="I120" s="9" t="inlineStr">
        <is>
          <t>Expense</t>
        </is>
      </c>
      <c r="J120" s="3">
        <v>3.54</v>
      </c>
      <c r="K120" s="9" t="inlineStr">
        <is>
          <t>Chase (...0119); Posted 2026-10-26; Balance shown: $8,443.10</t>
        </is>
      </c>
    </row>
    <row r="121">
      <c r="A121" s="4">
        <v>46321</v>
      </c>
      <c r="B121" s="9">
        <f>IF(A121="","",IF(DAY(A121)&lt;=3,1,INT((DAY(A121)-4)/7)+2))</f>
        <v>5</v>
      </c>
      <c r="C121" s="9" t="inlineStr">
        <is>
          <t>MTA*NYCT PAYGO NEW YORK NY 10/23 (...0119)</t>
        </is>
      </c>
      <c r="D121" s="9" t="inlineStr">
        <is>
          <t>MTA NYCT Paygo</t>
        </is>
      </c>
      <c r="E121" s="9" t="inlineStr">
        <is>
          <t>Transportation</t>
        </is>
      </c>
      <c r="F121" s="9" t="inlineStr">
        <is>
          <t>Public transit</t>
        </is>
      </c>
      <c r="G121" s="9" t="inlineStr">
        <is>
          <t>Checking</t>
        </is>
      </c>
      <c r="H121" s="9" t="inlineStr">
        <is>
          <t>Debit Card</t>
        </is>
      </c>
      <c r="I121" s="9" t="inlineStr">
        <is>
          <t>Expense</t>
        </is>
      </c>
      <c r="J121" s="3">
        <v>3.00</v>
      </c>
      <c r="K121" s="9" t="inlineStr">
        <is>
          <t>Chase (...0119); Posted 2026-10-26; Balance shown: $8,440.10</t>
        </is>
      </c>
    </row>
    <row r="122">
      <c r="A122" s="4">
        <v>46321</v>
      </c>
      <c r="B122" s="9">
        <f>IF(A122="","",IF(DAY(A122)&lt;=3,1,INT((DAY(A122)-4)/7)+2))</f>
        <v>5</v>
      </c>
      <c r="C122" s="9" t="inlineStr">
        <is>
          <t>HANA MART COLUMBIA CORP NEW YORK NY 10/23 (...0119)</t>
        </is>
      </c>
      <c r="D122" s="9" t="inlineStr">
        <is>
          <t>Hana Mart</t>
        </is>
      </c>
      <c r="E122" s="9" t="inlineStr">
        <is>
          <t>Groceries</t>
        </is>
      </c>
      <c r="F122" s="9" t="inlineStr">
        <is>
          <t>Groceries</t>
        </is>
      </c>
      <c r="G122" s="9" t="inlineStr">
        <is>
          <t>Checking</t>
        </is>
      </c>
      <c r="H122" s="9" t="inlineStr">
        <is>
          <t>Debit Card</t>
        </is>
      </c>
      <c r="I122" s="9" t="inlineStr">
        <is>
          <t>Expense</t>
        </is>
      </c>
      <c r="J122" s="3">
        <v>22.28</v>
      </c>
      <c r="K122" s="9" t="inlineStr">
        <is>
          <t>Chase (...0119); Posted 2026-10-26; Balance shown: $8,417.82</t>
        </is>
      </c>
    </row>
    <row r="123">
      <c r="A123" s="4">
        <v>46321</v>
      </c>
      <c r="B123" s="9">
        <f>IF(A123="","",IF(DAY(A123)&lt;=3,1,INT((DAY(A123)-4)/7)+2))</f>
        <v>5</v>
      </c>
      <c r="C123" s="9" t="inlineStr">
        <is>
          <t>MTA*NYCT PAYGO NEW YORK NY 10/23 (...0119)</t>
        </is>
      </c>
      <c r="D123" s="9" t="inlineStr">
        <is>
          <t>MTA NYCT Paygo</t>
        </is>
      </c>
      <c r="E123" s="9" t="inlineStr">
        <is>
          <t>Transportation</t>
        </is>
      </c>
      <c r="F123" s="9" t="inlineStr">
        <is>
          <t>Public transit</t>
        </is>
      </c>
      <c r="G123" s="9" t="inlineStr">
        <is>
          <t>Checking</t>
        </is>
      </c>
      <c r="H123" s="9" t="inlineStr">
        <is>
          <t>Debit Card</t>
        </is>
      </c>
      <c r="I123" s="9" t="inlineStr">
        <is>
          <t>Expense</t>
        </is>
      </c>
      <c r="J123" s="3">
        <v>3.00</v>
      </c>
      <c r="K123" s="9" t="inlineStr">
        <is>
          <t>Chase (...0119); Posted 2026-10-26; Balance shown: $8,414.82</t>
        </is>
      </c>
    </row>
    <row r="124">
      <c r="A124" s="4">
        <v>46321</v>
      </c>
      <c r="B124" s="9">
        <f>IF(A124="","",IF(DAY(A124)&lt;=3,1,INT((DAY(A124)-4)/7)+2))</f>
        <v>5</v>
      </c>
      <c r="C124" s="9" t="inlineStr">
        <is>
          <t>MTA*NYCT PAYGO NEW YORK NY 10/24 (...0119)</t>
        </is>
      </c>
      <c r="D124" s="9" t="inlineStr">
        <is>
          <t>MTA NYCT Paygo</t>
        </is>
      </c>
      <c r="E124" s="9" t="inlineStr">
        <is>
          <t>Transportation</t>
        </is>
      </c>
      <c r="F124" s="9" t="inlineStr">
        <is>
          <t>Public transit</t>
        </is>
      </c>
      <c r="G124" s="9" t="inlineStr">
        <is>
          <t>Checking</t>
        </is>
      </c>
      <c r="H124" s="9" t="inlineStr">
        <is>
          <t>Debit Card</t>
        </is>
      </c>
      <c r="I124" s="9" t="inlineStr">
        <is>
          <t>Expense</t>
        </is>
      </c>
      <c r="J124" s="3">
        <v>3.00</v>
      </c>
      <c r="K124" s="9" t="inlineStr">
        <is>
          <t>Chase (...0119); Posted 2026-10-26; Balance shown: $8,392.52</t>
        </is>
      </c>
    </row>
    <row r="125">
      <c r="A125" s="4">
        <v>46321</v>
      </c>
      <c r="B125" s="9">
        <f>IF(A125="","",IF(DAY(A125)&lt;=3,1,INT((DAY(A125)-4)/7)+2))</f>
        <v>5</v>
      </c>
      <c r="C125" s="9" t="inlineStr">
        <is>
          <t>UBER *EATS HELP.UBER.COM CA 10/24 (...0119)</t>
        </is>
      </c>
      <c r="D125" s="9" t="inlineStr">
        <is>
          <t>Uber Eats</t>
        </is>
      </c>
      <c r="E125" s="9" t="inlineStr">
        <is>
          <t>Dining</t>
        </is>
      </c>
      <c r="F125" s="9" t="inlineStr">
        <is>
          <t>Delivery</t>
        </is>
      </c>
      <c r="G125" s="9" t="inlineStr">
        <is>
          <t>Checking</t>
        </is>
      </c>
      <c r="H125" s="9" t="inlineStr">
        <is>
          <t>Debit Card</t>
        </is>
      </c>
      <c r="I125" s="9" t="inlineStr">
        <is>
          <t>Expense</t>
        </is>
      </c>
      <c r="J125" s="3">
        <v>22.30</v>
      </c>
      <c r="K125" s="9" t="inlineStr">
        <is>
          <t>Chase (...0119); Posted 2026-10-26; Balance shown: $8,392.52</t>
        </is>
      </c>
    </row>
    <row r="126">
      <c r="A126" s="4">
        <v>46321</v>
      </c>
      <c r="B126" s="9">
        <f>IF(A126="","",IF(DAY(A126)&lt;=3,1,INT((DAY(A126)-4)/7)+2))</f>
        <v>5</v>
      </c>
      <c r="C126" s="9" t="inlineStr">
        <is>
          <t>Hotels.com_overseas SEOUL 10/25 Won 1565314 X 0.000756902 (EXCHG RTE) (...0119)</t>
        </is>
      </c>
      <c r="D126" s="9" t="inlineStr">
        <is>
          <t>Hotels.com</t>
        </is>
      </c>
      <c r="E126" s="9" t="inlineStr">
        <is>
          <t>Travel</t>
        </is>
      </c>
      <c r="F126" s="9" t="inlineStr">
        <is>
          <t>Lodging</t>
        </is>
      </c>
      <c r="G126" s="9" t="inlineStr">
        <is>
          <t>Checking</t>
        </is>
      </c>
      <c r="H126" s="9" t="inlineStr">
        <is>
          <t>Debit Card</t>
        </is>
      </c>
      <c r="I126" s="9" t="inlineStr">
        <is>
          <t>Expense</t>
        </is>
      </c>
      <c r="J126" s="3">
        <v>1184.79</v>
      </c>
      <c r="K126" s="9" t="inlineStr">
        <is>
          <t>Chase (...0119); Posted 2026-10-26; Balance shown: $7,207.73</t>
        </is>
      </c>
    </row>
    <row r="127">
      <c r="A127" s="4">
        <v>46321</v>
      </c>
      <c r="B127" s="9">
        <f>IF(A127="","",IF(DAY(A127)&lt;=3,1,INT((DAY(A127)-4)/7)+2))</f>
        <v>5</v>
      </c>
      <c r="C127" s="9" t="inlineStr">
        <is>
          <t>FOOD UNIVERSE # 1908 NEW YORK NY 10/25 (...0119)</t>
        </is>
      </c>
      <c r="D127" s="9" t="inlineStr">
        <is>
          <t>Food Universe</t>
        </is>
      </c>
      <c r="E127" s="9" t="inlineStr">
        <is>
          <t>Groceries</t>
        </is>
      </c>
      <c r="F127" s="9" t="inlineStr">
        <is>
          <t>Groceries</t>
        </is>
      </c>
      <c r="G127" s="9" t="inlineStr">
        <is>
          <t>Checking</t>
        </is>
      </c>
      <c r="H127" s="9" t="inlineStr">
        <is>
          <t>Debit Card</t>
        </is>
      </c>
      <c r="I127" s="9" t="inlineStr">
        <is>
          <t>Expense</t>
        </is>
      </c>
      <c r="J127" s="3">
        <v>5.49</v>
      </c>
      <c r="K127" s="9" t="inlineStr">
        <is>
          <t>Chase (...0119); Posted 2026-10-26; Balance shown: $7,202.24</t>
        </is>
      </c>
    </row>
    <row r="128">
      <c r="A128" s="4">
        <v>46321</v>
      </c>
      <c r="B128" s="9">
        <f>IF(A128="","",IF(DAY(A128)&lt;=3,1,INT((DAY(A128)-4)/7)+2))</f>
        <v>5</v>
      </c>
      <c r="C128" s="9" t="inlineStr">
        <is>
          <t>FOREIGN EXCHANGE RATE ADJUSTMENT FEE 10/25Hotels.co (...0119)</t>
        </is>
      </c>
      <c r="D128" s="9" t="inlineStr">
        <is>
          <t>Hotels.com</t>
        </is>
      </c>
      <c r="E128" s="9" t="inlineStr">
        <is>
          <t>Travel</t>
        </is>
      </c>
      <c r="F128" s="9" t="inlineStr">
        <is>
          <t>Foreign transaction fee</t>
        </is>
      </c>
      <c r="G128" s="9" t="inlineStr">
        <is>
          <t>Checking</t>
        </is>
      </c>
      <c r="H128" s="9" t="inlineStr">
        <is>
          <t>Other</t>
        </is>
      </c>
      <c r="I128" s="9" t="inlineStr">
        <is>
          <t>Expense</t>
        </is>
      </c>
      <c r="J128" s="3">
        <v>35.54</v>
      </c>
      <c r="K128" s="9" t="inlineStr">
        <is>
          <t>Chase (...0119); Posted 2026-10-26; Balance shown: $7,166.70</t>
        </is>
      </c>
    </row>
    <row r="129">
      <c r="A129" s="4">
        <v>46322</v>
      </c>
      <c r="B129" s="9">
        <f>IF(A129="","",IF(DAY(A129)&lt;=3,1,INT((DAY(A129)-4)/7)+2))</f>
        <v>5</v>
      </c>
      <c r="C129" s="9" t="inlineStr">
        <is>
          <t>MTA*NYCT PAYGO NEW YORK NY 10/26 (...0119)</t>
        </is>
      </c>
      <c r="D129" s="9" t="inlineStr">
        <is>
          <t>MTA NYCT Paygo</t>
        </is>
      </c>
      <c r="E129" s="9" t="inlineStr">
        <is>
          <t>Transportation</t>
        </is>
      </c>
      <c r="F129" s="9" t="inlineStr">
        <is>
          <t>Public transit</t>
        </is>
      </c>
      <c r="G129" s="9" t="inlineStr">
        <is>
          <t>Checking</t>
        </is>
      </c>
      <c r="H129" s="9" t="inlineStr">
        <is>
          <t>Debit Card</t>
        </is>
      </c>
      <c r="I129" s="9" t="inlineStr">
        <is>
          <t>Expense</t>
        </is>
      </c>
      <c r="J129" s="3">
        <v>3.00</v>
      </c>
      <c r="K129" s="9" t="inlineStr">
        <is>
          <t>Chase (...0119); Posted 2026-10-27; Balance shown: $7,163.70</t>
        </is>
      </c>
    </row>
    <row r="130">
      <c r="A130" s="4">
        <v>46322</v>
      </c>
      <c r="B130" s="9">
        <f>IF(A130="","",IF(DAY(A130)&lt;=3,1,INT((DAY(A130)-4)/7)+2))</f>
        <v>5</v>
      </c>
      <c r="C130" s="9" t="inlineStr">
        <is>
          <t>MTA*NYCT PAYGO NEW YORK NY 10/26 (...0119)</t>
        </is>
      </c>
      <c r="D130" s="9" t="inlineStr">
        <is>
          <t>MTA NYCT Paygo</t>
        </is>
      </c>
      <c r="E130" s="9" t="inlineStr">
        <is>
          <t>Transportation</t>
        </is>
      </c>
      <c r="F130" s="9" t="inlineStr">
        <is>
          <t>Public transit</t>
        </is>
      </c>
      <c r="G130" s="9" t="inlineStr">
        <is>
          <t>Checking</t>
        </is>
      </c>
      <c r="H130" s="9" t="inlineStr">
        <is>
          <t>Debit Card</t>
        </is>
      </c>
      <c r="I130" s="9" t="inlineStr">
        <is>
          <t>Expense</t>
        </is>
      </c>
      <c r="J130" s="3">
        <v>3.00</v>
      </c>
      <c r="K130" s="9" t="inlineStr">
        <is>
          <t>Chase (...0119); Posted 2026-10-27; Balance shown: $7,160.70</t>
        </is>
      </c>
    </row>
    <row r="131">
      <c r="A131" s="4">
        <v>46322</v>
      </c>
      <c r="B131" s="9">
        <f>IF(A131="","",IF(DAY(A131)&lt;=3,1,INT((DAY(A131)-4)/7)+2))</f>
        <v>5</v>
      </c>
      <c r="C131" s="9" t="inlineStr">
        <is>
          <t>HANA MART COLUMBIA CORP NEW YORK NY 10/26 (...0119)</t>
        </is>
      </c>
      <c r="D131" s="9" t="inlineStr">
        <is>
          <t>Hana Mart</t>
        </is>
      </c>
      <c r="E131" s="9" t="inlineStr">
        <is>
          <t>Groceries</t>
        </is>
      </c>
      <c r="F131" s="9" t="inlineStr">
        <is>
          <t>Groceries</t>
        </is>
      </c>
      <c r="G131" s="9" t="inlineStr">
        <is>
          <t>Checking</t>
        </is>
      </c>
      <c r="H131" s="9" t="inlineStr">
        <is>
          <t>Debit Card</t>
        </is>
      </c>
      <c r="I131" s="9" t="inlineStr">
        <is>
          <t>Expense</t>
        </is>
      </c>
      <c r="J131" s="3">
        <v>60.35</v>
      </c>
      <c r="K131" s="9" t="inlineStr">
        <is>
          <t>Chase (...0119); Posted 2026-10-27; Balance shown: $7,100.35</t>
        </is>
      </c>
    </row>
    <row r="132">
      <c r="A132" s="4">
        <v>46322</v>
      </c>
      <c r="B132" s="9">
        <f>IF(A132="","",IF(DAY(A132)&lt;=3,1,INT((DAY(A132)-4)/7)+2))</f>
        <v>5</v>
      </c>
      <c r="C132" s="9" t="inlineStr">
        <is>
          <t>MTA*NYCT PAYGO NEW YORK NY 10/26 (...0119)</t>
        </is>
      </c>
      <c r="D132" s="9" t="inlineStr">
        <is>
          <t>MTA NYCT Paygo</t>
        </is>
      </c>
      <c r="E132" s="9" t="inlineStr">
        <is>
          <t>Transportation</t>
        </is>
      </c>
      <c r="F132" s="9" t="inlineStr">
        <is>
          <t>Public transit</t>
        </is>
      </c>
      <c r="G132" s="9" t="inlineStr">
        <is>
          <t>Checking</t>
        </is>
      </c>
      <c r="H132" s="9" t="inlineStr">
        <is>
          <t>Debit Card</t>
        </is>
      </c>
      <c r="I132" s="9" t="inlineStr">
        <is>
          <t>Expense</t>
        </is>
      </c>
      <c r="J132" s="3">
        <v>2.00</v>
      </c>
      <c r="K132" s="9" t="inlineStr">
        <is>
          <t>Chase (...0119); Posted 2026-10-27; Balance shown: $7,098.35</t>
        </is>
      </c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