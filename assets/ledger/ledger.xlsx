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1548.0</v>
      </c>
      <c r="C14" s="3">
        <f>'Sep 2026'!$B$6</f>
        <v>1934.95</v>
      </c>
      <c r="D14" s="3">
        <f>'Sep 2026'!$B$7</f>
        <v>0.0</v>
      </c>
      <c r="E14" s="3">
        <f>'Sep 2026'!$B$8</f>
        <v>106.0</v>
      </c>
      <c r="F14" s="3">
        <f>'Sep 2026'!$B$9</f>
        <v>-386.95</v>
      </c>
      <c r="G14" s="3">
        <f>'Sep 2026'!$B$10</f>
        <v>8302.71</v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  <c r="G15" s="3">
        <f>'Oct 2026'!$B$10</f>
        <v>0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/>
      </c>
      <c r="C18" s="3">
        <f>SUM(C6:C17)</f>
      </c>
      <c r="D18" s="3">
        <f>SUM(D6:D17)</f>
        <v/>
      </c>
      <c r="E18" s="3">
        <f>SUM(E6:E17)</f>
        <v/>
      </c>
      <c r="F18" s="3">
        <f>SUM(F6:F17)</f>
      </c>
      <c r="G18" s="3">
        <f>LOOKUP(2,1/(G6:G17&lt;&gt;0),G6:G17)</f>
        <v>8302.71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1548.0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1934.95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0.0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0.0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280.32</v>
      </c>
      <c r="J7" s="3">
        <f>SUMIFS($J$29:$J$528,$B$29:$B$528,2,$I$29:$I$528,"Income")</f>
        <v>1548.0</v>
      </c>
      <c r="K7" s="3">
        <f>J7-I7</f>
        <v>1267.68</v>
      </c>
    </row>
    <row r="8">
      <c r="A8" s="5" t="inlineStr">
        <is>
          <t>Transfers</t>
        </is>
      </c>
      <c r="B8" s="3">
        <f>SUMIFS($J$29:$J$528,$I$29:$I$528,"Transfer")</f>
        <v>106.0</v>
      </c>
      <c r="D8" s="5" t="inlineStr">
        <is>
          <t>Groceries</t>
        </is>
      </c>
      <c r="E8" s="3">
        <f>SUMIFS($J$29:$J$528,$E$29:$E$528,$D8,$I$29:$I$528,"Expense")</f>
        <v>196.94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104.78</v>
      </c>
      <c r="J8" s="3">
        <f>SUMIFS($J$29:$J$528,$B$29:$B$528,3,$I$29:$I$528,"Income")</f>
        <v>0.0</v>
      </c>
      <c r="K8" s="3">
        <f>J8-I8</f>
        <v>-104.78</v>
      </c>
    </row>
    <row r="9">
      <c r="A9" s="5" t="inlineStr">
        <is>
          <t>Net Cash Flow</t>
        </is>
      </c>
      <c r="B9" s="3">
        <f>B5-B6</f>
        <v>-386.95</v>
      </c>
      <c r="D9" s="5" t="inlineStr">
        <is>
          <t>Dining</t>
        </is>
      </c>
      <c r="E9" s="3">
        <f>SUMIFS($J$29:$J$528,$E$29:$E$528,$D9,$I$29:$I$528,"Expense")</f>
        <v>56.54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0.0</v>
      </c>
      <c r="J9" s="3">
        <f>SUMIFS($J$29:$J$528,$B$29:$B$528,4,$I$29:$I$528,"Income")</f>
        <v>0.0</v>
      </c>
      <c r="K9" s="3">
        <f>J9-I9</f>
        <v>0.0</v>
      </c>
    </row>
    <row r="10">
      <c r="A10" s="5" t="inlineStr">
        <is>
          <t>Current Balance</t>
        </is>
      </c>
      <c r="B10" s="3" t="n">
        <v>8302.71</v>
      </c>
      <c r="D10" s="5" t="inlineStr">
        <is>
          <t>Transportation</t>
        </is>
      </c>
      <c r="E10" s="3">
        <f>SUMIFS($J$29:$J$528,$E$29:$E$528,$D10,$I$29:$I$528,"Expense")</f>
        <v>53.0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0.0</v>
      </c>
      <c r="J10" s="3">
        <f>SUMIFS($J$29:$J$528,$B$29:$B$528,5,$I$29:$I$528,"Income")</f>
        <v>0.0</v>
      </c>
      <c r="K10" s="3">
        <f>J10-I10</f>
        <v>0.0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310.39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67.88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0.0</v>
      </c>
      <c r="G19" s="3">
        <f>SUMIFS($J$29:$J$528,$E$29:$E$528,$D19,$I$29:$I$528,"Opening Balance")</f>
        <v>0.0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1548.0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0.0</v>
      </c>
      <c r="F24" s="3">
        <f>SUMIFS($J$29:$J$528,$E$29:$E$528,$D24,$I$29:$I$528,"Income")</f>
        <v>0.0</v>
      </c>
      <c r="G24" s="3">
        <f>SUMIFS($J$29:$J$528,$E$29:$E$528,$D24,$I$29:$I$528,"Opening Balance")</f>
        <v>0.0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 t="n">
        <v>46281</v>
      </c>
      <c r="B69" s="9">
        <f>IF(A69="","",INT(DAY(A69)/7)+1)</f>
        <v>3</v>
      </c>
      <c r="C69" s="9" t="inlineStr">
        <is>
          <t>TRADER JOE S #54 445 G NEW YORK NY 401072 09/16 (...0119)</t>
        </is>
      </c>
      <c r="D69" s="9" t="inlineStr">
        <is>
          <t>Trader Joe's</t>
        </is>
      </c>
      <c r="E69" s="9" t="inlineStr">
        <is>
          <t>Groceries</t>
        </is>
      </c>
      <c r="F69" s="9" t="inlineStr">
        <is>
          <t>Groceries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42.36</v>
      </c>
      <c r="K69" s="9" t="inlineStr">
        <is>
          <t>9월 3주차; Chase Secure (...0119); Posted 2026-09-16; Balance shown: $8,302.71</t>
        </is>
      </c>
    </row>
    <row r="70">
      <c r="A70" s="4" t="n">
        <v>46281</v>
      </c>
      <c r="B70" s="9">
        <f>IF(A70="","",INT(DAY(A70)/7)+1)</f>
        <v>3</v>
      </c>
      <c r="C70" s="9" t="inlineStr">
        <is>
          <t>JACKPOT DEALS BROOKLYN NY 523449 09/16 (...0119)</t>
        </is>
      </c>
      <c r="D70" s="9" t="inlineStr">
        <is>
          <t>Jackpot Deals</t>
        </is>
      </c>
      <c r="E70" s="9" t="inlineStr">
        <is>
          <t>Shopping</t>
        </is>
      </c>
      <c r="F70" s="9" t="inlineStr">
        <is>
          <t>Retail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5.43</v>
      </c>
      <c r="K70" s="9" t="inlineStr">
        <is>
          <t>9월 3주차; Chase Secure (...0119); Posted 2026-09-16; Balance shown: $8,345.07</t>
        </is>
      </c>
    </row>
    <row r="71">
      <c r="A71" s="4" t="n">
        <v>46281</v>
      </c>
      <c r="B71" s="9">
        <f>IF(A71="","",INT(DAY(A71)/7)+1)</f>
        <v>3</v>
      </c>
      <c r="C71" s="9" t="inlineStr">
        <is>
          <t>H MART NEW YORK NY 09/15 (...0119)</t>
        </is>
      </c>
      <c r="D71" s="9" t="inlineStr">
        <is>
          <t>H Mart</t>
        </is>
      </c>
      <c r="E71" s="9" t="inlineStr">
        <is>
          <t>Groceries</t>
        </is>
      </c>
      <c r="F71" s="9" t="inlineStr">
        <is>
          <t>Groceries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12.95</v>
      </c>
      <c r="K71" s="9" t="inlineStr">
        <is>
          <t>9월 3주차; Chase Secure (...0119); Posted 2026-09-16; Balance shown: $8,350.50</t>
        </is>
      </c>
    </row>
    <row r="72">
      <c r="A72" s="4" t="n">
        <v>46281</v>
      </c>
      <c r="B72" s="9">
        <f>IF(A72="","",INT(DAY(A72)/7)+1)</f>
        <v>3</v>
      </c>
      <c r="C72" s="9" t="inlineStr">
        <is>
          <t>MTA*NYCT PAYGO NEW YORK NY 09/15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3.00</v>
      </c>
      <c r="K72" s="9" t="inlineStr">
        <is>
          <t>9월 3주차; Chase Secure (...0119); Posted 2026-09-16; Balance shown: $8,363.45</t>
        </is>
      </c>
    </row>
    <row r="73">
      <c r="A73" s="4" t="n">
        <v>46281</v>
      </c>
      <c r="B73" s="9">
        <f>IF(A73="","",INT(DAY(A73)/7)+1)</f>
        <v>3</v>
      </c>
      <c r="C73" s="9" t="inlineStr">
        <is>
          <t>TOPIA NEWS STAND BROOKLYN NY 09/15 (...0119)</t>
        </is>
      </c>
      <c r="D73" s="9" t="inlineStr">
        <is>
          <t>Topia News Stand</t>
        </is>
      </c>
      <c r="E73" s="9" t="inlineStr">
        <is>
          <t>Shopping</t>
        </is>
      </c>
      <c r="F73" s="9" t="inlineStr">
        <is>
          <t>Newsstand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 t="n">
        <v>22.86</v>
      </c>
      <c r="K73" s="9" t="inlineStr">
        <is>
          <t>9월 3주차; Chase Secure (...0119); Posted 2026-09-16; Balance shown: $8,366.45; Category inferred from merchant</t>
        </is>
      </c>
    </row>
    <row r="74">
      <c r="A74" s="4" t="n">
        <v>46281</v>
      </c>
      <c r="B74" s="9">
        <f>IF(A74="","",INT(DAY(A74)/7)+1)</f>
        <v>3</v>
      </c>
      <c r="C74" s="9" t="inlineStr">
        <is>
          <t>FIVE GUYS NY 1258 QSR BROOKLYN NY 09/15 (...0119)</t>
        </is>
      </c>
      <c r="D74" s="9" t="inlineStr">
        <is>
          <t>Five Guys</t>
        </is>
      </c>
      <c r="E74" s="9" t="inlineStr">
        <is>
          <t>Dining</t>
        </is>
      </c>
      <c r="F74" s="9" t="inlineStr">
        <is>
          <t>Fast food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 t="n">
        <v>15.18</v>
      </c>
      <c r="K74" s="9" t="inlineStr">
        <is>
          <t>9월 3주차; Chase Secure (...0119); Posted 2026-09-16; Balance shown: $8,389.31</t>
        </is>
      </c>
    </row>
    <row r="75">
      <c r="A75" s="4" t="n">
        <v>46281</v>
      </c>
      <c r="B75" s="9">
        <f>IF(A75="","",INT(DAY(A75)/7)+1)</f>
        <v>3</v>
      </c>
      <c r="C75" s="9" t="inlineStr">
        <is>
          <t>MTA*NYCT PAYGO NEW YORK NY 09/15 (...0119)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3.00</v>
      </c>
      <c r="K75" s="9" t="inlineStr">
        <is>
          <t>9월 3주차; Chase Secure (...0119); Posted 2026-09-16; Balance shown: $8,404.49</t>
        </is>
      </c>
    </row>
    <row r="76">
      <c r="A76" s="4" t="n"/>
      <c r="B76" s="9">
        <f>IF(A76="","",INT(DAY(A76)/7)+1)</f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IF(A77="","",INT(DAY(A77)/7)+1)</f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IF(A78="","",INT(DAY(A78)/7)+1)</f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IF(A79="","",INT(DAY(A79)/7)+1)</f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IF(A80="","",INT(DAY(A80)/7)+1)</f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IF(A81="","",INT(DAY(A81)/7)+1)</f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