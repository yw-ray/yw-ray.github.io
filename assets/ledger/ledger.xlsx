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1578.00</v>
      </c>
      <c r="C14" s="3">
        <f>'Sep 2026'!$B$6</f>
        <v>2380.65</v>
      </c>
      <c r="D14" s="3">
        <f>'Sep 2026'!$B$7</f>
        <v>0</v>
      </c>
      <c r="E14" s="3">
        <f>'Sep 2026'!$B$8</f>
        <v>106</v>
      </c>
      <c r="F14" s="3">
        <f>'Sep 2026'!$B$9</f>
        <v>-802.65</v>
      </c>
      <c r="G14" s="3">
        <f>'Sep 2026'!$B$10</f>
        <v>8039.59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6566.00</v>
      </c>
      <c r="C18" s="3">
        <f>SUM(C6:C17)</f>
        <v>5122.21</v>
      </c>
      <c r="D18" s="3">
        <f>SUM(D6:D17)</f>
        <v>7300.0</v>
      </c>
      <c r="E18" s="3">
        <f>SUM(E6:E17)</f>
        <v>1806.0</v>
      </c>
      <c r="F18" s="3">
        <f>SUM(F6:F17)</f>
        <v>1443.79</v>
      </c>
      <c r="G18" s="3">
        <f>LOOKUP(2,1/(G6:G17&lt;&gt;0),G6:G17)</f>
        <v>8039.59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2200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-2200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616.71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-616.71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617.63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-617.63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207.45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-207.45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438.74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-438.74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515.59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-515.59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100.01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-100.01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6566.00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6566.00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1578.00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2380.65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</v>
      </c>
      <c r="D8" s="5" t="inlineStr">
        <is>
          <t>Groceries</t>
        </is>
      </c>
      <c r="E8" s="3">
        <f>SUMIFS($J$29:$J$528,$E$29:$E$528,$D8,$I$29:$I$528,"Expense")</f>
        <v>222.64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-802.65</v>
      </c>
      <c r="D9" s="5" t="inlineStr">
        <is>
          <t>Dining</t>
        </is>
      </c>
      <c r="E9" s="3">
        <f>SUMIFS($J$29:$J$528,$E$29:$E$528,$D9,$I$29:$I$528,"Expense")</f>
        <v>267.62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244.91</v>
      </c>
      <c r="J9" s="3">
        <f>SUMIFS($J$29:$J$528,$B$29:$B$528,4,$I$29:$I$528,"Income")</f>
        <v>0</v>
      </c>
      <c r="K9" s="3">
        <f>J9-I9</f>
        <v>-244.91</v>
      </c>
    </row>
    <row r="10">
      <c r="A10" s="5" t="inlineStr">
        <is>
          <t>Current Balance</t>
        </is>
      </c>
      <c r="B10" s="3">
        <v>8039.59</v>
      </c>
      <c r="D10" s="5" t="inlineStr">
        <is>
          <t>Transportation</t>
        </is>
      </c>
      <c r="E10" s="3">
        <f>SUMIFS($J$29:$J$528,$E$29:$E$528,$D10,$I$29:$I$528,"Expense")</f>
        <v>97.00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</v>
      </c>
      <c r="J10" s="3">
        <f>SUMIFS($J$29:$J$528,$B$29:$B$528,5,$I$29:$I$528,"Income")</f>
        <v>0</v>
      </c>
      <c r="K10" s="3">
        <f>J10-I10</f>
        <v>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2380.65</v>
      </c>
      <c r="J11" s="3">
        <f>B5</f>
        <v>1578.00</v>
      </c>
      <c r="K11" s="3">
        <f>J11-I11</f>
        <v>-802.65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-22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24.36</v>
      </c>
      <c r="D16" s="5" t="inlineStr">
        <is>
          <t>Shopping</t>
        </is>
      </c>
      <c r="E16" s="3">
        <f>SUMIFS($J$29:$J$528,$E$29:$E$528,$D16,$I$29:$I$528,"Expense")</f>
        <v>360.42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182.77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1578.00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