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 xmlns:ns1="http://schemas.openxmlformats.org/officeDocument/2006/relationships">
  <workbookPr/>
  <sheets>
    <sheet name="Summary" sheetId="1" state="visible" ns1:id="rId1"/>
    <sheet name="Jan 2026" sheetId="2" state="visible" ns1:id="rId2"/>
    <sheet name="Feb 2026" sheetId="3" state="visible" ns1:id="rId3"/>
    <sheet name="Mar 2026" sheetId="4" state="visible" ns1:id="rId4"/>
    <sheet name="Apr 2026" sheetId="5" state="visible" ns1:id="rId5"/>
    <sheet name="May 2026" sheetId="6" state="visible" ns1:id="rId6"/>
    <sheet name="Jun 2026" sheetId="7" state="visible" ns1:id="rId7"/>
    <sheet name="Jul 2026" sheetId="8" state="visible" ns1:id="rId8"/>
    <sheet name="Aug 2026" sheetId="9" state="visible" ns1:id="rId9"/>
    <sheet name="Sep 2026" sheetId="10" state="visible" ns1:id="rId10"/>
    <sheet name="Oct 2026" sheetId="11" state="visible" ns1:id="rId11"/>
    <sheet name="Nov 2026" sheetId="12" state="visible" ns1:id="rId12"/>
    <sheet name="Dec 2026" sheetId="13" state="visible" ns1:id="rId13"/>
    <sheet name="Lists" sheetId="14" state="hidden" ns1:id="rId14"/>
  </sheets>
  <definedNames>
    <definedName name="_xlnm._FilterDatabase" localSheetId="1" hidden="1">'Jan 2026'!$A$28:$K$528</definedName>
    <definedName name="_xlnm._FilterDatabase" localSheetId="2" hidden="1">'Feb 2026'!$A$28:$K$528</definedName>
    <definedName name="_xlnm._FilterDatabase" localSheetId="3" hidden="1">'Mar 2026'!$A$28:$K$528</definedName>
    <definedName name="_xlnm._FilterDatabase" localSheetId="4" hidden="1">'Apr 2026'!$A$28:$K$528</definedName>
    <definedName name="_xlnm._FilterDatabase" localSheetId="5" hidden="1">'May 2026'!$A$28:$K$528</definedName>
    <definedName name="_xlnm._FilterDatabase" localSheetId="6" hidden="1">'Jun 2026'!$A$28:$K$528</definedName>
    <definedName name="_xlnm._FilterDatabase" localSheetId="7" hidden="1">'Jul 2026'!$A$28:$K$528</definedName>
    <definedName name="_xlnm._FilterDatabase" localSheetId="8" hidden="1">'Aug 2026'!$A$28:$K$528</definedName>
    <definedName name="_xlnm._FilterDatabase" localSheetId="9" hidden="1">'Sep 2026'!$A$28:$K$528</definedName>
    <definedName name="_xlnm._FilterDatabase" localSheetId="10" hidden="1">'Oct 2026'!$A$28:$K$528</definedName>
    <definedName name="_xlnm._FilterDatabase" localSheetId="11" hidden="1">'Nov 2026'!$A$28:$K$528</definedName>
    <definedName name="_xlnm._FilterDatabase" localSheetId="12" hidden="1">'Dec 2026'!$A$28:$K$528</definedName>
  </definedNames>
  <calcPr calcId="191029" fullCalcOnLoad="1" forceFullCalc="1" calcMode="auto"/>
</workbook>
</file>

<file path=xl/styles.xml><?xml version="1.0" encoding="utf-8"?>
<styleSheet xmlns="http://schemas.openxmlformats.org/spreadsheetml/2006/main">
  <numFmts count="2">
    <numFmt numFmtId="164" formatCode="$#,##0.00;[Red]-$#,##0.00"/>
    <numFmt numFmtId="165" formatCode="yyyy-mm-dd"/>
  </numFmts>
  <fonts count="5">
    <font>
      <name val="Calibri"/>
      <sz val="11"/>
    </font>
    <font>
      <name val="Calibri"/>
      <b val="1"/>
      <sz val="16"/>
    </font>
    <font>
      <name val="Calibri"/>
      <b val="1"/>
      <color rgb="FFFFFFFF"/>
      <sz val="11"/>
    </font>
    <font>
      <name val="Calibri"/>
      <color rgb="FF666666"/>
      <sz val="10"/>
    </font>
    <font>
      <name val="Calibri"/>
      <b val="1"/>
      <sz val="11"/>
    </font>
  </fonts>
  <fills count="5">
    <fill>
      <patternFill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2F2F2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1">
    <xf numFmtId="0" fontId="0" fillId="0" borderId="1" pivotButton="0" quotePrefix="0" xfId="0"/>
    <xf numFmtId="0" fontId="1" fillId="0" borderId="0" pivotButton="0" quotePrefix="0" xfId="0"/>
    <xf numFmtId="0" fontId="2" fillId="2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4" fillId="3" borderId="1" pivotButton="0" quotePrefix="0" xfId="0"/>
    <xf numFmtId="10" fontId="0" fillId="0" borderId="1" pivotButton="0" quotePrefix="0" xfId="0"/>
    <xf numFmtId="0" fontId="3" fillId="0" borderId="0" pivotButton="0" quotePrefix="0" xfId="0"/>
    <xf numFmtId="0" fontId="3" fillId="4" borderId="1" pivotButton="0" quotePrefix="0" xfId="0"/>
    <xf numFmtId="0" fontId="0" fillId="0" borderId="1" pivotButton="0" quotePrefix="0" xfId="0"/>
    <xf numFmtId="0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2"/>
  <sheetViews>
    <sheetView showGridLines="0" workbookViewId="0">
      <pane xSplit="0" ySplit="5" topLeftCell="A6" activePane="bottomLeft" state="frozen"/>
      <selection pane="bottomLeft" activeCell="A6" sqref="A6"/>
    </sheetView>
  </sheetViews>
  <sheetFormatPr baseColWidth="8" defaultRowHeight="15"/>
  <cols>
    <col width="26" customWidth="1" style="10" min="1" max="1"/>
    <col width="18" customWidth="1" style="10" min="2" max="6"/>
  </cols>
  <sheetData>
    <row r="1">
      <c r="A1" s="1" t="inlineStr">
        <is>
          <t>Personal Ledger Summary</t>
        </is>
      </c>
    </row>
    <row r="2">
      <c r="A2" s="7" t="inlineStr">
        <is>
          <t>Workbook year: 2026</t>
        </is>
      </c>
    </row>
    <row r="4">
      <c r="A4" s="1" t="inlineStr">
        <is>
          <t>Annual Overview</t>
        </is>
      </c>
    </row>
    <row r="5">
      <c r="A5" s="2" t="inlineStr">
        <is>
          <t>Month</t>
        </is>
      </c>
      <c r="B5" s="2" t="inlineStr">
        <is>
          <t>Income</t>
        </is>
      </c>
      <c r="C5" s="2" t="inlineStr">
        <is>
          <t>Expenses</t>
        </is>
      </c>
      <c r="D5" s="2" t="inlineStr">
        <is>
          <t>Existing Savings</t>
        </is>
      </c>
      <c r="E5" s="2" t="inlineStr">
        <is>
          <t>Transfers</t>
        </is>
      </c>
      <c r="F5" s="2" t="inlineStr">
        <is>
          <t>Net Cash Flow</t>
        </is>
      </c>
    </row>
    <row r="6">
      <c r="A6" s="5" t="inlineStr">
        <is>
          <t>Jan 2026</t>
        </is>
      </c>
      <c r="B6" s="3">
        <f>'Jan 2026'!$B$5</f>
        <v/>
      </c>
      <c r="C6" s="3">
        <f>'Jan 2026'!$B$6</f>
        <v/>
      </c>
      <c r="D6" s="3">
        <f>'Jan 2026'!$B$7</f>
        <v/>
      </c>
      <c r="E6" s="3">
        <f>'Jan 2026'!$B$8</f>
        <v/>
      </c>
      <c r="F6" s="3">
        <f>'Jan 2026'!$B$9</f>
        <v/>
      </c>
    </row>
    <row r="7">
      <c r="A7" s="5" t="inlineStr">
        <is>
          <t>Feb 2026</t>
        </is>
      </c>
      <c r="B7" s="3">
        <f>'Feb 2026'!$B$5</f>
        <v/>
      </c>
      <c r="C7" s="3">
        <f>'Feb 2026'!$B$6</f>
        <v/>
      </c>
      <c r="D7" s="3">
        <f>'Feb 2026'!$B$7</f>
        <v/>
      </c>
      <c r="E7" s="3">
        <f>'Feb 2026'!$B$8</f>
        <v/>
      </c>
      <c r="F7" s="3">
        <f>'Feb 2026'!$B$9</f>
        <v/>
      </c>
    </row>
    <row r="8">
      <c r="A8" s="5" t="inlineStr">
        <is>
          <t>Mar 2026</t>
        </is>
      </c>
      <c r="B8" s="3">
        <f>'Mar 2026'!$B$5</f>
        <v/>
      </c>
      <c r="C8" s="3">
        <f>'Mar 2026'!$B$6</f>
        <v/>
      </c>
      <c r="D8" s="3">
        <f>'Mar 2026'!$B$7</f>
        <v/>
      </c>
      <c r="E8" s="3">
        <f>'Mar 2026'!$B$8</f>
        <v/>
      </c>
      <c r="F8" s="3">
        <f>'Mar 2026'!$B$9</f>
        <v/>
      </c>
    </row>
    <row r="9">
      <c r="A9" s="5" t="inlineStr">
        <is>
          <t>Apr 2026</t>
        </is>
      </c>
      <c r="B9" s="3">
        <f>'Apr 2026'!$B$5</f>
        <v/>
      </c>
      <c r="C9" s="3">
        <f>'Apr 2026'!$B$6</f>
        <v/>
      </c>
      <c r="D9" s="3">
        <f>'Apr 2026'!$B$7</f>
        <v/>
      </c>
      <c r="E9" s="3">
        <f>'Apr 2026'!$B$8</f>
        <v/>
      </c>
      <c r="F9" s="3">
        <f>'Apr 2026'!$B$9</f>
        <v/>
      </c>
    </row>
    <row r="10">
      <c r="A10" s="5" t="inlineStr">
        <is>
          <t>May 2026</t>
        </is>
      </c>
      <c r="B10" s="3">
        <f>'May 2026'!$B$5</f>
        <v/>
      </c>
      <c r="C10" s="3">
        <f>'May 2026'!$B$6</f>
        <v/>
      </c>
      <c r="D10" s="3">
        <f>'May 2026'!$B$7</f>
        <v/>
      </c>
      <c r="E10" s="3">
        <f>'May 2026'!$B$8</f>
        <v/>
      </c>
      <c r="F10" s="3">
        <f>'May 2026'!$B$9</f>
        <v/>
      </c>
    </row>
    <row r="11">
      <c r="A11" s="5" t="inlineStr">
        <is>
          <t>Jun 2026</t>
        </is>
      </c>
      <c r="B11" s="3">
        <f>'Jun 2026'!$B$5</f>
        <v/>
      </c>
      <c r="C11" s="3">
        <f>'Jun 2026'!$B$6</f>
        <v/>
      </c>
      <c r="D11" s="3">
        <f>'Jun 2026'!$B$7</f>
        <v/>
      </c>
      <c r="E11" s="3">
        <f>'Jun 2026'!$B$8</f>
        <v/>
      </c>
      <c r="F11" s="3">
        <f>'Jun 2026'!$B$9</f>
        <v/>
      </c>
    </row>
    <row r="12">
      <c r="A12" s="5" t="inlineStr">
        <is>
          <t>Jul 2026</t>
        </is>
      </c>
      <c r="B12" s="3">
        <f>'Jul 2026'!$B$5</f>
        <v/>
      </c>
      <c r="C12" s="3">
        <f>'Jul 2026'!$B$6</f>
        <v/>
      </c>
      <c r="D12" s="3">
        <f>'Jul 2026'!$B$7</f>
        <v/>
      </c>
      <c r="E12" s="3">
        <f>'Jul 2026'!$B$8</f>
        <v/>
      </c>
      <c r="F12" s="3">
        <f>'Jul 2026'!$B$9</f>
        <v/>
      </c>
    </row>
    <row r="13">
      <c r="A13" s="5" t="inlineStr">
        <is>
          <t>Aug 2026</t>
        </is>
      </c>
      <c r="B13" s="3">
        <f>'Aug 2026'!$B$5</f>
        <v/>
      </c>
      <c r="C13" s="3">
        <f>'Aug 2026'!$B$6</f>
        <v/>
      </c>
      <c r="D13" s="3">
        <f>'Aug 2026'!$B$7</f>
        <v/>
      </c>
      <c r="E13" s="3">
        <f>'Aug 2026'!$B$8</f>
        <v/>
      </c>
      <c r="F13" s="3">
        <f>'Aug 2026'!$B$9</f>
        <v/>
      </c>
    </row>
    <row r="14">
      <c r="A14" s="5" t="inlineStr">
        <is>
          <t>Sep 2026</t>
        </is>
      </c>
      <c r="B14" s="3">
        <f>'Sep 2026'!$B$5</f>
        <v/>
      </c>
      <c r="C14" s="3">
        <f>'Sep 2026'!$B$6</f>
        <v/>
      </c>
      <c r="D14" s="3">
        <f>'Sep 2026'!$B$7</f>
        <v/>
      </c>
      <c r="E14" s="3">
        <f>'Sep 2026'!$B$8</f>
        <v/>
      </c>
      <c r="F14" s="3">
        <f>'Sep 2026'!$B$9</f>
        <v/>
      </c>
    </row>
    <row r="15">
      <c r="A15" s="5" t="inlineStr">
        <is>
          <t>Oct 2026</t>
        </is>
      </c>
      <c r="B15" s="3">
        <f>'Oct 2026'!$B$5</f>
        <v/>
      </c>
      <c r="C15" s="3">
        <f>'Oct 2026'!$B$6</f>
        <v/>
      </c>
      <c r="D15" s="3">
        <f>'Oct 2026'!$B$7</f>
        <v/>
      </c>
      <c r="E15" s="3">
        <f>'Oct 2026'!$B$8</f>
        <v/>
      </c>
      <c r="F15" s="3">
        <f>'Oct 2026'!$B$9</f>
        <v/>
      </c>
    </row>
    <row r="16">
      <c r="A16" s="5" t="inlineStr">
        <is>
          <t>Nov 2026</t>
        </is>
      </c>
      <c r="B16" s="3">
        <f>'Nov 2026'!$B$5</f>
        <v/>
      </c>
      <c r="C16" s="3">
        <f>'Nov 2026'!$B$6</f>
        <v/>
      </c>
      <c r="D16" s="3">
        <f>'Nov 2026'!$B$7</f>
        <v/>
      </c>
      <c r="E16" s="3">
        <f>'Nov 2026'!$B$8</f>
        <v/>
      </c>
      <c r="F16" s="3">
        <f>'Nov 2026'!$B$9</f>
        <v/>
      </c>
    </row>
    <row r="17">
      <c r="A17" s="5" t="inlineStr">
        <is>
          <t>Dec 2026</t>
        </is>
      </c>
      <c r="B17" s="3">
        <f>'Dec 2026'!$B$5</f>
        <v/>
      </c>
      <c r="C17" s="3">
        <f>'Dec 2026'!$B$6</f>
        <v/>
      </c>
      <c r="D17" s="3">
        <f>'Dec 2026'!$B$7</f>
        <v/>
      </c>
      <c r="E17" s="3">
        <f>'Dec 2026'!$B$8</f>
        <v/>
      </c>
      <c r="F17" s="3">
        <f>'Dec 2026'!$B$9</f>
        <v/>
      </c>
    </row>
    <row r="18">
      <c r="A18" s="2" t="inlineStr">
        <is>
          <t>Total</t>
        </is>
      </c>
      <c r="B18" s="3">
        <f>SUM(B6:B17)</f>
        <v/>
      </c>
      <c r="C18" s="3">
        <f>SUM(C6:C17)</f>
        <v/>
      </c>
      <c r="D18" s="3">
        <f>SUM(D6:D17)</f>
        <v/>
      </c>
      <c r="E18" s="3">
        <f>SUM(E6:E17)</f>
        <v/>
      </c>
      <c r="F18" s="3">
        <f>SUM(F6:F17)</f>
        <v/>
      </c>
    </row>
    <row r="20">
      <c r="A20" s="1" t="inlineStr">
        <is>
          <t>Annual Category Summary</t>
        </is>
      </c>
    </row>
    <row r="21">
      <c r="A21" s="2" t="inlineStr">
        <is>
          <t>Category</t>
        </is>
      </c>
      <c r="B21" s="2" t="inlineStr">
        <is>
          <t>Expenses</t>
        </is>
      </c>
      <c r="C21" s="2" t="inlineStr">
        <is>
          <t>Income</t>
        </is>
      </c>
      <c r="D21" s="2" t="inlineStr">
        <is>
          <t>Existing Savings</t>
        </is>
      </c>
      <c r="E21" s="2" t="inlineStr">
        <is>
          <t>Net</t>
        </is>
      </c>
    </row>
    <row r="22">
      <c r="A22" s="5" t="inlineStr">
        <is>
          <t>Housing</t>
        </is>
      </c>
      <c r="B22" s="3">
        <f>SUMIFS('Jan 2026'!$J$29:$J$528,'Jan 2026'!$E$29:$E$528,$A22,'Jan 2026'!$I$29:$I$528,"Expense")+SUMIFS('Feb 2026'!$J$29:$J$528,'Feb 2026'!$E$29:$E$528,$A22,'Feb 2026'!$I$29:$I$528,"Expense")+SUMIFS('Mar 2026'!$J$29:$J$528,'Mar 2026'!$E$29:$E$528,$A22,'Mar 2026'!$I$29:$I$528,"Expense")+SUMIFS('Apr 2026'!$J$29:$J$528,'Apr 2026'!$E$29:$E$528,$A22,'Apr 2026'!$I$29:$I$528,"Expense")+SUMIFS('May 2026'!$J$29:$J$528,'May 2026'!$E$29:$E$528,$A22,'May 2026'!$I$29:$I$528,"Expense")+SUMIFS('Jun 2026'!$J$29:$J$528,'Jun 2026'!$E$29:$E$528,$A22,'Jun 2026'!$I$29:$I$528,"Expense")+SUMIFS('Jul 2026'!$J$29:$J$528,'Jul 2026'!$E$29:$E$528,$A22,'Jul 2026'!$I$29:$I$528,"Expense")+SUMIFS('Aug 2026'!$J$29:$J$528,'Aug 2026'!$E$29:$E$528,$A22,'Aug 2026'!$I$29:$I$528,"Expense")+SUMIFS('Sep 2026'!$J$29:$J$528,'Sep 2026'!$E$29:$E$528,$A22,'Sep 2026'!$I$29:$I$528,"Expense")+SUMIFS('Oct 2026'!$J$29:$J$528,'Oct 2026'!$E$29:$E$528,$A22,'Oct 2026'!$I$29:$I$528,"Expense")+SUMIFS('Nov 2026'!$J$29:$J$528,'Nov 2026'!$E$29:$E$528,$A22,'Nov 2026'!$I$29:$I$528,"Expense")+SUMIFS('Dec 2026'!$J$29:$J$528,'Dec 2026'!$E$29:$E$528,$A22,'Dec 2026'!$I$29:$I$528,"Expense")</f>
        <v/>
      </c>
      <c r="C22" s="3">
        <f>SUMIFS('Jan 2026'!$J$29:$J$528,'Jan 2026'!$E$29:$E$528,$A22,'Jan 2026'!$I$29:$I$528,"Income")+SUMIFS('Feb 2026'!$J$29:$J$528,'Feb 2026'!$E$29:$E$528,$A22,'Feb 2026'!$I$29:$I$528,"Income")+SUMIFS('Mar 2026'!$J$29:$J$528,'Mar 2026'!$E$29:$E$528,$A22,'Mar 2026'!$I$29:$I$528,"Income")+SUMIFS('Apr 2026'!$J$29:$J$528,'Apr 2026'!$E$29:$E$528,$A22,'Apr 2026'!$I$29:$I$528,"Income")+SUMIFS('May 2026'!$J$29:$J$528,'May 2026'!$E$29:$E$528,$A22,'May 2026'!$I$29:$I$528,"Income")+SUMIFS('Jun 2026'!$J$29:$J$528,'Jun 2026'!$E$29:$E$528,$A22,'Jun 2026'!$I$29:$I$528,"Income")+SUMIFS('Jul 2026'!$J$29:$J$528,'Jul 2026'!$E$29:$E$528,$A22,'Jul 2026'!$I$29:$I$528,"Income")+SUMIFS('Aug 2026'!$J$29:$J$528,'Aug 2026'!$E$29:$E$528,$A22,'Aug 2026'!$I$29:$I$528,"Income")+SUMIFS('Sep 2026'!$J$29:$J$528,'Sep 2026'!$E$29:$E$528,$A22,'Sep 2026'!$I$29:$I$528,"Income")+SUMIFS('Oct 2026'!$J$29:$J$528,'Oct 2026'!$E$29:$E$528,$A22,'Oct 2026'!$I$29:$I$528,"Income")+SUMIFS('Nov 2026'!$J$29:$J$528,'Nov 2026'!$E$29:$E$528,$A22,'Nov 2026'!$I$29:$I$528,"Income")+SUMIFS('Dec 2026'!$J$29:$J$528,'Dec 2026'!$E$29:$E$528,$A22,'Dec 2026'!$I$29:$I$528,"Income")</f>
        <v/>
      </c>
      <c r="D22" s="3">
        <f>SUMIFS('Jan 2026'!$J$29:$J$528,'Jan 2026'!$E$29:$E$528,$A22,'Jan 2026'!$I$29:$I$528,"Opening Balance")+SUMIFS('Feb 2026'!$J$29:$J$528,'Feb 2026'!$E$29:$E$528,$A22,'Feb 2026'!$I$29:$I$528,"Opening Balance")+SUMIFS('Mar 2026'!$J$29:$J$528,'Mar 2026'!$E$29:$E$528,$A22,'Mar 2026'!$I$29:$I$528,"Opening Balance")+SUMIFS('Apr 2026'!$J$29:$J$528,'Apr 2026'!$E$29:$E$528,$A22,'Apr 2026'!$I$29:$I$528,"Opening Balance")+SUMIFS('May 2026'!$J$29:$J$528,'May 2026'!$E$29:$E$528,$A22,'May 2026'!$I$29:$I$528,"Opening Balance")+SUMIFS('Jun 2026'!$J$29:$J$528,'Jun 2026'!$E$29:$E$528,$A22,'Jun 2026'!$I$29:$I$528,"Opening Balance")+SUMIFS('Jul 2026'!$J$29:$J$528,'Jul 2026'!$E$29:$E$528,$A22,'Jul 2026'!$I$29:$I$528,"Opening Balance")+SUMIFS('Aug 2026'!$J$29:$J$528,'Aug 2026'!$E$29:$E$528,$A22,'Aug 2026'!$I$29:$I$528,"Opening Balance")+SUMIFS('Sep 2026'!$J$29:$J$528,'Sep 2026'!$E$29:$E$528,$A22,'Sep 2026'!$I$29:$I$528,"Opening Balance")+SUMIFS('Oct 2026'!$J$29:$J$528,'Oct 2026'!$E$29:$E$528,$A22,'Oct 2026'!$I$29:$I$528,"Opening Balance")+SUMIFS('Nov 2026'!$J$29:$J$528,'Nov 2026'!$E$29:$E$528,$A22,'Nov 2026'!$I$29:$I$528,"Opening Balance")+SUMIFS('Dec 2026'!$J$29:$J$528,'Dec 2026'!$E$29:$E$528,$A22,'Dec 2026'!$I$29:$I$528,"Opening Balance")</f>
        <v/>
      </c>
      <c r="E22" s="3">
        <f>C22+D22-B22</f>
        <v/>
      </c>
    </row>
    <row r="23">
      <c r="A23" s="5" t="inlineStr">
        <is>
          <t>Utilities</t>
        </is>
      </c>
      <c r="B23" s="3">
        <f>SUMIFS('Jan 2026'!$J$29:$J$528,'Jan 2026'!$E$29:$E$528,$A23,'Jan 2026'!$I$29:$I$528,"Expense")+SUMIFS('Feb 2026'!$J$29:$J$528,'Feb 2026'!$E$29:$E$528,$A23,'Feb 2026'!$I$29:$I$528,"Expense")+SUMIFS('Mar 2026'!$J$29:$J$528,'Mar 2026'!$E$29:$E$528,$A23,'Mar 2026'!$I$29:$I$528,"Expense")+SUMIFS('Apr 2026'!$J$29:$J$528,'Apr 2026'!$E$29:$E$528,$A23,'Apr 2026'!$I$29:$I$528,"Expense")+SUMIFS('May 2026'!$J$29:$J$528,'May 2026'!$E$29:$E$528,$A23,'May 2026'!$I$29:$I$528,"Expense")+SUMIFS('Jun 2026'!$J$29:$J$528,'Jun 2026'!$E$29:$E$528,$A23,'Jun 2026'!$I$29:$I$528,"Expense")+SUMIFS('Jul 2026'!$J$29:$J$528,'Jul 2026'!$E$29:$E$528,$A23,'Jul 2026'!$I$29:$I$528,"Expense")+SUMIFS('Aug 2026'!$J$29:$J$528,'Aug 2026'!$E$29:$E$528,$A23,'Aug 2026'!$I$29:$I$528,"Expense")+SUMIFS('Sep 2026'!$J$29:$J$528,'Sep 2026'!$E$29:$E$528,$A23,'Sep 2026'!$I$29:$I$528,"Expense")+SUMIFS('Oct 2026'!$J$29:$J$528,'Oct 2026'!$E$29:$E$528,$A23,'Oct 2026'!$I$29:$I$528,"Expense")+SUMIFS('Nov 2026'!$J$29:$J$528,'Nov 2026'!$E$29:$E$528,$A23,'Nov 2026'!$I$29:$I$528,"Expense")+SUMIFS('Dec 2026'!$J$29:$J$528,'Dec 2026'!$E$29:$E$528,$A23,'Dec 2026'!$I$29:$I$528,"Expense")</f>
        <v/>
      </c>
      <c r="C23" s="3">
        <f>SUMIFS('Jan 2026'!$J$29:$J$528,'Jan 2026'!$E$29:$E$528,$A23,'Jan 2026'!$I$29:$I$528,"Income")+SUMIFS('Feb 2026'!$J$29:$J$528,'Feb 2026'!$E$29:$E$528,$A23,'Feb 2026'!$I$29:$I$528,"Income")+SUMIFS('Mar 2026'!$J$29:$J$528,'Mar 2026'!$E$29:$E$528,$A23,'Mar 2026'!$I$29:$I$528,"Income")+SUMIFS('Apr 2026'!$J$29:$J$528,'Apr 2026'!$E$29:$E$528,$A23,'Apr 2026'!$I$29:$I$528,"Income")+SUMIFS('May 2026'!$J$29:$J$528,'May 2026'!$E$29:$E$528,$A23,'May 2026'!$I$29:$I$528,"Income")+SUMIFS('Jun 2026'!$J$29:$J$528,'Jun 2026'!$E$29:$E$528,$A23,'Jun 2026'!$I$29:$I$528,"Income")+SUMIFS('Jul 2026'!$J$29:$J$528,'Jul 2026'!$E$29:$E$528,$A23,'Jul 2026'!$I$29:$I$528,"Income")+SUMIFS('Aug 2026'!$J$29:$J$528,'Aug 2026'!$E$29:$E$528,$A23,'Aug 2026'!$I$29:$I$528,"Income")+SUMIFS('Sep 2026'!$J$29:$J$528,'Sep 2026'!$E$29:$E$528,$A23,'Sep 2026'!$I$29:$I$528,"Income")+SUMIFS('Oct 2026'!$J$29:$J$528,'Oct 2026'!$E$29:$E$528,$A23,'Oct 2026'!$I$29:$I$528,"Income")+SUMIFS('Nov 2026'!$J$29:$J$528,'Nov 2026'!$E$29:$E$528,$A23,'Nov 2026'!$I$29:$I$528,"Income")+SUMIFS('Dec 2026'!$J$29:$J$528,'Dec 2026'!$E$29:$E$528,$A23,'Dec 2026'!$I$29:$I$528,"Income")</f>
        <v/>
      </c>
      <c r="D23" s="3">
        <f>SUMIFS('Jan 2026'!$J$29:$J$528,'Jan 2026'!$E$29:$E$528,$A23,'Jan 2026'!$I$29:$I$528,"Opening Balance")+SUMIFS('Feb 2026'!$J$29:$J$528,'Feb 2026'!$E$29:$E$528,$A23,'Feb 2026'!$I$29:$I$528,"Opening Balance")+SUMIFS('Mar 2026'!$J$29:$J$528,'Mar 2026'!$E$29:$E$528,$A23,'Mar 2026'!$I$29:$I$528,"Opening Balance")+SUMIFS('Apr 2026'!$J$29:$J$528,'Apr 2026'!$E$29:$E$528,$A23,'Apr 2026'!$I$29:$I$528,"Opening Balance")+SUMIFS('May 2026'!$J$29:$J$528,'May 2026'!$E$29:$E$528,$A23,'May 2026'!$I$29:$I$528,"Opening Balance")+SUMIFS('Jun 2026'!$J$29:$J$528,'Jun 2026'!$E$29:$E$528,$A23,'Jun 2026'!$I$29:$I$528,"Opening Balance")+SUMIFS('Jul 2026'!$J$29:$J$528,'Jul 2026'!$E$29:$E$528,$A23,'Jul 2026'!$I$29:$I$528,"Opening Balance")+SUMIFS('Aug 2026'!$J$29:$J$528,'Aug 2026'!$E$29:$E$528,$A23,'Aug 2026'!$I$29:$I$528,"Opening Balance")+SUMIFS('Sep 2026'!$J$29:$J$528,'Sep 2026'!$E$29:$E$528,$A23,'Sep 2026'!$I$29:$I$528,"Opening Balance")+SUMIFS('Oct 2026'!$J$29:$J$528,'Oct 2026'!$E$29:$E$528,$A23,'Oct 2026'!$I$29:$I$528,"Opening Balance")+SUMIFS('Nov 2026'!$J$29:$J$528,'Nov 2026'!$E$29:$E$528,$A23,'Nov 2026'!$I$29:$I$528,"Opening Balance")+SUMIFS('Dec 2026'!$J$29:$J$528,'Dec 2026'!$E$29:$E$528,$A23,'Dec 2026'!$I$29:$I$528,"Opening Balance")</f>
        <v/>
      </c>
      <c r="E23" s="3">
        <f>C23+D23-B23</f>
        <v/>
      </c>
    </row>
    <row r="24">
      <c r="A24" s="5" t="inlineStr">
        <is>
          <t>Groceries</t>
        </is>
      </c>
      <c r="B24" s="3">
        <f>SUMIFS('Jan 2026'!$J$29:$J$528,'Jan 2026'!$E$29:$E$528,$A24,'Jan 2026'!$I$29:$I$528,"Expense")+SUMIFS('Feb 2026'!$J$29:$J$528,'Feb 2026'!$E$29:$E$528,$A24,'Feb 2026'!$I$29:$I$528,"Expense")+SUMIFS('Mar 2026'!$J$29:$J$528,'Mar 2026'!$E$29:$E$528,$A24,'Mar 2026'!$I$29:$I$528,"Expense")+SUMIFS('Apr 2026'!$J$29:$J$528,'Apr 2026'!$E$29:$E$528,$A24,'Apr 2026'!$I$29:$I$528,"Expense")+SUMIFS('May 2026'!$J$29:$J$528,'May 2026'!$E$29:$E$528,$A24,'May 2026'!$I$29:$I$528,"Expense")+SUMIFS('Jun 2026'!$J$29:$J$528,'Jun 2026'!$E$29:$E$528,$A24,'Jun 2026'!$I$29:$I$528,"Expense")+SUMIFS('Jul 2026'!$J$29:$J$528,'Jul 2026'!$E$29:$E$528,$A24,'Jul 2026'!$I$29:$I$528,"Expense")+SUMIFS('Aug 2026'!$J$29:$J$528,'Aug 2026'!$E$29:$E$528,$A24,'Aug 2026'!$I$29:$I$528,"Expense")+SUMIFS('Sep 2026'!$J$29:$J$528,'Sep 2026'!$E$29:$E$528,$A24,'Sep 2026'!$I$29:$I$528,"Expense")+SUMIFS('Oct 2026'!$J$29:$J$528,'Oct 2026'!$E$29:$E$528,$A24,'Oct 2026'!$I$29:$I$528,"Expense")+SUMIFS('Nov 2026'!$J$29:$J$528,'Nov 2026'!$E$29:$E$528,$A24,'Nov 2026'!$I$29:$I$528,"Expense")+SUMIFS('Dec 2026'!$J$29:$J$528,'Dec 2026'!$E$29:$E$528,$A24,'Dec 2026'!$I$29:$I$528,"Expense")</f>
        <v/>
      </c>
      <c r="C24" s="3">
        <f>SUMIFS('Jan 2026'!$J$29:$J$528,'Jan 2026'!$E$29:$E$528,$A24,'Jan 2026'!$I$29:$I$528,"Income")+SUMIFS('Feb 2026'!$J$29:$J$528,'Feb 2026'!$E$29:$E$528,$A24,'Feb 2026'!$I$29:$I$528,"Income")+SUMIFS('Mar 2026'!$J$29:$J$528,'Mar 2026'!$E$29:$E$528,$A24,'Mar 2026'!$I$29:$I$528,"Income")+SUMIFS('Apr 2026'!$J$29:$J$528,'Apr 2026'!$E$29:$E$528,$A24,'Apr 2026'!$I$29:$I$528,"Income")+SUMIFS('May 2026'!$J$29:$J$528,'May 2026'!$E$29:$E$528,$A24,'May 2026'!$I$29:$I$528,"Income")+SUMIFS('Jun 2026'!$J$29:$J$528,'Jun 2026'!$E$29:$E$528,$A24,'Jun 2026'!$I$29:$I$528,"Income")+SUMIFS('Jul 2026'!$J$29:$J$528,'Jul 2026'!$E$29:$E$528,$A24,'Jul 2026'!$I$29:$I$528,"Income")+SUMIFS('Aug 2026'!$J$29:$J$528,'Aug 2026'!$E$29:$E$528,$A24,'Aug 2026'!$I$29:$I$528,"Income")+SUMIFS('Sep 2026'!$J$29:$J$528,'Sep 2026'!$E$29:$E$528,$A24,'Sep 2026'!$I$29:$I$528,"Income")+SUMIFS('Oct 2026'!$J$29:$J$528,'Oct 2026'!$E$29:$E$528,$A24,'Oct 2026'!$I$29:$I$528,"Income")+SUMIFS('Nov 2026'!$J$29:$J$528,'Nov 2026'!$E$29:$E$528,$A24,'Nov 2026'!$I$29:$I$528,"Income")+SUMIFS('Dec 2026'!$J$29:$J$528,'Dec 2026'!$E$29:$E$528,$A24,'Dec 2026'!$I$29:$I$528,"Income")</f>
        <v/>
      </c>
      <c r="D24" s="3">
        <f>SUMIFS('Jan 2026'!$J$29:$J$528,'Jan 2026'!$E$29:$E$528,$A24,'Jan 2026'!$I$29:$I$528,"Opening Balance")+SUMIFS('Feb 2026'!$J$29:$J$528,'Feb 2026'!$E$29:$E$528,$A24,'Feb 2026'!$I$29:$I$528,"Opening Balance")+SUMIFS('Mar 2026'!$J$29:$J$528,'Mar 2026'!$E$29:$E$528,$A24,'Mar 2026'!$I$29:$I$528,"Opening Balance")+SUMIFS('Apr 2026'!$J$29:$J$528,'Apr 2026'!$E$29:$E$528,$A24,'Apr 2026'!$I$29:$I$528,"Opening Balance")+SUMIFS('May 2026'!$J$29:$J$528,'May 2026'!$E$29:$E$528,$A24,'May 2026'!$I$29:$I$528,"Opening Balance")+SUMIFS('Jun 2026'!$J$29:$J$528,'Jun 2026'!$E$29:$E$528,$A24,'Jun 2026'!$I$29:$I$528,"Opening Balance")+SUMIFS('Jul 2026'!$J$29:$J$528,'Jul 2026'!$E$29:$E$528,$A24,'Jul 2026'!$I$29:$I$528,"Opening Balance")+SUMIFS('Aug 2026'!$J$29:$J$528,'Aug 2026'!$E$29:$E$528,$A24,'Aug 2026'!$I$29:$I$528,"Opening Balance")+SUMIFS('Sep 2026'!$J$29:$J$528,'Sep 2026'!$E$29:$E$528,$A24,'Sep 2026'!$I$29:$I$528,"Opening Balance")+SUMIFS('Oct 2026'!$J$29:$J$528,'Oct 2026'!$E$29:$E$528,$A24,'Oct 2026'!$I$29:$I$528,"Opening Balance")+SUMIFS('Nov 2026'!$J$29:$J$528,'Nov 2026'!$E$29:$E$528,$A24,'Nov 2026'!$I$29:$I$528,"Opening Balance")+SUMIFS('Dec 2026'!$J$29:$J$528,'Dec 2026'!$E$29:$E$528,$A24,'Dec 2026'!$I$29:$I$528,"Opening Balance")</f>
        <v/>
      </c>
      <c r="E24" s="3">
        <f>C24+D24-B24</f>
        <v/>
      </c>
    </row>
    <row r="25">
      <c r="A25" s="5" t="inlineStr">
        <is>
          <t>Dining</t>
        </is>
      </c>
      <c r="B25" s="3">
        <f>SUMIFS('Jan 2026'!$J$29:$J$528,'Jan 2026'!$E$29:$E$528,$A25,'Jan 2026'!$I$29:$I$528,"Expense")+SUMIFS('Feb 2026'!$J$29:$J$528,'Feb 2026'!$E$29:$E$528,$A25,'Feb 2026'!$I$29:$I$528,"Expense")+SUMIFS('Mar 2026'!$J$29:$J$528,'Mar 2026'!$E$29:$E$528,$A25,'Mar 2026'!$I$29:$I$528,"Expense")+SUMIFS('Apr 2026'!$J$29:$J$528,'Apr 2026'!$E$29:$E$528,$A25,'Apr 2026'!$I$29:$I$528,"Expense")+SUMIFS('May 2026'!$J$29:$J$528,'May 2026'!$E$29:$E$528,$A25,'May 2026'!$I$29:$I$528,"Expense")+SUMIFS('Jun 2026'!$J$29:$J$528,'Jun 2026'!$E$29:$E$528,$A25,'Jun 2026'!$I$29:$I$528,"Expense")+SUMIFS('Jul 2026'!$J$29:$J$528,'Jul 2026'!$E$29:$E$528,$A25,'Jul 2026'!$I$29:$I$528,"Expense")+SUMIFS('Aug 2026'!$J$29:$J$528,'Aug 2026'!$E$29:$E$528,$A25,'Aug 2026'!$I$29:$I$528,"Expense")+SUMIFS('Sep 2026'!$J$29:$J$528,'Sep 2026'!$E$29:$E$528,$A25,'Sep 2026'!$I$29:$I$528,"Expense")+SUMIFS('Oct 2026'!$J$29:$J$528,'Oct 2026'!$E$29:$E$528,$A25,'Oct 2026'!$I$29:$I$528,"Expense")+SUMIFS('Nov 2026'!$J$29:$J$528,'Nov 2026'!$E$29:$E$528,$A25,'Nov 2026'!$I$29:$I$528,"Expense")+SUMIFS('Dec 2026'!$J$29:$J$528,'Dec 2026'!$E$29:$E$528,$A25,'Dec 2026'!$I$29:$I$528,"Expense")</f>
        <v/>
      </c>
      <c r="C25" s="3">
        <f>SUMIFS('Jan 2026'!$J$29:$J$528,'Jan 2026'!$E$29:$E$528,$A25,'Jan 2026'!$I$29:$I$528,"Income")+SUMIFS('Feb 2026'!$J$29:$J$528,'Feb 2026'!$E$29:$E$528,$A25,'Feb 2026'!$I$29:$I$528,"Income")+SUMIFS('Mar 2026'!$J$29:$J$528,'Mar 2026'!$E$29:$E$528,$A25,'Mar 2026'!$I$29:$I$528,"Income")+SUMIFS('Apr 2026'!$J$29:$J$528,'Apr 2026'!$E$29:$E$528,$A25,'Apr 2026'!$I$29:$I$528,"Income")+SUMIFS('May 2026'!$J$29:$J$528,'May 2026'!$E$29:$E$528,$A25,'May 2026'!$I$29:$I$528,"Income")+SUMIFS('Jun 2026'!$J$29:$J$528,'Jun 2026'!$E$29:$E$528,$A25,'Jun 2026'!$I$29:$I$528,"Income")+SUMIFS('Jul 2026'!$J$29:$J$528,'Jul 2026'!$E$29:$E$528,$A25,'Jul 2026'!$I$29:$I$528,"Income")+SUMIFS('Aug 2026'!$J$29:$J$528,'Aug 2026'!$E$29:$E$528,$A25,'Aug 2026'!$I$29:$I$528,"Income")+SUMIFS('Sep 2026'!$J$29:$J$528,'Sep 2026'!$E$29:$E$528,$A25,'Sep 2026'!$I$29:$I$528,"Income")+SUMIFS('Oct 2026'!$J$29:$J$528,'Oct 2026'!$E$29:$E$528,$A25,'Oct 2026'!$I$29:$I$528,"Income")+SUMIFS('Nov 2026'!$J$29:$J$528,'Nov 2026'!$E$29:$E$528,$A25,'Nov 2026'!$I$29:$I$528,"Income")+SUMIFS('Dec 2026'!$J$29:$J$528,'Dec 2026'!$E$29:$E$528,$A25,'Dec 2026'!$I$29:$I$528,"Income")</f>
        <v/>
      </c>
      <c r="D25" s="3">
        <f>SUMIFS('Jan 2026'!$J$29:$J$528,'Jan 2026'!$E$29:$E$528,$A25,'Jan 2026'!$I$29:$I$528,"Opening Balance")+SUMIFS('Feb 2026'!$J$29:$J$528,'Feb 2026'!$E$29:$E$528,$A25,'Feb 2026'!$I$29:$I$528,"Opening Balance")+SUMIFS('Mar 2026'!$J$29:$J$528,'Mar 2026'!$E$29:$E$528,$A25,'Mar 2026'!$I$29:$I$528,"Opening Balance")+SUMIFS('Apr 2026'!$J$29:$J$528,'Apr 2026'!$E$29:$E$528,$A25,'Apr 2026'!$I$29:$I$528,"Opening Balance")+SUMIFS('May 2026'!$J$29:$J$528,'May 2026'!$E$29:$E$528,$A25,'May 2026'!$I$29:$I$528,"Opening Balance")+SUMIFS('Jun 2026'!$J$29:$J$528,'Jun 2026'!$E$29:$E$528,$A25,'Jun 2026'!$I$29:$I$528,"Opening Balance")+SUMIFS('Jul 2026'!$J$29:$J$528,'Jul 2026'!$E$29:$E$528,$A25,'Jul 2026'!$I$29:$I$528,"Opening Balance")+SUMIFS('Aug 2026'!$J$29:$J$528,'Aug 2026'!$E$29:$E$528,$A25,'Aug 2026'!$I$29:$I$528,"Opening Balance")+SUMIFS('Sep 2026'!$J$29:$J$528,'Sep 2026'!$E$29:$E$528,$A25,'Sep 2026'!$I$29:$I$528,"Opening Balance")+SUMIFS('Oct 2026'!$J$29:$J$528,'Oct 2026'!$E$29:$E$528,$A25,'Oct 2026'!$I$29:$I$528,"Opening Balance")+SUMIFS('Nov 2026'!$J$29:$J$528,'Nov 2026'!$E$29:$E$528,$A25,'Nov 2026'!$I$29:$I$528,"Opening Balance")+SUMIFS('Dec 2026'!$J$29:$J$528,'Dec 2026'!$E$29:$E$528,$A25,'Dec 2026'!$I$29:$I$528,"Opening Balance")</f>
        <v/>
      </c>
      <c r="E25" s="3">
        <f>C25+D25-B25</f>
        <v/>
      </c>
    </row>
    <row r="26">
      <c r="A26" s="5" t="inlineStr">
        <is>
          <t>Transportation</t>
        </is>
      </c>
      <c r="B26" s="3">
        <f>SUMIFS('Jan 2026'!$J$29:$J$528,'Jan 2026'!$E$29:$E$528,$A26,'Jan 2026'!$I$29:$I$528,"Expense")+SUMIFS('Feb 2026'!$J$29:$J$528,'Feb 2026'!$E$29:$E$528,$A26,'Feb 2026'!$I$29:$I$528,"Expense")+SUMIFS('Mar 2026'!$J$29:$J$528,'Mar 2026'!$E$29:$E$528,$A26,'Mar 2026'!$I$29:$I$528,"Expense")+SUMIFS('Apr 2026'!$J$29:$J$528,'Apr 2026'!$E$29:$E$528,$A26,'Apr 2026'!$I$29:$I$528,"Expense")+SUMIFS('May 2026'!$J$29:$J$528,'May 2026'!$E$29:$E$528,$A26,'May 2026'!$I$29:$I$528,"Expense")+SUMIFS('Jun 2026'!$J$29:$J$528,'Jun 2026'!$E$29:$E$528,$A26,'Jun 2026'!$I$29:$I$528,"Expense")+SUMIFS('Jul 2026'!$J$29:$J$528,'Jul 2026'!$E$29:$E$528,$A26,'Jul 2026'!$I$29:$I$528,"Expense")+SUMIFS('Aug 2026'!$J$29:$J$528,'Aug 2026'!$E$29:$E$528,$A26,'Aug 2026'!$I$29:$I$528,"Expense")+SUMIFS('Sep 2026'!$J$29:$J$528,'Sep 2026'!$E$29:$E$528,$A26,'Sep 2026'!$I$29:$I$528,"Expense")+SUMIFS('Oct 2026'!$J$29:$J$528,'Oct 2026'!$E$29:$E$528,$A26,'Oct 2026'!$I$29:$I$528,"Expense")+SUMIFS('Nov 2026'!$J$29:$J$528,'Nov 2026'!$E$29:$E$528,$A26,'Nov 2026'!$I$29:$I$528,"Expense")+SUMIFS('Dec 2026'!$J$29:$J$528,'Dec 2026'!$E$29:$E$528,$A26,'Dec 2026'!$I$29:$I$528,"Expense")</f>
        <v/>
      </c>
      <c r="C26" s="3">
        <f>SUMIFS('Jan 2026'!$J$29:$J$528,'Jan 2026'!$E$29:$E$528,$A26,'Jan 2026'!$I$29:$I$528,"Income")+SUMIFS('Feb 2026'!$J$29:$J$528,'Feb 2026'!$E$29:$E$528,$A26,'Feb 2026'!$I$29:$I$528,"Income")+SUMIFS('Mar 2026'!$J$29:$J$528,'Mar 2026'!$E$29:$E$528,$A26,'Mar 2026'!$I$29:$I$528,"Income")+SUMIFS('Apr 2026'!$J$29:$J$528,'Apr 2026'!$E$29:$E$528,$A26,'Apr 2026'!$I$29:$I$528,"Income")+SUMIFS('May 2026'!$J$29:$J$528,'May 2026'!$E$29:$E$528,$A26,'May 2026'!$I$29:$I$528,"Income")+SUMIFS('Jun 2026'!$J$29:$J$528,'Jun 2026'!$E$29:$E$528,$A26,'Jun 2026'!$I$29:$I$528,"Income")+SUMIFS('Jul 2026'!$J$29:$J$528,'Jul 2026'!$E$29:$E$528,$A26,'Jul 2026'!$I$29:$I$528,"Income")+SUMIFS('Aug 2026'!$J$29:$J$528,'Aug 2026'!$E$29:$E$528,$A26,'Aug 2026'!$I$29:$I$528,"Income")+SUMIFS('Sep 2026'!$J$29:$J$528,'Sep 2026'!$E$29:$E$528,$A26,'Sep 2026'!$I$29:$I$528,"Income")+SUMIFS('Oct 2026'!$J$29:$J$528,'Oct 2026'!$E$29:$E$528,$A26,'Oct 2026'!$I$29:$I$528,"Income")+SUMIFS('Nov 2026'!$J$29:$J$528,'Nov 2026'!$E$29:$E$528,$A26,'Nov 2026'!$I$29:$I$528,"Income")+SUMIFS('Dec 2026'!$J$29:$J$528,'Dec 2026'!$E$29:$E$528,$A26,'Dec 2026'!$I$29:$I$528,"Income")</f>
        <v/>
      </c>
      <c r="D26" s="3">
        <f>SUMIFS('Jan 2026'!$J$29:$J$528,'Jan 2026'!$E$29:$E$528,$A26,'Jan 2026'!$I$29:$I$528,"Opening Balance")+SUMIFS('Feb 2026'!$J$29:$J$528,'Feb 2026'!$E$29:$E$528,$A26,'Feb 2026'!$I$29:$I$528,"Opening Balance")+SUMIFS('Mar 2026'!$J$29:$J$528,'Mar 2026'!$E$29:$E$528,$A26,'Mar 2026'!$I$29:$I$528,"Opening Balance")+SUMIFS('Apr 2026'!$J$29:$J$528,'Apr 2026'!$E$29:$E$528,$A26,'Apr 2026'!$I$29:$I$528,"Opening Balance")+SUMIFS('May 2026'!$J$29:$J$528,'May 2026'!$E$29:$E$528,$A26,'May 2026'!$I$29:$I$528,"Opening Balance")+SUMIFS('Jun 2026'!$J$29:$J$528,'Jun 2026'!$E$29:$E$528,$A26,'Jun 2026'!$I$29:$I$528,"Opening Balance")+SUMIFS('Jul 2026'!$J$29:$J$528,'Jul 2026'!$E$29:$E$528,$A26,'Jul 2026'!$I$29:$I$528,"Opening Balance")+SUMIFS('Aug 2026'!$J$29:$J$528,'Aug 2026'!$E$29:$E$528,$A26,'Aug 2026'!$I$29:$I$528,"Opening Balance")+SUMIFS('Sep 2026'!$J$29:$J$528,'Sep 2026'!$E$29:$E$528,$A26,'Sep 2026'!$I$29:$I$528,"Opening Balance")+SUMIFS('Oct 2026'!$J$29:$J$528,'Oct 2026'!$E$29:$E$528,$A26,'Oct 2026'!$I$29:$I$528,"Opening Balance")+SUMIFS('Nov 2026'!$J$29:$J$528,'Nov 2026'!$E$29:$E$528,$A26,'Nov 2026'!$I$29:$I$528,"Opening Balance")+SUMIFS('Dec 2026'!$J$29:$J$528,'Dec 2026'!$E$29:$E$528,$A26,'Dec 2026'!$I$29:$I$528,"Opening Balance")</f>
        <v/>
      </c>
      <c r="E26" s="3">
        <f>C26+D26-B26</f>
        <v/>
      </c>
    </row>
    <row r="27">
      <c r="A27" s="5" t="inlineStr">
        <is>
          <t>Health &amp; Medical</t>
        </is>
      </c>
      <c r="B27" s="3">
        <f>SUMIFS('Jan 2026'!$J$29:$J$528,'Jan 2026'!$E$29:$E$528,$A27,'Jan 2026'!$I$29:$I$528,"Expense")+SUMIFS('Feb 2026'!$J$29:$J$528,'Feb 2026'!$E$29:$E$528,$A27,'Feb 2026'!$I$29:$I$528,"Expense")+SUMIFS('Mar 2026'!$J$29:$J$528,'Mar 2026'!$E$29:$E$528,$A27,'Mar 2026'!$I$29:$I$528,"Expense")+SUMIFS('Apr 2026'!$J$29:$J$528,'Apr 2026'!$E$29:$E$528,$A27,'Apr 2026'!$I$29:$I$528,"Expense")+SUMIFS('May 2026'!$J$29:$J$528,'May 2026'!$E$29:$E$528,$A27,'May 2026'!$I$29:$I$528,"Expense")+SUMIFS('Jun 2026'!$J$29:$J$528,'Jun 2026'!$E$29:$E$528,$A27,'Jun 2026'!$I$29:$I$528,"Expense")+SUMIFS('Jul 2026'!$J$29:$J$528,'Jul 2026'!$E$29:$E$528,$A27,'Jul 2026'!$I$29:$I$528,"Expense")+SUMIFS('Aug 2026'!$J$29:$J$528,'Aug 2026'!$E$29:$E$528,$A27,'Aug 2026'!$I$29:$I$528,"Expense")+SUMIFS('Sep 2026'!$J$29:$J$528,'Sep 2026'!$E$29:$E$528,$A27,'Sep 2026'!$I$29:$I$528,"Expense")+SUMIFS('Oct 2026'!$J$29:$J$528,'Oct 2026'!$E$29:$E$528,$A27,'Oct 2026'!$I$29:$I$528,"Expense")+SUMIFS('Nov 2026'!$J$29:$J$528,'Nov 2026'!$E$29:$E$528,$A27,'Nov 2026'!$I$29:$I$528,"Expense")+SUMIFS('Dec 2026'!$J$29:$J$528,'Dec 2026'!$E$29:$E$528,$A27,'Dec 2026'!$I$29:$I$528,"Expense")</f>
        <v/>
      </c>
      <c r="C27" s="3">
        <f>SUMIFS('Jan 2026'!$J$29:$J$528,'Jan 2026'!$E$29:$E$528,$A27,'Jan 2026'!$I$29:$I$528,"Income")+SUMIFS('Feb 2026'!$J$29:$J$528,'Feb 2026'!$E$29:$E$528,$A27,'Feb 2026'!$I$29:$I$528,"Income")+SUMIFS('Mar 2026'!$J$29:$J$528,'Mar 2026'!$E$29:$E$528,$A27,'Mar 2026'!$I$29:$I$528,"Income")+SUMIFS('Apr 2026'!$J$29:$J$528,'Apr 2026'!$E$29:$E$528,$A27,'Apr 2026'!$I$29:$I$528,"Income")+SUMIFS('May 2026'!$J$29:$J$528,'May 2026'!$E$29:$E$528,$A27,'May 2026'!$I$29:$I$528,"Income")+SUMIFS('Jun 2026'!$J$29:$J$528,'Jun 2026'!$E$29:$E$528,$A27,'Jun 2026'!$I$29:$I$528,"Income")+SUMIFS('Jul 2026'!$J$29:$J$528,'Jul 2026'!$E$29:$E$528,$A27,'Jul 2026'!$I$29:$I$528,"Income")+SUMIFS('Aug 2026'!$J$29:$J$528,'Aug 2026'!$E$29:$E$528,$A27,'Aug 2026'!$I$29:$I$528,"Income")+SUMIFS('Sep 2026'!$J$29:$J$528,'Sep 2026'!$E$29:$E$528,$A27,'Sep 2026'!$I$29:$I$528,"Income")+SUMIFS('Oct 2026'!$J$29:$J$528,'Oct 2026'!$E$29:$E$528,$A27,'Oct 2026'!$I$29:$I$528,"Income")+SUMIFS('Nov 2026'!$J$29:$J$528,'Nov 2026'!$E$29:$E$528,$A27,'Nov 2026'!$I$29:$I$528,"Income")+SUMIFS('Dec 2026'!$J$29:$J$528,'Dec 2026'!$E$29:$E$528,$A27,'Dec 2026'!$I$29:$I$528,"Income")</f>
        <v/>
      </c>
      <c r="D27" s="3">
        <f>SUMIFS('Jan 2026'!$J$29:$J$528,'Jan 2026'!$E$29:$E$528,$A27,'Jan 2026'!$I$29:$I$528,"Opening Balance")+SUMIFS('Feb 2026'!$J$29:$J$528,'Feb 2026'!$E$29:$E$528,$A27,'Feb 2026'!$I$29:$I$528,"Opening Balance")+SUMIFS('Mar 2026'!$J$29:$J$528,'Mar 2026'!$E$29:$E$528,$A27,'Mar 2026'!$I$29:$I$528,"Opening Balance")+SUMIFS('Apr 2026'!$J$29:$J$528,'Apr 2026'!$E$29:$E$528,$A27,'Apr 2026'!$I$29:$I$528,"Opening Balance")+SUMIFS('May 2026'!$J$29:$J$528,'May 2026'!$E$29:$E$528,$A27,'May 2026'!$I$29:$I$528,"Opening Balance")+SUMIFS('Jun 2026'!$J$29:$J$528,'Jun 2026'!$E$29:$E$528,$A27,'Jun 2026'!$I$29:$I$528,"Opening Balance")+SUMIFS('Jul 2026'!$J$29:$J$528,'Jul 2026'!$E$29:$E$528,$A27,'Jul 2026'!$I$29:$I$528,"Opening Balance")+SUMIFS('Aug 2026'!$J$29:$J$528,'Aug 2026'!$E$29:$E$528,$A27,'Aug 2026'!$I$29:$I$528,"Opening Balance")+SUMIFS('Sep 2026'!$J$29:$J$528,'Sep 2026'!$E$29:$E$528,$A27,'Sep 2026'!$I$29:$I$528,"Opening Balance")+SUMIFS('Oct 2026'!$J$29:$J$528,'Oct 2026'!$E$29:$E$528,$A27,'Oct 2026'!$I$29:$I$528,"Opening Balance")+SUMIFS('Nov 2026'!$J$29:$J$528,'Nov 2026'!$E$29:$E$528,$A27,'Nov 2026'!$I$29:$I$528,"Opening Balance")+SUMIFS('Dec 2026'!$J$29:$J$528,'Dec 2026'!$E$29:$E$528,$A27,'Dec 2026'!$I$29:$I$528,"Opening Balance")</f>
        <v/>
      </c>
      <c r="E27" s="3">
        <f>C27+D27-B27</f>
        <v/>
      </c>
    </row>
    <row r="28">
      <c r="A28" s="5" t="inlineStr">
        <is>
          <t>Insurance</t>
        </is>
      </c>
      <c r="B28" s="3">
        <f>SUMIFS('Jan 2026'!$J$29:$J$528,'Jan 2026'!$E$29:$E$528,$A28,'Jan 2026'!$I$29:$I$528,"Expense")+SUMIFS('Feb 2026'!$J$29:$J$528,'Feb 2026'!$E$29:$E$528,$A28,'Feb 2026'!$I$29:$I$528,"Expense")+SUMIFS('Mar 2026'!$J$29:$J$528,'Mar 2026'!$E$29:$E$528,$A28,'Mar 2026'!$I$29:$I$528,"Expense")+SUMIFS('Apr 2026'!$J$29:$J$528,'Apr 2026'!$E$29:$E$528,$A28,'Apr 2026'!$I$29:$I$528,"Expense")+SUMIFS('May 2026'!$J$29:$J$528,'May 2026'!$E$29:$E$528,$A28,'May 2026'!$I$29:$I$528,"Expense")+SUMIFS('Jun 2026'!$J$29:$J$528,'Jun 2026'!$E$29:$E$528,$A28,'Jun 2026'!$I$29:$I$528,"Expense")+SUMIFS('Jul 2026'!$J$29:$J$528,'Jul 2026'!$E$29:$E$528,$A28,'Jul 2026'!$I$29:$I$528,"Expense")+SUMIFS('Aug 2026'!$J$29:$J$528,'Aug 2026'!$E$29:$E$528,$A28,'Aug 2026'!$I$29:$I$528,"Expense")+SUMIFS('Sep 2026'!$J$29:$J$528,'Sep 2026'!$E$29:$E$528,$A28,'Sep 2026'!$I$29:$I$528,"Expense")+SUMIFS('Oct 2026'!$J$29:$J$528,'Oct 2026'!$E$29:$E$528,$A28,'Oct 2026'!$I$29:$I$528,"Expense")+SUMIFS('Nov 2026'!$J$29:$J$528,'Nov 2026'!$E$29:$E$528,$A28,'Nov 2026'!$I$29:$I$528,"Expense")+SUMIFS('Dec 2026'!$J$29:$J$528,'Dec 2026'!$E$29:$E$528,$A28,'Dec 2026'!$I$29:$I$528,"Expense")</f>
        <v/>
      </c>
      <c r="C28" s="3">
        <f>SUMIFS('Jan 2026'!$J$29:$J$528,'Jan 2026'!$E$29:$E$528,$A28,'Jan 2026'!$I$29:$I$528,"Income")+SUMIFS('Feb 2026'!$J$29:$J$528,'Feb 2026'!$E$29:$E$528,$A28,'Feb 2026'!$I$29:$I$528,"Income")+SUMIFS('Mar 2026'!$J$29:$J$528,'Mar 2026'!$E$29:$E$528,$A28,'Mar 2026'!$I$29:$I$528,"Income")+SUMIFS('Apr 2026'!$J$29:$J$528,'Apr 2026'!$E$29:$E$528,$A28,'Apr 2026'!$I$29:$I$528,"Income")+SUMIFS('May 2026'!$J$29:$J$528,'May 2026'!$E$29:$E$528,$A28,'May 2026'!$I$29:$I$528,"Income")+SUMIFS('Jun 2026'!$J$29:$J$528,'Jun 2026'!$E$29:$E$528,$A28,'Jun 2026'!$I$29:$I$528,"Income")+SUMIFS('Jul 2026'!$J$29:$J$528,'Jul 2026'!$E$29:$E$528,$A28,'Jul 2026'!$I$29:$I$528,"Income")+SUMIFS('Aug 2026'!$J$29:$J$528,'Aug 2026'!$E$29:$E$528,$A28,'Aug 2026'!$I$29:$I$528,"Income")+SUMIFS('Sep 2026'!$J$29:$J$528,'Sep 2026'!$E$29:$E$528,$A28,'Sep 2026'!$I$29:$I$528,"Income")+SUMIFS('Oct 2026'!$J$29:$J$528,'Oct 2026'!$E$29:$E$528,$A28,'Oct 2026'!$I$29:$I$528,"Income")+SUMIFS('Nov 2026'!$J$29:$J$528,'Nov 2026'!$E$29:$E$528,$A28,'Nov 2026'!$I$29:$I$528,"Income")+SUMIFS('Dec 2026'!$J$29:$J$528,'Dec 2026'!$E$29:$E$528,$A28,'Dec 2026'!$I$29:$I$528,"Income")</f>
        <v/>
      </c>
      <c r="D28" s="3">
        <f>SUMIFS('Jan 2026'!$J$29:$J$528,'Jan 2026'!$E$29:$E$528,$A28,'Jan 2026'!$I$29:$I$528,"Opening Balance")+SUMIFS('Feb 2026'!$J$29:$J$528,'Feb 2026'!$E$29:$E$528,$A28,'Feb 2026'!$I$29:$I$528,"Opening Balance")+SUMIFS('Mar 2026'!$J$29:$J$528,'Mar 2026'!$E$29:$E$528,$A28,'Mar 2026'!$I$29:$I$528,"Opening Balance")+SUMIFS('Apr 2026'!$J$29:$J$528,'Apr 2026'!$E$29:$E$528,$A28,'Apr 2026'!$I$29:$I$528,"Opening Balance")+SUMIFS('May 2026'!$J$29:$J$528,'May 2026'!$E$29:$E$528,$A28,'May 2026'!$I$29:$I$528,"Opening Balance")+SUMIFS('Jun 2026'!$J$29:$J$528,'Jun 2026'!$E$29:$E$528,$A28,'Jun 2026'!$I$29:$I$528,"Opening Balance")+SUMIFS('Jul 2026'!$J$29:$J$528,'Jul 2026'!$E$29:$E$528,$A28,'Jul 2026'!$I$29:$I$528,"Opening Balance")+SUMIFS('Aug 2026'!$J$29:$J$528,'Aug 2026'!$E$29:$E$528,$A28,'Aug 2026'!$I$29:$I$528,"Opening Balance")+SUMIFS('Sep 2026'!$J$29:$J$528,'Sep 2026'!$E$29:$E$528,$A28,'Sep 2026'!$I$29:$I$528,"Opening Balance")+SUMIFS('Oct 2026'!$J$29:$J$528,'Oct 2026'!$E$29:$E$528,$A28,'Oct 2026'!$I$29:$I$528,"Opening Balance")+SUMIFS('Nov 2026'!$J$29:$J$528,'Nov 2026'!$E$29:$E$528,$A28,'Nov 2026'!$I$29:$I$528,"Opening Balance")+SUMIFS('Dec 2026'!$J$29:$J$528,'Dec 2026'!$E$29:$E$528,$A28,'Dec 2026'!$I$29:$I$528,"Opening Balance")</f>
        <v/>
      </c>
      <c r="E28" s="3">
        <f>C28+D28-B28</f>
        <v/>
      </c>
    </row>
    <row r="29">
      <c r="A29" s="5" t="inlineStr">
        <is>
          <t>Debt Payments</t>
        </is>
      </c>
      <c r="B29" s="3">
        <f>SUMIFS('Jan 2026'!$J$29:$J$528,'Jan 2026'!$E$29:$E$528,$A29,'Jan 2026'!$I$29:$I$528,"Expense")+SUMIFS('Feb 2026'!$J$29:$J$528,'Feb 2026'!$E$29:$E$528,$A29,'Feb 2026'!$I$29:$I$528,"Expense")+SUMIFS('Mar 2026'!$J$29:$J$528,'Mar 2026'!$E$29:$E$528,$A29,'Mar 2026'!$I$29:$I$528,"Expense")+SUMIFS('Apr 2026'!$J$29:$J$528,'Apr 2026'!$E$29:$E$528,$A29,'Apr 2026'!$I$29:$I$528,"Expense")+SUMIFS('May 2026'!$J$29:$J$528,'May 2026'!$E$29:$E$528,$A29,'May 2026'!$I$29:$I$528,"Expense")+SUMIFS('Jun 2026'!$J$29:$J$528,'Jun 2026'!$E$29:$E$528,$A29,'Jun 2026'!$I$29:$I$528,"Expense")+SUMIFS('Jul 2026'!$J$29:$J$528,'Jul 2026'!$E$29:$E$528,$A29,'Jul 2026'!$I$29:$I$528,"Expense")+SUMIFS('Aug 2026'!$J$29:$J$528,'Aug 2026'!$E$29:$E$528,$A29,'Aug 2026'!$I$29:$I$528,"Expense")+SUMIFS('Sep 2026'!$J$29:$J$528,'Sep 2026'!$E$29:$E$528,$A29,'Sep 2026'!$I$29:$I$528,"Expense")+SUMIFS('Oct 2026'!$J$29:$J$528,'Oct 2026'!$E$29:$E$528,$A29,'Oct 2026'!$I$29:$I$528,"Expense")+SUMIFS('Nov 2026'!$J$29:$J$528,'Nov 2026'!$E$29:$E$528,$A29,'Nov 2026'!$I$29:$I$528,"Expense")+SUMIFS('Dec 2026'!$J$29:$J$528,'Dec 2026'!$E$29:$E$528,$A29,'Dec 2026'!$I$29:$I$528,"Expense")</f>
        <v/>
      </c>
      <c r="C29" s="3">
        <f>SUMIFS('Jan 2026'!$J$29:$J$528,'Jan 2026'!$E$29:$E$528,$A29,'Jan 2026'!$I$29:$I$528,"Income")+SUMIFS('Feb 2026'!$J$29:$J$528,'Feb 2026'!$E$29:$E$528,$A29,'Feb 2026'!$I$29:$I$528,"Income")+SUMIFS('Mar 2026'!$J$29:$J$528,'Mar 2026'!$E$29:$E$528,$A29,'Mar 2026'!$I$29:$I$528,"Income")+SUMIFS('Apr 2026'!$J$29:$J$528,'Apr 2026'!$E$29:$E$528,$A29,'Apr 2026'!$I$29:$I$528,"Income")+SUMIFS('May 2026'!$J$29:$J$528,'May 2026'!$E$29:$E$528,$A29,'May 2026'!$I$29:$I$528,"Income")+SUMIFS('Jun 2026'!$J$29:$J$528,'Jun 2026'!$E$29:$E$528,$A29,'Jun 2026'!$I$29:$I$528,"Income")+SUMIFS('Jul 2026'!$J$29:$J$528,'Jul 2026'!$E$29:$E$528,$A29,'Jul 2026'!$I$29:$I$528,"Income")+SUMIFS('Aug 2026'!$J$29:$J$528,'Aug 2026'!$E$29:$E$528,$A29,'Aug 2026'!$I$29:$I$528,"Income")+SUMIFS('Sep 2026'!$J$29:$J$528,'Sep 2026'!$E$29:$E$528,$A29,'Sep 2026'!$I$29:$I$528,"Income")+SUMIFS('Oct 2026'!$J$29:$J$528,'Oct 2026'!$E$29:$E$528,$A29,'Oct 2026'!$I$29:$I$528,"Income")+SUMIFS('Nov 2026'!$J$29:$J$528,'Nov 2026'!$E$29:$E$528,$A29,'Nov 2026'!$I$29:$I$528,"Income")+SUMIFS('Dec 2026'!$J$29:$J$528,'Dec 2026'!$E$29:$E$528,$A29,'Dec 2026'!$I$29:$I$528,"Income")</f>
        <v/>
      </c>
      <c r="D29" s="3">
        <f>SUMIFS('Jan 2026'!$J$29:$J$528,'Jan 2026'!$E$29:$E$528,$A29,'Jan 2026'!$I$29:$I$528,"Opening Balance")+SUMIFS('Feb 2026'!$J$29:$J$528,'Feb 2026'!$E$29:$E$528,$A29,'Feb 2026'!$I$29:$I$528,"Opening Balance")+SUMIFS('Mar 2026'!$J$29:$J$528,'Mar 2026'!$E$29:$E$528,$A29,'Mar 2026'!$I$29:$I$528,"Opening Balance")+SUMIFS('Apr 2026'!$J$29:$J$528,'Apr 2026'!$E$29:$E$528,$A29,'Apr 2026'!$I$29:$I$528,"Opening Balance")+SUMIFS('May 2026'!$J$29:$J$528,'May 2026'!$E$29:$E$528,$A29,'May 2026'!$I$29:$I$528,"Opening Balance")+SUMIFS('Jun 2026'!$J$29:$J$528,'Jun 2026'!$E$29:$E$528,$A29,'Jun 2026'!$I$29:$I$528,"Opening Balance")+SUMIFS('Jul 2026'!$J$29:$J$528,'Jul 2026'!$E$29:$E$528,$A29,'Jul 2026'!$I$29:$I$528,"Opening Balance")+SUMIFS('Aug 2026'!$J$29:$J$528,'Aug 2026'!$E$29:$E$528,$A29,'Aug 2026'!$I$29:$I$528,"Opening Balance")+SUMIFS('Sep 2026'!$J$29:$J$528,'Sep 2026'!$E$29:$E$528,$A29,'Sep 2026'!$I$29:$I$528,"Opening Balance")+SUMIFS('Oct 2026'!$J$29:$J$528,'Oct 2026'!$E$29:$E$528,$A29,'Oct 2026'!$I$29:$I$528,"Opening Balance")+SUMIFS('Nov 2026'!$J$29:$J$528,'Nov 2026'!$E$29:$E$528,$A29,'Nov 2026'!$I$29:$I$528,"Opening Balance")+SUMIFS('Dec 2026'!$J$29:$J$528,'Dec 2026'!$E$29:$E$528,$A29,'Dec 2026'!$I$29:$I$528,"Opening Balance")</f>
        <v/>
      </c>
      <c r="E29" s="3">
        <f>C29+D29-B29</f>
        <v/>
      </c>
    </row>
    <row r="30">
      <c r="A30" s="5" t="inlineStr">
        <is>
          <t>Savings &amp; Investments</t>
        </is>
      </c>
      <c r="B30" s="3">
        <f>SUMIFS('Jan 2026'!$J$29:$J$528,'Jan 2026'!$E$29:$E$528,$A30,'Jan 2026'!$I$29:$I$528,"Expense")+SUMIFS('Feb 2026'!$J$29:$J$528,'Feb 2026'!$E$29:$E$528,$A30,'Feb 2026'!$I$29:$I$528,"Expense")+SUMIFS('Mar 2026'!$J$29:$J$528,'Mar 2026'!$E$29:$E$528,$A30,'Mar 2026'!$I$29:$I$528,"Expense")+SUMIFS('Apr 2026'!$J$29:$J$528,'Apr 2026'!$E$29:$E$528,$A30,'Apr 2026'!$I$29:$I$528,"Expense")+SUMIFS('May 2026'!$J$29:$J$528,'May 2026'!$E$29:$E$528,$A30,'May 2026'!$I$29:$I$528,"Expense")+SUMIFS('Jun 2026'!$J$29:$J$528,'Jun 2026'!$E$29:$E$528,$A30,'Jun 2026'!$I$29:$I$528,"Expense")+SUMIFS('Jul 2026'!$J$29:$J$528,'Jul 2026'!$E$29:$E$528,$A30,'Jul 2026'!$I$29:$I$528,"Expense")+SUMIFS('Aug 2026'!$J$29:$J$528,'Aug 2026'!$E$29:$E$528,$A30,'Aug 2026'!$I$29:$I$528,"Expense")+SUMIFS('Sep 2026'!$J$29:$J$528,'Sep 2026'!$E$29:$E$528,$A30,'Sep 2026'!$I$29:$I$528,"Expense")+SUMIFS('Oct 2026'!$J$29:$J$528,'Oct 2026'!$E$29:$E$528,$A30,'Oct 2026'!$I$29:$I$528,"Expense")+SUMIFS('Nov 2026'!$J$29:$J$528,'Nov 2026'!$E$29:$E$528,$A30,'Nov 2026'!$I$29:$I$528,"Expense")+SUMIFS('Dec 2026'!$J$29:$J$528,'Dec 2026'!$E$29:$E$528,$A30,'Dec 2026'!$I$29:$I$528,"Expense")</f>
        <v/>
      </c>
      <c r="C30" s="3">
        <f>SUMIFS('Jan 2026'!$J$29:$J$528,'Jan 2026'!$E$29:$E$528,$A30,'Jan 2026'!$I$29:$I$528,"Income")+SUMIFS('Feb 2026'!$J$29:$J$528,'Feb 2026'!$E$29:$E$528,$A30,'Feb 2026'!$I$29:$I$528,"Income")+SUMIFS('Mar 2026'!$J$29:$J$528,'Mar 2026'!$E$29:$E$528,$A30,'Mar 2026'!$I$29:$I$528,"Income")+SUMIFS('Apr 2026'!$J$29:$J$528,'Apr 2026'!$E$29:$E$528,$A30,'Apr 2026'!$I$29:$I$528,"Income")+SUMIFS('May 2026'!$J$29:$J$528,'May 2026'!$E$29:$E$528,$A30,'May 2026'!$I$29:$I$528,"Income")+SUMIFS('Jun 2026'!$J$29:$J$528,'Jun 2026'!$E$29:$E$528,$A30,'Jun 2026'!$I$29:$I$528,"Income")+SUMIFS('Jul 2026'!$J$29:$J$528,'Jul 2026'!$E$29:$E$528,$A30,'Jul 2026'!$I$29:$I$528,"Income")+SUMIFS('Aug 2026'!$J$29:$J$528,'Aug 2026'!$E$29:$E$528,$A30,'Aug 2026'!$I$29:$I$528,"Income")+SUMIFS('Sep 2026'!$J$29:$J$528,'Sep 2026'!$E$29:$E$528,$A30,'Sep 2026'!$I$29:$I$528,"Income")+SUMIFS('Oct 2026'!$J$29:$J$528,'Oct 2026'!$E$29:$E$528,$A30,'Oct 2026'!$I$29:$I$528,"Income")+SUMIFS('Nov 2026'!$J$29:$J$528,'Nov 2026'!$E$29:$E$528,$A30,'Nov 2026'!$I$29:$I$528,"Income")+SUMIFS('Dec 2026'!$J$29:$J$528,'Dec 2026'!$E$29:$E$528,$A30,'Dec 2026'!$I$29:$I$528,"Income")</f>
        <v/>
      </c>
      <c r="D30" s="3">
        <f>SUMIFS('Jan 2026'!$J$29:$J$528,'Jan 2026'!$E$29:$E$528,$A30,'Jan 2026'!$I$29:$I$528,"Opening Balance")+SUMIFS('Feb 2026'!$J$29:$J$528,'Feb 2026'!$E$29:$E$528,$A30,'Feb 2026'!$I$29:$I$528,"Opening Balance")+SUMIFS('Mar 2026'!$J$29:$J$528,'Mar 2026'!$E$29:$E$528,$A30,'Mar 2026'!$I$29:$I$528,"Opening Balance")+SUMIFS('Apr 2026'!$J$29:$J$528,'Apr 2026'!$E$29:$E$528,$A30,'Apr 2026'!$I$29:$I$528,"Opening Balance")+SUMIFS('May 2026'!$J$29:$J$528,'May 2026'!$E$29:$E$528,$A30,'May 2026'!$I$29:$I$528,"Opening Balance")+SUMIFS('Jun 2026'!$J$29:$J$528,'Jun 2026'!$E$29:$E$528,$A30,'Jun 2026'!$I$29:$I$528,"Opening Balance")+SUMIFS('Jul 2026'!$J$29:$J$528,'Jul 2026'!$E$29:$E$528,$A30,'Jul 2026'!$I$29:$I$528,"Opening Balance")+SUMIFS('Aug 2026'!$J$29:$J$528,'Aug 2026'!$E$29:$E$528,$A30,'Aug 2026'!$I$29:$I$528,"Opening Balance")+SUMIFS('Sep 2026'!$J$29:$J$528,'Sep 2026'!$E$29:$E$528,$A30,'Sep 2026'!$I$29:$I$528,"Opening Balance")+SUMIFS('Oct 2026'!$J$29:$J$528,'Oct 2026'!$E$29:$E$528,$A30,'Oct 2026'!$I$29:$I$528,"Opening Balance")+SUMIFS('Nov 2026'!$J$29:$J$528,'Nov 2026'!$E$29:$E$528,$A30,'Nov 2026'!$I$29:$I$528,"Opening Balance")+SUMIFS('Dec 2026'!$J$29:$J$528,'Dec 2026'!$E$29:$E$528,$A30,'Dec 2026'!$I$29:$I$528,"Opening Balance")</f>
        <v/>
      </c>
      <c r="E30" s="3">
        <f>C30+D30-B30</f>
        <v/>
      </c>
    </row>
    <row r="31">
      <c r="A31" s="5" t="inlineStr">
        <is>
          <t>Personal Care</t>
        </is>
      </c>
      <c r="B31" s="3">
        <f>SUMIFS('Jan 2026'!$J$29:$J$528,'Jan 2026'!$E$29:$E$528,$A31,'Jan 2026'!$I$29:$I$528,"Expense")+SUMIFS('Feb 2026'!$J$29:$J$528,'Feb 2026'!$E$29:$E$528,$A31,'Feb 2026'!$I$29:$I$528,"Expense")+SUMIFS('Mar 2026'!$J$29:$J$528,'Mar 2026'!$E$29:$E$528,$A31,'Mar 2026'!$I$29:$I$528,"Expense")+SUMIFS('Apr 2026'!$J$29:$J$528,'Apr 2026'!$E$29:$E$528,$A31,'Apr 2026'!$I$29:$I$528,"Expense")+SUMIFS('May 2026'!$J$29:$J$528,'May 2026'!$E$29:$E$528,$A31,'May 2026'!$I$29:$I$528,"Expense")+SUMIFS('Jun 2026'!$J$29:$J$528,'Jun 2026'!$E$29:$E$528,$A31,'Jun 2026'!$I$29:$I$528,"Expense")+SUMIFS('Jul 2026'!$J$29:$J$528,'Jul 2026'!$E$29:$E$528,$A31,'Jul 2026'!$I$29:$I$528,"Expense")+SUMIFS('Aug 2026'!$J$29:$J$528,'Aug 2026'!$E$29:$E$528,$A31,'Aug 2026'!$I$29:$I$528,"Expense")+SUMIFS('Sep 2026'!$J$29:$J$528,'Sep 2026'!$E$29:$E$528,$A31,'Sep 2026'!$I$29:$I$528,"Expense")+SUMIFS('Oct 2026'!$J$29:$J$528,'Oct 2026'!$E$29:$E$528,$A31,'Oct 2026'!$I$29:$I$528,"Expense")+SUMIFS('Nov 2026'!$J$29:$J$528,'Nov 2026'!$E$29:$E$528,$A31,'Nov 2026'!$I$29:$I$528,"Expense")+SUMIFS('Dec 2026'!$J$29:$J$528,'Dec 2026'!$E$29:$E$528,$A31,'Dec 2026'!$I$29:$I$528,"Expense")</f>
        <v/>
      </c>
      <c r="C31" s="3">
        <f>SUMIFS('Jan 2026'!$J$29:$J$528,'Jan 2026'!$E$29:$E$528,$A31,'Jan 2026'!$I$29:$I$528,"Income")+SUMIFS('Feb 2026'!$J$29:$J$528,'Feb 2026'!$E$29:$E$528,$A31,'Feb 2026'!$I$29:$I$528,"Income")+SUMIFS('Mar 2026'!$J$29:$J$528,'Mar 2026'!$E$29:$E$528,$A31,'Mar 2026'!$I$29:$I$528,"Income")+SUMIFS('Apr 2026'!$J$29:$J$528,'Apr 2026'!$E$29:$E$528,$A31,'Apr 2026'!$I$29:$I$528,"Income")+SUMIFS('May 2026'!$J$29:$J$528,'May 2026'!$E$29:$E$528,$A31,'May 2026'!$I$29:$I$528,"Income")+SUMIFS('Jun 2026'!$J$29:$J$528,'Jun 2026'!$E$29:$E$528,$A31,'Jun 2026'!$I$29:$I$528,"Income")+SUMIFS('Jul 2026'!$J$29:$J$528,'Jul 2026'!$E$29:$E$528,$A31,'Jul 2026'!$I$29:$I$528,"Income")+SUMIFS('Aug 2026'!$J$29:$J$528,'Aug 2026'!$E$29:$E$528,$A31,'Aug 2026'!$I$29:$I$528,"Income")+SUMIFS('Sep 2026'!$J$29:$J$528,'Sep 2026'!$E$29:$E$528,$A31,'Sep 2026'!$I$29:$I$528,"Income")+SUMIFS('Oct 2026'!$J$29:$J$528,'Oct 2026'!$E$29:$E$528,$A31,'Oct 2026'!$I$29:$I$528,"Income")+SUMIFS('Nov 2026'!$J$29:$J$528,'Nov 2026'!$E$29:$E$528,$A31,'Nov 2026'!$I$29:$I$528,"Income")+SUMIFS('Dec 2026'!$J$29:$J$528,'Dec 2026'!$E$29:$E$528,$A31,'Dec 2026'!$I$29:$I$528,"Income")</f>
        <v/>
      </c>
      <c r="D31" s="3">
        <f>SUMIFS('Jan 2026'!$J$29:$J$528,'Jan 2026'!$E$29:$E$528,$A31,'Jan 2026'!$I$29:$I$528,"Opening Balance")+SUMIFS('Feb 2026'!$J$29:$J$528,'Feb 2026'!$E$29:$E$528,$A31,'Feb 2026'!$I$29:$I$528,"Opening Balance")+SUMIFS('Mar 2026'!$J$29:$J$528,'Mar 2026'!$E$29:$E$528,$A31,'Mar 2026'!$I$29:$I$528,"Opening Balance")+SUMIFS('Apr 2026'!$J$29:$J$528,'Apr 2026'!$E$29:$E$528,$A31,'Apr 2026'!$I$29:$I$528,"Opening Balance")+SUMIFS('May 2026'!$J$29:$J$528,'May 2026'!$E$29:$E$528,$A31,'May 2026'!$I$29:$I$528,"Opening Balance")+SUMIFS('Jun 2026'!$J$29:$J$528,'Jun 2026'!$E$29:$E$528,$A31,'Jun 2026'!$I$29:$I$528,"Opening Balance")+SUMIFS('Jul 2026'!$J$29:$J$528,'Jul 2026'!$E$29:$E$528,$A31,'Jul 2026'!$I$29:$I$528,"Opening Balance")+SUMIFS('Aug 2026'!$J$29:$J$528,'Aug 2026'!$E$29:$E$528,$A31,'Aug 2026'!$I$29:$I$528,"Opening Balance")+SUMIFS('Sep 2026'!$J$29:$J$528,'Sep 2026'!$E$29:$E$528,$A31,'Sep 2026'!$I$29:$I$528,"Opening Balance")+SUMIFS('Oct 2026'!$J$29:$J$528,'Oct 2026'!$E$29:$E$528,$A31,'Oct 2026'!$I$29:$I$528,"Opening Balance")+SUMIFS('Nov 2026'!$J$29:$J$528,'Nov 2026'!$E$29:$E$528,$A31,'Nov 2026'!$I$29:$I$528,"Opening Balance")+SUMIFS('Dec 2026'!$J$29:$J$528,'Dec 2026'!$E$29:$E$528,$A31,'Dec 2026'!$I$29:$I$528,"Opening Balance")</f>
        <v/>
      </c>
      <c r="E31" s="3">
        <f>C31+D31-B31</f>
        <v/>
      </c>
    </row>
    <row r="32">
      <c r="A32" s="5" t="inlineStr">
        <is>
          <t>Shopping</t>
        </is>
      </c>
      <c r="B32" s="3">
        <f>SUMIFS('Jan 2026'!$J$29:$J$528,'Jan 2026'!$E$29:$E$528,$A32,'Jan 2026'!$I$29:$I$528,"Expense")+SUMIFS('Feb 2026'!$J$29:$J$528,'Feb 2026'!$E$29:$E$528,$A32,'Feb 2026'!$I$29:$I$528,"Expense")+SUMIFS('Mar 2026'!$J$29:$J$528,'Mar 2026'!$E$29:$E$528,$A32,'Mar 2026'!$I$29:$I$528,"Expense")+SUMIFS('Apr 2026'!$J$29:$J$528,'Apr 2026'!$E$29:$E$528,$A32,'Apr 2026'!$I$29:$I$528,"Expense")+SUMIFS('May 2026'!$J$29:$J$528,'May 2026'!$E$29:$E$528,$A32,'May 2026'!$I$29:$I$528,"Expense")+SUMIFS('Jun 2026'!$J$29:$J$528,'Jun 2026'!$E$29:$E$528,$A32,'Jun 2026'!$I$29:$I$528,"Expense")+SUMIFS('Jul 2026'!$J$29:$J$528,'Jul 2026'!$E$29:$E$528,$A32,'Jul 2026'!$I$29:$I$528,"Expense")+SUMIFS('Aug 2026'!$J$29:$J$528,'Aug 2026'!$E$29:$E$528,$A32,'Aug 2026'!$I$29:$I$528,"Expense")+SUMIFS('Sep 2026'!$J$29:$J$528,'Sep 2026'!$E$29:$E$528,$A32,'Sep 2026'!$I$29:$I$528,"Expense")+SUMIFS('Oct 2026'!$J$29:$J$528,'Oct 2026'!$E$29:$E$528,$A32,'Oct 2026'!$I$29:$I$528,"Expense")+SUMIFS('Nov 2026'!$J$29:$J$528,'Nov 2026'!$E$29:$E$528,$A32,'Nov 2026'!$I$29:$I$528,"Expense")+SUMIFS('Dec 2026'!$J$29:$J$528,'Dec 2026'!$E$29:$E$528,$A32,'Dec 2026'!$I$29:$I$528,"Expense")</f>
        <v/>
      </c>
      <c r="C32" s="3">
        <f>SUMIFS('Jan 2026'!$J$29:$J$528,'Jan 2026'!$E$29:$E$528,$A32,'Jan 2026'!$I$29:$I$528,"Income")+SUMIFS('Feb 2026'!$J$29:$J$528,'Feb 2026'!$E$29:$E$528,$A32,'Feb 2026'!$I$29:$I$528,"Income")+SUMIFS('Mar 2026'!$J$29:$J$528,'Mar 2026'!$E$29:$E$528,$A32,'Mar 2026'!$I$29:$I$528,"Income")+SUMIFS('Apr 2026'!$J$29:$J$528,'Apr 2026'!$E$29:$E$528,$A32,'Apr 2026'!$I$29:$I$528,"Income")+SUMIFS('May 2026'!$J$29:$J$528,'May 2026'!$E$29:$E$528,$A32,'May 2026'!$I$29:$I$528,"Income")+SUMIFS('Jun 2026'!$J$29:$J$528,'Jun 2026'!$E$29:$E$528,$A32,'Jun 2026'!$I$29:$I$528,"Income")+SUMIFS('Jul 2026'!$J$29:$J$528,'Jul 2026'!$E$29:$E$528,$A32,'Jul 2026'!$I$29:$I$528,"Income")+SUMIFS('Aug 2026'!$J$29:$J$528,'Aug 2026'!$E$29:$E$528,$A32,'Aug 2026'!$I$29:$I$528,"Income")+SUMIFS('Sep 2026'!$J$29:$J$528,'Sep 2026'!$E$29:$E$528,$A32,'Sep 2026'!$I$29:$I$528,"Income")+SUMIFS('Oct 2026'!$J$29:$J$528,'Oct 2026'!$E$29:$E$528,$A32,'Oct 2026'!$I$29:$I$528,"Income")+SUMIFS('Nov 2026'!$J$29:$J$528,'Nov 2026'!$E$29:$E$528,$A32,'Nov 2026'!$I$29:$I$528,"Income")+SUMIFS('Dec 2026'!$J$29:$J$528,'Dec 2026'!$E$29:$E$528,$A32,'Dec 2026'!$I$29:$I$528,"Income")</f>
        <v/>
      </c>
      <c r="D32" s="3">
        <f>SUMIFS('Jan 2026'!$J$29:$J$528,'Jan 2026'!$E$29:$E$528,$A32,'Jan 2026'!$I$29:$I$528,"Opening Balance")+SUMIFS('Feb 2026'!$J$29:$J$528,'Feb 2026'!$E$29:$E$528,$A32,'Feb 2026'!$I$29:$I$528,"Opening Balance")+SUMIFS('Mar 2026'!$J$29:$J$528,'Mar 2026'!$E$29:$E$528,$A32,'Mar 2026'!$I$29:$I$528,"Opening Balance")+SUMIFS('Apr 2026'!$J$29:$J$528,'Apr 2026'!$E$29:$E$528,$A32,'Apr 2026'!$I$29:$I$528,"Opening Balance")+SUMIFS('May 2026'!$J$29:$J$528,'May 2026'!$E$29:$E$528,$A32,'May 2026'!$I$29:$I$528,"Opening Balance")+SUMIFS('Jun 2026'!$J$29:$J$528,'Jun 2026'!$E$29:$E$528,$A32,'Jun 2026'!$I$29:$I$528,"Opening Balance")+SUMIFS('Jul 2026'!$J$29:$J$528,'Jul 2026'!$E$29:$E$528,$A32,'Jul 2026'!$I$29:$I$528,"Opening Balance")+SUMIFS('Aug 2026'!$J$29:$J$528,'Aug 2026'!$E$29:$E$528,$A32,'Aug 2026'!$I$29:$I$528,"Opening Balance")+SUMIFS('Sep 2026'!$J$29:$J$528,'Sep 2026'!$E$29:$E$528,$A32,'Sep 2026'!$I$29:$I$528,"Opening Balance")+SUMIFS('Oct 2026'!$J$29:$J$528,'Oct 2026'!$E$29:$E$528,$A32,'Oct 2026'!$I$29:$I$528,"Opening Balance")+SUMIFS('Nov 2026'!$J$29:$J$528,'Nov 2026'!$E$29:$E$528,$A32,'Nov 2026'!$I$29:$I$528,"Opening Balance")+SUMIFS('Dec 2026'!$J$29:$J$528,'Dec 2026'!$E$29:$E$528,$A32,'Dec 2026'!$I$29:$I$528,"Opening Balance")</f>
        <v/>
      </c>
      <c r="E32" s="3">
        <f>C32+D32-B32</f>
        <v/>
      </c>
    </row>
    <row r="33">
      <c r="A33" s="5" t="inlineStr">
        <is>
          <t>Entertainment</t>
        </is>
      </c>
      <c r="B33" s="3">
        <f>SUMIFS('Jan 2026'!$J$29:$J$528,'Jan 2026'!$E$29:$E$528,$A33,'Jan 2026'!$I$29:$I$528,"Expense")+SUMIFS('Feb 2026'!$J$29:$J$528,'Feb 2026'!$E$29:$E$528,$A33,'Feb 2026'!$I$29:$I$528,"Expense")+SUMIFS('Mar 2026'!$J$29:$J$528,'Mar 2026'!$E$29:$E$528,$A33,'Mar 2026'!$I$29:$I$528,"Expense")+SUMIFS('Apr 2026'!$J$29:$J$528,'Apr 2026'!$E$29:$E$528,$A33,'Apr 2026'!$I$29:$I$528,"Expense")+SUMIFS('May 2026'!$J$29:$J$528,'May 2026'!$E$29:$E$528,$A33,'May 2026'!$I$29:$I$528,"Expense")+SUMIFS('Jun 2026'!$J$29:$J$528,'Jun 2026'!$E$29:$E$528,$A33,'Jun 2026'!$I$29:$I$528,"Expense")+SUMIFS('Jul 2026'!$J$29:$J$528,'Jul 2026'!$E$29:$E$528,$A33,'Jul 2026'!$I$29:$I$528,"Expense")+SUMIFS('Aug 2026'!$J$29:$J$528,'Aug 2026'!$E$29:$E$528,$A33,'Aug 2026'!$I$29:$I$528,"Expense")+SUMIFS('Sep 2026'!$J$29:$J$528,'Sep 2026'!$E$29:$E$528,$A33,'Sep 2026'!$I$29:$I$528,"Expense")+SUMIFS('Oct 2026'!$J$29:$J$528,'Oct 2026'!$E$29:$E$528,$A33,'Oct 2026'!$I$29:$I$528,"Expense")+SUMIFS('Nov 2026'!$J$29:$J$528,'Nov 2026'!$E$29:$E$528,$A33,'Nov 2026'!$I$29:$I$528,"Expense")+SUMIFS('Dec 2026'!$J$29:$J$528,'Dec 2026'!$E$29:$E$528,$A33,'Dec 2026'!$I$29:$I$528,"Expense")</f>
        <v/>
      </c>
      <c r="C33" s="3">
        <f>SUMIFS('Jan 2026'!$J$29:$J$528,'Jan 2026'!$E$29:$E$528,$A33,'Jan 2026'!$I$29:$I$528,"Income")+SUMIFS('Feb 2026'!$J$29:$J$528,'Feb 2026'!$E$29:$E$528,$A33,'Feb 2026'!$I$29:$I$528,"Income")+SUMIFS('Mar 2026'!$J$29:$J$528,'Mar 2026'!$E$29:$E$528,$A33,'Mar 2026'!$I$29:$I$528,"Income")+SUMIFS('Apr 2026'!$J$29:$J$528,'Apr 2026'!$E$29:$E$528,$A33,'Apr 2026'!$I$29:$I$528,"Income")+SUMIFS('May 2026'!$J$29:$J$528,'May 2026'!$E$29:$E$528,$A33,'May 2026'!$I$29:$I$528,"Income")+SUMIFS('Jun 2026'!$J$29:$J$528,'Jun 2026'!$E$29:$E$528,$A33,'Jun 2026'!$I$29:$I$528,"Income")+SUMIFS('Jul 2026'!$J$29:$J$528,'Jul 2026'!$E$29:$E$528,$A33,'Jul 2026'!$I$29:$I$528,"Income")+SUMIFS('Aug 2026'!$J$29:$J$528,'Aug 2026'!$E$29:$E$528,$A33,'Aug 2026'!$I$29:$I$528,"Income")+SUMIFS('Sep 2026'!$J$29:$J$528,'Sep 2026'!$E$29:$E$528,$A33,'Sep 2026'!$I$29:$I$528,"Income")+SUMIFS('Oct 2026'!$J$29:$J$528,'Oct 2026'!$E$29:$E$528,$A33,'Oct 2026'!$I$29:$I$528,"Income")+SUMIFS('Nov 2026'!$J$29:$J$528,'Nov 2026'!$E$29:$E$528,$A33,'Nov 2026'!$I$29:$I$528,"Income")+SUMIFS('Dec 2026'!$J$29:$J$528,'Dec 2026'!$E$29:$E$528,$A33,'Dec 2026'!$I$29:$I$528,"Income")</f>
        <v/>
      </c>
      <c r="D33" s="3">
        <f>SUMIFS('Jan 2026'!$J$29:$J$528,'Jan 2026'!$E$29:$E$528,$A33,'Jan 2026'!$I$29:$I$528,"Opening Balance")+SUMIFS('Feb 2026'!$J$29:$J$528,'Feb 2026'!$E$29:$E$528,$A33,'Feb 2026'!$I$29:$I$528,"Opening Balance")+SUMIFS('Mar 2026'!$J$29:$J$528,'Mar 2026'!$E$29:$E$528,$A33,'Mar 2026'!$I$29:$I$528,"Opening Balance")+SUMIFS('Apr 2026'!$J$29:$J$528,'Apr 2026'!$E$29:$E$528,$A33,'Apr 2026'!$I$29:$I$528,"Opening Balance")+SUMIFS('May 2026'!$J$29:$J$528,'May 2026'!$E$29:$E$528,$A33,'May 2026'!$I$29:$I$528,"Opening Balance")+SUMIFS('Jun 2026'!$J$29:$J$528,'Jun 2026'!$E$29:$E$528,$A33,'Jun 2026'!$I$29:$I$528,"Opening Balance")+SUMIFS('Jul 2026'!$J$29:$J$528,'Jul 2026'!$E$29:$E$528,$A33,'Jul 2026'!$I$29:$I$528,"Opening Balance")+SUMIFS('Aug 2026'!$J$29:$J$528,'Aug 2026'!$E$29:$E$528,$A33,'Aug 2026'!$I$29:$I$528,"Opening Balance")+SUMIFS('Sep 2026'!$J$29:$J$528,'Sep 2026'!$E$29:$E$528,$A33,'Sep 2026'!$I$29:$I$528,"Opening Balance")+SUMIFS('Oct 2026'!$J$29:$J$528,'Oct 2026'!$E$29:$E$528,$A33,'Oct 2026'!$I$29:$I$528,"Opening Balance")+SUMIFS('Nov 2026'!$J$29:$J$528,'Nov 2026'!$E$29:$E$528,$A33,'Nov 2026'!$I$29:$I$528,"Opening Balance")+SUMIFS('Dec 2026'!$J$29:$J$528,'Dec 2026'!$E$29:$E$528,$A33,'Dec 2026'!$I$29:$I$528,"Opening Balance")</f>
        <v/>
      </c>
      <c r="E33" s="3">
        <f>C33+D33-B33</f>
        <v/>
      </c>
    </row>
    <row r="34">
      <c r="A34" s="5" t="inlineStr">
        <is>
          <t>Travel</t>
        </is>
      </c>
      <c r="B34" s="3">
        <f>SUMIFS('Jan 2026'!$J$29:$J$528,'Jan 2026'!$E$29:$E$528,$A34,'Jan 2026'!$I$29:$I$528,"Expense")+SUMIFS('Feb 2026'!$J$29:$J$528,'Feb 2026'!$E$29:$E$528,$A34,'Feb 2026'!$I$29:$I$528,"Expense")+SUMIFS('Mar 2026'!$J$29:$J$528,'Mar 2026'!$E$29:$E$528,$A34,'Mar 2026'!$I$29:$I$528,"Expense")+SUMIFS('Apr 2026'!$J$29:$J$528,'Apr 2026'!$E$29:$E$528,$A34,'Apr 2026'!$I$29:$I$528,"Expense")+SUMIFS('May 2026'!$J$29:$J$528,'May 2026'!$E$29:$E$528,$A34,'May 2026'!$I$29:$I$528,"Expense")+SUMIFS('Jun 2026'!$J$29:$J$528,'Jun 2026'!$E$29:$E$528,$A34,'Jun 2026'!$I$29:$I$528,"Expense")+SUMIFS('Jul 2026'!$J$29:$J$528,'Jul 2026'!$E$29:$E$528,$A34,'Jul 2026'!$I$29:$I$528,"Expense")+SUMIFS('Aug 2026'!$J$29:$J$528,'Aug 2026'!$E$29:$E$528,$A34,'Aug 2026'!$I$29:$I$528,"Expense")+SUMIFS('Sep 2026'!$J$29:$J$528,'Sep 2026'!$E$29:$E$528,$A34,'Sep 2026'!$I$29:$I$528,"Expense")+SUMIFS('Oct 2026'!$J$29:$J$528,'Oct 2026'!$E$29:$E$528,$A34,'Oct 2026'!$I$29:$I$528,"Expense")+SUMIFS('Nov 2026'!$J$29:$J$528,'Nov 2026'!$E$29:$E$528,$A34,'Nov 2026'!$I$29:$I$528,"Expense")+SUMIFS('Dec 2026'!$J$29:$J$528,'Dec 2026'!$E$29:$E$528,$A34,'Dec 2026'!$I$29:$I$528,"Expense")</f>
        <v/>
      </c>
      <c r="C34" s="3">
        <f>SUMIFS('Jan 2026'!$J$29:$J$528,'Jan 2026'!$E$29:$E$528,$A34,'Jan 2026'!$I$29:$I$528,"Income")+SUMIFS('Feb 2026'!$J$29:$J$528,'Feb 2026'!$E$29:$E$528,$A34,'Feb 2026'!$I$29:$I$528,"Income")+SUMIFS('Mar 2026'!$J$29:$J$528,'Mar 2026'!$E$29:$E$528,$A34,'Mar 2026'!$I$29:$I$528,"Income")+SUMIFS('Apr 2026'!$J$29:$J$528,'Apr 2026'!$E$29:$E$528,$A34,'Apr 2026'!$I$29:$I$528,"Income")+SUMIFS('May 2026'!$J$29:$J$528,'May 2026'!$E$29:$E$528,$A34,'May 2026'!$I$29:$I$528,"Income")+SUMIFS('Jun 2026'!$J$29:$J$528,'Jun 2026'!$E$29:$E$528,$A34,'Jun 2026'!$I$29:$I$528,"Income")+SUMIFS('Jul 2026'!$J$29:$J$528,'Jul 2026'!$E$29:$E$528,$A34,'Jul 2026'!$I$29:$I$528,"Income")+SUMIFS('Aug 2026'!$J$29:$J$528,'Aug 2026'!$E$29:$E$528,$A34,'Aug 2026'!$I$29:$I$528,"Income")+SUMIFS('Sep 2026'!$J$29:$J$528,'Sep 2026'!$E$29:$E$528,$A34,'Sep 2026'!$I$29:$I$528,"Income")+SUMIFS('Oct 2026'!$J$29:$J$528,'Oct 2026'!$E$29:$E$528,$A34,'Oct 2026'!$I$29:$I$528,"Income")+SUMIFS('Nov 2026'!$J$29:$J$528,'Nov 2026'!$E$29:$E$528,$A34,'Nov 2026'!$I$29:$I$528,"Income")+SUMIFS('Dec 2026'!$J$29:$J$528,'Dec 2026'!$E$29:$E$528,$A34,'Dec 2026'!$I$29:$I$528,"Income")</f>
        <v/>
      </c>
      <c r="D34" s="3">
        <f>SUMIFS('Jan 2026'!$J$29:$J$528,'Jan 2026'!$E$29:$E$528,$A34,'Jan 2026'!$I$29:$I$528,"Opening Balance")+SUMIFS('Feb 2026'!$J$29:$J$528,'Feb 2026'!$E$29:$E$528,$A34,'Feb 2026'!$I$29:$I$528,"Opening Balance")+SUMIFS('Mar 2026'!$J$29:$J$528,'Mar 2026'!$E$29:$E$528,$A34,'Mar 2026'!$I$29:$I$528,"Opening Balance")+SUMIFS('Apr 2026'!$J$29:$J$528,'Apr 2026'!$E$29:$E$528,$A34,'Apr 2026'!$I$29:$I$528,"Opening Balance")+SUMIFS('May 2026'!$J$29:$J$528,'May 2026'!$E$29:$E$528,$A34,'May 2026'!$I$29:$I$528,"Opening Balance")+SUMIFS('Jun 2026'!$J$29:$J$528,'Jun 2026'!$E$29:$E$528,$A34,'Jun 2026'!$I$29:$I$528,"Opening Balance")+SUMIFS('Jul 2026'!$J$29:$J$528,'Jul 2026'!$E$29:$E$528,$A34,'Jul 2026'!$I$29:$I$528,"Opening Balance")+SUMIFS('Aug 2026'!$J$29:$J$528,'Aug 2026'!$E$29:$E$528,$A34,'Aug 2026'!$I$29:$I$528,"Opening Balance")+SUMIFS('Sep 2026'!$J$29:$J$528,'Sep 2026'!$E$29:$E$528,$A34,'Sep 2026'!$I$29:$I$528,"Opening Balance")+SUMIFS('Oct 2026'!$J$29:$J$528,'Oct 2026'!$E$29:$E$528,$A34,'Oct 2026'!$I$29:$I$528,"Opening Balance")+SUMIFS('Nov 2026'!$J$29:$J$528,'Nov 2026'!$E$29:$E$528,$A34,'Nov 2026'!$I$29:$I$528,"Opening Balance")+SUMIFS('Dec 2026'!$J$29:$J$528,'Dec 2026'!$E$29:$E$528,$A34,'Dec 2026'!$I$29:$I$528,"Opening Balance")</f>
        <v/>
      </c>
      <c r="E34" s="3">
        <f>C34+D34-B34</f>
        <v/>
      </c>
    </row>
    <row r="35">
      <c r="A35" s="5" t="inlineStr">
        <is>
          <t>Education</t>
        </is>
      </c>
      <c r="B35" s="3">
        <f>SUMIFS('Jan 2026'!$J$29:$J$528,'Jan 2026'!$E$29:$E$528,$A35,'Jan 2026'!$I$29:$I$528,"Expense")+SUMIFS('Feb 2026'!$J$29:$J$528,'Feb 2026'!$E$29:$E$528,$A35,'Feb 2026'!$I$29:$I$528,"Expense")+SUMIFS('Mar 2026'!$J$29:$J$528,'Mar 2026'!$E$29:$E$528,$A35,'Mar 2026'!$I$29:$I$528,"Expense")+SUMIFS('Apr 2026'!$J$29:$J$528,'Apr 2026'!$E$29:$E$528,$A35,'Apr 2026'!$I$29:$I$528,"Expense")+SUMIFS('May 2026'!$J$29:$J$528,'May 2026'!$E$29:$E$528,$A35,'May 2026'!$I$29:$I$528,"Expense")+SUMIFS('Jun 2026'!$J$29:$J$528,'Jun 2026'!$E$29:$E$528,$A35,'Jun 2026'!$I$29:$I$528,"Expense")+SUMIFS('Jul 2026'!$J$29:$J$528,'Jul 2026'!$E$29:$E$528,$A35,'Jul 2026'!$I$29:$I$528,"Expense")+SUMIFS('Aug 2026'!$J$29:$J$528,'Aug 2026'!$E$29:$E$528,$A35,'Aug 2026'!$I$29:$I$528,"Expense")+SUMIFS('Sep 2026'!$J$29:$J$528,'Sep 2026'!$E$29:$E$528,$A35,'Sep 2026'!$I$29:$I$528,"Expense")+SUMIFS('Oct 2026'!$J$29:$J$528,'Oct 2026'!$E$29:$E$528,$A35,'Oct 2026'!$I$29:$I$528,"Expense")+SUMIFS('Nov 2026'!$J$29:$J$528,'Nov 2026'!$E$29:$E$528,$A35,'Nov 2026'!$I$29:$I$528,"Expense")+SUMIFS('Dec 2026'!$J$29:$J$528,'Dec 2026'!$E$29:$E$528,$A35,'Dec 2026'!$I$29:$I$528,"Expense")</f>
        <v/>
      </c>
      <c r="C35" s="3">
        <f>SUMIFS('Jan 2026'!$J$29:$J$528,'Jan 2026'!$E$29:$E$528,$A35,'Jan 2026'!$I$29:$I$528,"Income")+SUMIFS('Feb 2026'!$J$29:$J$528,'Feb 2026'!$E$29:$E$528,$A35,'Feb 2026'!$I$29:$I$528,"Income")+SUMIFS('Mar 2026'!$J$29:$J$528,'Mar 2026'!$E$29:$E$528,$A35,'Mar 2026'!$I$29:$I$528,"Income")+SUMIFS('Apr 2026'!$J$29:$J$528,'Apr 2026'!$E$29:$E$528,$A35,'Apr 2026'!$I$29:$I$528,"Income")+SUMIFS('May 2026'!$J$29:$J$528,'May 2026'!$E$29:$E$528,$A35,'May 2026'!$I$29:$I$528,"Income")+SUMIFS('Jun 2026'!$J$29:$J$528,'Jun 2026'!$E$29:$E$528,$A35,'Jun 2026'!$I$29:$I$528,"Income")+SUMIFS('Jul 2026'!$J$29:$J$528,'Jul 2026'!$E$29:$E$528,$A35,'Jul 2026'!$I$29:$I$528,"Income")+SUMIFS('Aug 2026'!$J$29:$J$528,'Aug 2026'!$E$29:$E$528,$A35,'Aug 2026'!$I$29:$I$528,"Income")+SUMIFS('Sep 2026'!$J$29:$J$528,'Sep 2026'!$E$29:$E$528,$A35,'Sep 2026'!$I$29:$I$528,"Income")+SUMIFS('Oct 2026'!$J$29:$J$528,'Oct 2026'!$E$29:$E$528,$A35,'Oct 2026'!$I$29:$I$528,"Income")+SUMIFS('Nov 2026'!$J$29:$J$528,'Nov 2026'!$E$29:$E$528,$A35,'Nov 2026'!$I$29:$I$528,"Income")+SUMIFS('Dec 2026'!$J$29:$J$528,'Dec 2026'!$E$29:$E$528,$A35,'Dec 2026'!$I$29:$I$528,"Income")</f>
        <v/>
      </c>
      <c r="D35" s="3">
        <f>SUMIFS('Jan 2026'!$J$29:$J$528,'Jan 2026'!$E$29:$E$528,$A35,'Jan 2026'!$I$29:$I$528,"Opening Balance")+SUMIFS('Feb 2026'!$J$29:$J$528,'Feb 2026'!$E$29:$E$528,$A35,'Feb 2026'!$I$29:$I$528,"Opening Balance")+SUMIFS('Mar 2026'!$J$29:$J$528,'Mar 2026'!$E$29:$E$528,$A35,'Mar 2026'!$I$29:$I$528,"Opening Balance")+SUMIFS('Apr 2026'!$J$29:$J$528,'Apr 2026'!$E$29:$E$528,$A35,'Apr 2026'!$I$29:$I$528,"Opening Balance")+SUMIFS('May 2026'!$J$29:$J$528,'May 2026'!$E$29:$E$528,$A35,'May 2026'!$I$29:$I$528,"Opening Balance")+SUMIFS('Jun 2026'!$J$29:$J$528,'Jun 2026'!$E$29:$E$528,$A35,'Jun 2026'!$I$29:$I$528,"Opening Balance")+SUMIFS('Jul 2026'!$J$29:$J$528,'Jul 2026'!$E$29:$E$528,$A35,'Jul 2026'!$I$29:$I$528,"Opening Balance")+SUMIFS('Aug 2026'!$J$29:$J$528,'Aug 2026'!$E$29:$E$528,$A35,'Aug 2026'!$I$29:$I$528,"Opening Balance")+SUMIFS('Sep 2026'!$J$29:$J$528,'Sep 2026'!$E$29:$E$528,$A35,'Sep 2026'!$I$29:$I$528,"Opening Balance")+SUMIFS('Oct 2026'!$J$29:$J$528,'Oct 2026'!$E$29:$E$528,$A35,'Oct 2026'!$I$29:$I$528,"Opening Balance")+SUMIFS('Nov 2026'!$J$29:$J$528,'Nov 2026'!$E$29:$E$528,$A35,'Nov 2026'!$I$29:$I$528,"Opening Balance")+SUMIFS('Dec 2026'!$J$29:$J$528,'Dec 2026'!$E$29:$E$528,$A35,'Dec 2026'!$I$29:$I$528,"Opening Balance")</f>
        <v/>
      </c>
      <c r="E35" s="3">
        <f>C35+D35-B35</f>
        <v/>
      </c>
    </row>
    <row r="36">
      <c r="A36" s="5" t="inlineStr">
        <is>
          <t>Gifts &amp; Donations</t>
        </is>
      </c>
      <c r="B36" s="3">
        <f>SUMIFS('Jan 2026'!$J$29:$J$528,'Jan 2026'!$E$29:$E$528,$A36,'Jan 2026'!$I$29:$I$528,"Expense")+SUMIFS('Feb 2026'!$J$29:$J$528,'Feb 2026'!$E$29:$E$528,$A36,'Feb 2026'!$I$29:$I$528,"Expense")+SUMIFS('Mar 2026'!$J$29:$J$528,'Mar 2026'!$E$29:$E$528,$A36,'Mar 2026'!$I$29:$I$528,"Expense")+SUMIFS('Apr 2026'!$J$29:$J$528,'Apr 2026'!$E$29:$E$528,$A36,'Apr 2026'!$I$29:$I$528,"Expense")+SUMIFS('May 2026'!$J$29:$J$528,'May 2026'!$E$29:$E$528,$A36,'May 2026'!$I$29:$I$528,"Expense")+SUMIFS('Jun 2026'!$J$29:$J$528,'Jun 2026'!$E$29:$E$528,$A36,'Jun 2026'!$I$29:$I$528,"Expense")+SUMIFS('Jul 2026'!$J$29:$J$528,'Jul 2026'!$E$29:$E$528,$A36,'Jul 2026'!$I$29:$I$528,"Expense")+SUMIFS('Aug 2026'!$J$29:$J$528,'Aug 2026'!$E$29:$E$528,$A36,'Aug 2026'!$I$29:$I$528,"Expense")+SUMIFS('Sep 2026'!$J$29:$J$528,'Sep 2026'!$E$29:$E$528,$A36,'Sep 2026'!$I$29:$I$528,"Expense")+SUMIFS('Oct 2026'!$J$29:$J$528,'Oct 2026'!$E$29:$E$528,$A36,'Oct 2026'!$I$29:$I$528,"Expense")+SUMIFS('Nov 2026'!$J$29:$J$528,'Nov 2026'!$E$29:$E$528,$A36,'Nov 2026'!$I$29:$I$528,"Expense")+SUMIFS('Dec 2026'!$J$29:$J$528,'Dec 2026'!$E$29:$E$528,$A36,'Dec 2026'!$I$29:$I$528,"Expense")</f>
        <v/>
      </c>
      <c r="C36" s="3">
        <f>SUMIFS('Jan 2026'!$J$29:$J$528,'Jan 2026'!$E$29:$E$528,$A36,'Jan 2026'!$I$29:$I$528,"Income")+SUMIFS('Feb 2026'!$J$29:$J$528,'Feb 2026'!$E$29:$E$528,$A36,'Feb 2026'!$I$29:$I$528,"Income")+SUMIFS('Mar 2026'!$J$29:$J$528,'Mar 2026'!$E$29:$E$528,$A36,'Mar 2026'!$I$29:$I$528,"Income")+SUMIFS('Apr 2026'!$J$29:$J$528,'Apr 2026'!$E$29:$E$528,$A36,'Apr 2026'!$I$29:$I$528,"Income")+SUMIFS('May 2026'!$J$29:$J$528,'May 2026'!$E$29:$E$528,$A36,'May 2026'!$I$29:$I$528,"Income")+SUMIFS('Jun 2026'!$J$29:$J$528,'Jun 2026'!$E$29:$E$528,$A36,'Jun 2026'!$I$29:$I$528,"Income")+SUMIFS('Jul 2026'!$J$29:$J$528,'Jul 2026'!$E$29:$E$528,$A36,'Jul 2026'!$I$29:$I$528,"Income")+SUMIFS('Aug 2026'!$J$29:$J$528,'Aug 2026'!$E$29:$E$528,$A36,'Aug 2026'!$I$29:$I$528,"Income")+SUMIFS('Sep 2026'!$J$29:$J$528,'Sep 2026'!$E$29:$E$528,$A36,'Sep 2026'!$I$29:$I$528,"Income")+SUMIFS('Oct 2026'!$J$29:$J$528,'Oct 2026'!$E$29:$E$528,$A36,'Oct 2026'!$I$29:$I$528,"Income")+SUMIFS('Nov 2026'!$J$29:$J$528,'Nov 2026'!$E$29:$E$528,$A36,'Nov 2026'!$I$29:$I$528,"Income")+SUMIFS('Dec 2026'!$J$29:$J$528,'Dec 2026'!$E$29:$E$528,$A36,'Dec 2026'!$I$29:$I$528,"Income")</f>
        <v/>
      </c>
      <c r="D36" s="3">
        <f>SUMIFS('Jan 2026'!$J$29:$J$528,'Jan 2026'!$E$29:$E$528,$A36,'Jan 2026'!$I$29:$I$528,"Opening Balance")+SUMIFS('Feb 2026'!$J$29:$J$528,'Feb 2026'!$E$29:$E$528,$A36,'Feb 2026'!$I$29:$I$528,"Opening Balance")+SUMIFS('Mar 2026'!$J$29:$J$528,'Mar 2026'!$E$29:$E$528,$A36,'Mar 2026'!$I$29:$I$528,"Opening Balance")+SUMIFS('Apr 2026'!$J$29:$J$528,'Apr 2026'!$E$29:$E$528,$A36,'Apr 2026'!$I$29:$I$528,"Opening Balance")+SUMIFS('May 2026'!$J$29:$J$528,'May 2026'!$E$29:$E$528,$A36,'May 2026'!$I$29:$I$528,"Opening Balance")+SUMIFS('Jun 2026'!$J$29:$J$528,'Jun 2026'!$E$29:$E$528,$A36,'Jun 2026'!$I$29:$I$528,"Opening Balance")+SUMIFS('Jul 2026'!$J$29:$J$528,'Jul 2026'!$E$29:$E$528,$A36,'Jul 2026'!$I$29:$I$528,"Opening Balance")+SUMIFS('Aug 2026'!$J$29:$J$528,'Aug 2026'!$E$29:$E$528,$A36,'Aug 2026'!$I$29:$I$528,"Opening Balance")+SUMIFS('Sep 2026'!$J$29:$J$528,'Sep 2026'!$E$29:$E$528,$A36,'Sep 2026'!$I$29:$I$528,"Opening Balance")+SUMIFS('Oct 2026'!$J$29:$J$528,'Oct 2026'!$E$29:$E$528,$A36,'Oct 2026'!$I$29:$I$528,"Opening Balance")+SUMIFS('Nov 2026'!$J$29:$J$528,'Nov 2026'!$E$29:$E$528,$A36,'Nov 2026'!$I$29:$I$528,"Opening Balance")+SUMIFS('Dec 2026'!$J$29:$J$528,'Dec 2026'!$E$29:$E$528,$A36,'Dec 2026'!$I$29:$I$528,"Opening Balance")</f>
        <v/>
      </c>
      <c r="E36" s="3">
        <f>C36+D36-B36</f>
        <v/>
      </c>
    </row>
    <row r="37">
      <c r="A37" s="5" t="inlineStr">
        <is>
          <t>Taxes</t>
        </is>
      </c>
      <c r="B37" s="3">
        <f>SUMIFS('Jan 2026'!$J$29:$J$528,'Jan 2026'!$E$29:$E$528,$A37,'Jan 2026'!$I$29:$I$528,"Expense")+SUMIFS('Feb 2026'!$J$29:$J$528,'Feb 2026'!$E$29:$E$528,$A37,'Feb 2026'!$I$29:$I$528,"Expense")+SUMIFS('Mar 2026'!$J$29:$J$528,'Mar 2026'!$E$29:$E$528,$A37,'Mar 2026'!$I$29:$I$528,"Expense")+SUMIFS('Apr 2026'!$J$29:$J$528,'Apr 2026'!$E$29:$E$528,$A37,'Apr 2026'!$I$29:$I$528,"Expense")+SUMIFS('May 2026'!$J$29:$J$528,'May 2026'!$E$29:$E$528,$A37,'May 2026'!$I$29:$I$528,"Expense")+SUMIFS('Jun 2026'!$J$29:$J$528,'Jun 2026'!$E$29:$E$528,$A37,'Jun 2026'!$I$29:$I$528,"Expense")+SUMIFS('Jul 2026'!$J$29:$J$528,'Jul 2026'!$E$29:$E$528,$A37,'Jul 2026'!$I$29:$I$528,"Expense")+SUMIFS('Aug 2026'!$J$29:$J$528,'Aug 2026'!$E$29:$E$528,$A37,'Aug 2026'!$I$29:$I$528,"Expense")+SUMIFS('Sep 2026'!$J$29:$J$528,'Sep 2026'!$E$29:$E$528,$A37,'Sep 2026'!$I$29:$I$528,"Expense")+SUMIFS('Oct 2026'!$J$29:$J$528,'Oct 2026'!$E$29:$E$528,$A37,'Oct 2026'!$I$29:$I$528,"Expense")+SUMIFS('Nov 2026'!$J$29:$J$528,'Nov 2026'!$E$29:$E$528,$A37,'Nov 2026'!$I$29:$I$528,"Expense")+SUMIFS('Dec 2026'!$J$29:$J$528,'Dec 2026'!$E$29:$E$528,$A37,'Dec 2026'!$I$29:$I$528,"Expense")</f>
        <v/>
      </c>
      <c r="C37" s="3">
        <f>SUMIFS('Jan 2026'!$J$29:$J$528,'Jan 2026'!$E$29:$E$528,$A37,'Jan 2026'!$I$29:$I$528,"Income")+SUMIFS('Feb 2026'!$J$29:$J$528,'Feb 2026'!$E$29:$E$528,$A37,'Feb 2026'!$I$29:$I$528,"Income")+SUMIFS('Mar 2026'!$J$29:$J$528,'Mar 2026'!$E$29:$E$528,$A37,'Mar 2026'!$I$29:$I$528,"Income")+SUMIFS('Apr 2026'!$J$29:$J$528,'Apr 2026'!$E$29:$E$528,$A37,'Apr 2026'!$I$29:$I$528,"Income")+SUMIFS('May 2026'!$J$29:$J$528,'May 2026'!$E$29:$E$528,$A37,'May 2026'!$I$29:$I$528,"Income")+SUMIFS('Jun 2026'!$J$29:$J$528,'Jun 2026'!$E$29:$E$528,$A37,'Jun 2026'!$I$29:$I$528,"Income")+SUMIFS('Jul 2026'!$J$29:$J$528,'Jul 2026'!$E$29:$E$528,$A37,'Jul 2026'!$I$29:$I$528,"Income")+SUMIFS('Aug 2026'!$J$29:$J$528,'Aug 2026'!$E$29:$E$528,$A37,'Aug 2026'!$I$29:$I$528,"Income")+SUMIFS('Sep 2026'!$J$29:$J$528,'Sep 2026'!$E$29:$E$528,$A37,'Sep 2026'!$I$29:$I$528,"Income")+SUMIFS('Oct 2026'!$J$29:$J$528,'Oct 2026'!$E$29:$E$528,$A37,'Oct 2026'!$I$29:$I$528,"Income")+SUMIFS('Nov 2026'!$J$29:$J$528,'Nov 2026'!$E$29:$E$528,$A37,'Nov 2026'!$I$29:$I$528,"Income")+SUMIFS('Dec 2026'!$J$29:$J$528,'Dec 2026'!$E$29:$E$528,$A37,'Dec 2026'!$I$29:$I$528,"Income")</f>
        <v/>
      </c>
      <c r="D37" s="3">
        <f>SUMIFS('Jan 2026'!$J$29:$J$528,'Jan 2026'!$E$29:$E$528,$A37,'Jan 2026'!$I$29:$I$528,"Opening Balance")+SUMIFS('Feb 2026'!$J$29:$J$528,'Feb 2026'!$E$29:$E$528,$A37,'Feb 2026'!$I$29:$I$528,"Opening Balance")+SUMIFS('Mar 2026'!$J$29:$J$528,'Mar 2026'!$E$29:$E$528,$A37,'Mar 2026'!$I$29:$I$528,"Opening Balance")+SUMIFS('Apr 2026'!$J$29:$J$528,'Apr 2026'!$E$29:$E$528,$A37,'Apr 2026'!$I$29:$I$528,"Opening Balance")+SUMIFS('May 2026'!$J$29:$J$528,'May 2026'!$E$29:$E$528,$A37,'May 2026'!$I$29:$I$528,"Opening Balance")+SUMIFS('Jun 2026'!$J$29:$J$528,'Jun 2026'!$E$29:$E$528,$A37,'Jun 2026'!$I$29:$I$528,"Opening Balance")+SUMIFS('Jul 2026'!$J$29:$J$528,'Jul 2026'!$E$29:$E$528,$A37,'Jul 2026'!$I$29:$I$528,"Opening Balance")+SUMIFS('Aug 2026'!$J$29:$J$528,'Aug 2026'!$E$29:$E$528,$A37,'Aug 2026'!$I$29:$I$528,"Opening Balance")+SUMIFS('Sep 2026'!$J$29:$J$528,'Sep 2026'!$E$29:$E$528,$A37,'Sep 2026'!$I$29:$I$528,"Opening Balance")+SUMIFS('Oct 2026'!$J$29:$J$528,'Oct 2026'!$E$29:$E$528,$A37,'Oct 2026'!$I$29:$I$528,"Opening Balance")+SUMIFS('Nov 2026'!$J$29:$J$528,'Nov 2026'!$E$29:$E$528,$A37,'Nov 2026'!$I$29:$I$528,"Opening Balance")+SUMIFS('Dec 2026'!$J$29:$J$528,'Dec 2026'!$E$29:$E$528,$A37,'Dec 2026'!$I$29:$I$528,"Opening Balance")</f>
        <v/>
      </c>
      <c r="E37" s="3">
        <f>C37+D37-B37</f>
        <v/>
      </c>
    </row>
    <row r="38">
      <c r="A38" s="5" t="inlineStr">
        <is>
          <t>Fees &amp; Charges</t>
        </is>
      </c>
      <c r="B38" s="3">
        <f>SUMIFS('Jan 2026'!$J$29:$J$528,'Jan 2026'!$E$29:$E$528,$A38,'Jan 2026'!$I$29:$I$528,"Expense")+SUMIFS('Feb 2026'!$J$29:$J$528,'Feb 2026'!$E$29:$E$528,$A38,'Feb 2026'!$I$29:$I$528,"Expense")+SUMIFS('Mar 2026'!$J$29:$J$528,'Mar 2026'!$E$29:$E$528,$A38,'Mar 2026'!$I$29:$I$528,"Expense")+SUMIFS('Apr 2026'!$J$29:$J$528,'Apr 2026'!$E$29:$E$528,$A38,'Apr 2026'!$I$29:$I$528,"Expense")+SUMIFS('May 2026'!$J$29:$J$528,'May 2026'!$E$29:$E$528,$A38,'May 2026'!$I$29:$I$528,"Expense")+SUMIFS('Jun 2026'!$J$29:$J$528,'Jun 2026'!$E$29:$E$528,$A38,'Jun 2026'!$I$29:$I$528,"Expense")+SUMIFS('Jul 2026'!$J$29:$J$528,'Jul 2026'!$E$29:$E$528,$A38,'Jul 2026'!$I$29:$I$528,"Expense")+SUMIFS('Aug 2026'!$J$29:$J$528,'Aug 2026'!$E$29:$E$528,$A38,'Aug 2026'!$I$29:$I$528,"Expense")+SUMIFS('Sep 2026'!$J$29:$J$528,'Sep 2026'!$E$29:$E$528,$A38,'Sep 2026'!$I$29:$I$528,"Expense")+SUMIFS('Oct 2026'!$J$29:$J$528,'Oct 2026'!$E$29:$E$528,$A38,'Oct 2026'!$I$29:$I$528,"Expense")+SUMIFS('Nov 2026'!$J$29:$J$528,'Nov 2026'!$E$29:$E$528,$A38,'Nov 2026'!$I$29:$I$528,"Expense")+SUMIFS('Dec 2026'!$J$29:$J$528,'Dec 2026'!$E$29:$E$528,$A38,'Dec 2026'!$I$29:$I$528,"Expense")</f>
        <v/>
      </c>
      <c r="C38" s="3">
        <f>SUMIFS('Jan 2026'!$J$29:$J$528,'Jan 2026'!$E$29:$E$528,$A38,'Jan 2026'!$I$29:$I$528,"Income")+SUMIFS('Feb 2026'!$J$29:$J$528,'Feb 2026'!$E$29:$E$528,$A38,'Feb 2026'!$I$29:$I$528,"Income")+SUMIFS('Mar 2026'!$J$29:$J$528,'Mar 2026'!$E$29:$E$528,$A38,'Mar 2026'!$I$29:$I$528,"Income")+SUMIFS('Apr 2026'!$J$29:$J$528,'Apr 2026'!$E$29:$E$528,$A38,'Apr 2026'!$I$29:$I$528,"Income")+SUMIFS('May 2026'!$J$29:$J$528,'May 2026'!$E$29:$E$528,$A38,'May 2026'!$I$29:$I$528,"Income")+SUMIFS('Jun 2026'!$J$29:$J$528,'Jun 2026'!$E$29:$E$528,$A38,'Jun 2026'!$I$29:$I$528,"Income")+SUMIFS('Jul 2026'!$J$29:$J$528,'Jul 2026'!$E$29:$E$528,$A38,'Jul 2026'!$I$29:$I$528,"Income")+SUMIFS('Aug 2026'!$J$29:$J$528,'Aug 2026'!$E$29:$E$528,$A38,'Aug 2026'!$I$29:$I$528,"Income")+SUMIFS('Sep 2026'!$J$29:$J$528,'Sep 2026'!$E$29:$E$528,$A38,'Sep 2026'!$I$29:$I$528,"Income")+SUMIFS('Oct 2026'!$J$29:$J$528,'Oct 2026'!$E$29:$E$528,$A38,'Oct 2026'!$I$29:$I$528,"Income")+SUMIFS('Nov 2026'!$J$29:$J$528,'Nov 2026'!$E$29:$E$528,$A38,'Nov 2026'!$I$29:$I$528,"Income")+SUMIFS('Dec 2026'!$J$29:$J$528,'Dec 2026'!$E$29:$E$528,$A38,'Dec 2026'!$I$29:$I$528,"Income")</f>
        <v/>
      </c>
      <c r="D38" s="3">
        <f>SUMIFS('Jan 2026'!$J$29:$J$528,'Jan 2026'!$E$29:$E$528,$A38,'Jan 2026'!$I$29:$I$528,"Opening Balance")+SUMIFS('Feb 2026'!$J$29:$J$528,'Feb 2026'!$E$29:$E$528,$A38,'Feb 2026'!$I$29:$I$528,"Opening Balance")+SUMIFS('Mar 2026'!$J$29:$J$528,'Mar 2026'!$E$29:$E$528,$A38,'Mar 2026'!$I$29:$I$528,"Opening Balance")+SUMIFS('Apr 2026'!$J$29:$J$528,'Apr 2026'!$E$29:$E$528,$A38,'Apr 2026'!$I$29:$I$528,"Opening Balance")+SUMIFS('May 2026'!$J$29:$J$528,'May 2026'!$E$29:$E$528,$A38,'May 2026'!$I$29:$I$528,"Opening Balance")+SUMIFS('Jun 2026'!$J$29:$J$528,'Jun 2026'!$E$29:$E$528,$A38,'Jun 2026'!$I$29:$I$528,"Opening Balance")+SUMIFS('Jul 2026'!$J$29:$J$528,'Jul 2026'!$E$29:$E$528,$A38,'Jul 2026'!$I$29:$I$528,"Opening Balance")+SUMIFS('Aug 2026'!$J$29:$J$528,'Aug 2026'!$E$29:$E$528,$A38,'Aug 2026'!$I$29:$I$528,"Opening Balance")+SUMIFS('Sep 2026'!$J$29:$J$528,'Sep 2026'!$E$29:$E$528,$A38,'Sep 2026'!$I$29:$I$528,"Opening Balance")+SUMIFS('Oct 2026'!$J$29:$J$528,'Oct 2026'!$E$29:$E$528,$A38,'Oct 2026'!$I$29:$I$528,"Opening Balance")+SUMIFS('Nov 2026'!$J$29:$J$528,'Nov 2026'!$E$29:$E$528,$A38,'Nov 2026'!$I$29:$I$528,"Opening Balance")+SUMIFS('Dec 2026'!$J$29:$J$528,'Dec 2026'!$E$29:$E$528,$A38,'Dec 2026'!$I$29:$I$528,"Opening Balance")</f>
        <v/>
      </c>
      <c r="E38" s="3">
        <f>C38+D38-B38</f>
        <v/>
      </c>
    </row>
    <row r="39">
      <c r="A39" s="5" t="inlineStr">
        <is>
          <t>Income</t>
        </is>
      </c>
      <c r="B39" s="3">
        <f>SUMIFS('Jan 2026'!$J$29:$J$528,'Jan 2026'!$E$29:$E$528,$A39,'Jan 2026'!$I$29:$I$528,"Expense")+SUMIFS('Feb 2026'!$J$29:$J$528,'Feb 2026'!$E$29:$E$528,$A39,'Feb 2026'!$I$29:$I$528,"Expense")+SUMIFS('Mar 2026'!$J$29:$J$528,'Mar 2026'!$E$29:$E$528,$A39,'Mar 2026'!$I$29:$I$528,"Expense")+SUMIFS('Apr 2026'!$J$29:$J$528,'Apr 2026'!$E$29:$E$528,$A39,'Apr 2026'!$I$29:$I$528,"Expense")+SUMIFS('May 2026'!$J$29:$J$528,'May 2026'!$E$29:$E$528,$A39,'May 2026'!$I$29:$I$528,"Expense")+SUMIFS('Jun 2026'!$J$29:$J$528,'Jun 2026'!$E$29:$E$528,$A39,'Jun 2026'!$I$29:$I$528,"Expense")+SUMIFS('Jul 2026'!$J$29:$J$528,'Jul 2026'!$E$29:$E$528,$A39,'Jul 2026'!$I$29:$I$528,"Expense")+SUMIFS('Aug 2026'!$J$29:$J$528,'Aug 2026'!$E$29:$E$528,$A39,'Aug 2026'!$I$29:$I$528,"Expense")+SUMIFS('Sep 2026'!$J$29:$J$528,'Sep 2026'!$E$29:$E$528,$A39,'Sep 2026'!$I$29:$I$528,"Expense")+SUMIFS('Oct 2026'!$J$29:$J$528,'Oct 2026'!$E$29:$E$528,$A39,'Oct 2026'!$I$29:$I$528,"Expense")+SUMIFS('Nov 2026'!$J$29:$J$528,'Nov 2026'!$E$29:$E$528,$A39,'Nov 2026'!$I$29:$I$528,"Expense")+SUMIFS('Dec 2026'!$J$29:$J$528,'Dec 2026'!$E$29:$E$528,$A39,'Dec 2026'!$I$29:$I$528,"Expense")</f>
        <v/>
      </c>
      <c r="C39" s="3">
        <f>SUMIFS('Jan 2026'!$J$29:$J$528,'Jan 2026'!$E$29:$E$528,$A39,'Jan 2026'!$I$29:$I$528,"Income")+SUMIFS('Feb 2026'!$J$29:$J$528,'Feb 2026'!$E$29:$E$528,$A39,'Feb 2026'!$I$29:$I$528,"Income")+SUMIFS('Mar 2026'!$J$29:$J$528,'Mar 2026'!$E$29:$E$528,$A39,'Mar 2026'!$I$29:$I$528,"Income")+SUMIFS('Apr 2026'!$J$29:$J$528,'Apr 2026'!$E$29:$E$528,$A39,'Apr 2026'!$I$29:$I$528,"Income")+SUMIFS('May 2026'!$J$29:$J$528,'May 2026'!$E$29:$E$528,$A39,'May 2026'!$I$29:$I$528,"Income")+SUMIFS('Jun 2026'!$J$29:$J$528,'Jun 2026'!$E$29:$E$528,$A39,'Jun 2026'!$I$29:$I$528,"Income")+SUMIFS('Jul 2026'!$J$29:$J$528,'Jul 2026'!$E$29:$E$528,$A39,'Jul 2026'!$I$29:$I$528,"Income")+SUMIFS('Aug 2026'!$J$29:$J$528,'Aug 2026'!$E$29:$E$528,$A39,'Aug 2026'!$I$29:$I$528,"Income")+SUMIFS('Sep 2026'!$J$29:$J$528,'Sep 2026'!$E$29:$E$528,$A39,'Sep 2026'!$I$29:$I$528,"Income")+SUMIFS('Oct 2026'!$J$29:$J$528,'Oct 2026'!$E$29:$E$528,$A39,'Oct 2026'!$I$29:$I$528,"Income")+SUMIFS('Nov 2026'!$J$29:$J$528,'Nov 2026'!$E$29:$E$528,$A39,'Nov 2026'!$I$29:$I$528,"Income")+SUMIFS('Dec 2026'!$J$29:$J$528,'Dec 2026'!$E$29:$E$528,$A39,'Dec 2026'!$I$29:$I$528,"Income")</f>
        <v/>
      </c>
      <c r="D39" s="3">
        <f>SUMIFS('Jan 2026'!$J$29:$J$528,'Jan 2026'!$E$29:$E$528,$A39,'Jan 2026'!$I$29:$I$528,"Opening Balance")+SUMIFS('Feb 2026'!$J$29:$J$528,'Feb 2026'!$E$29:$E$528,$A39,'Feb 2026'!$I$29:$I$528,"Opening Balance")+SUMIFS('Mar 2026'!$J$29:$J$528,'Mar 2026'!$E$29:$E$528,$A39,'Mar 2026'!$I$29:$I$528,"Opening Balance")+SUMIFS('Apr 2026'!$J$29:$J$528,'Apr 2026'!$E$29:$E$528,$A39,'Apr 2026'!$I$29:$I$528,"Opening Balance")+SUMIFS('May 2026'!$J$29:$J$528,'May 2026'!$E$29:$E$528,$A39,'May 2026'!$I$29:$I$528,"Opening Balance")+SUMIFS('Jun 2026'!$J$29:$J$528,'Jun 2026'!$E$29:$E$528,$A39,'Jun 2026'!$I$29:$I$528,"Opening Balance")+SUMIFS('Jul 2026'!$J$29:$J$528,'Jul 2026'!$E$29:$E$528,$A39,'Jul 2026'!$I$29:$I$528,"Opening Balance")+SUMIFS('Aug 2026'!$J$29:$J$528,'Aug 2026'!$E$29:$E$528,$A39,'Aug 2026'!$I$29:$I$528,"Opening Balance")+SUMIFS('Sep 2026'!$J$29:$J$528,'Sep 2026'!$E$29:$E$528,$A39,'Sep 2026'!$I$29:$I$528,"Opening Balance")+SUMIFS('Oct 2026'!$J$29:$J$528,'Oct 2026'!$E$29:$E$528,$A39,'Oct 2026'!$I$29:$I$528,"Opening Balance")+SUMIFS('Nov 2026'!$J$29:$J$528,'Nov 2026'!$E$29:$E$528,$A39,'Nov 2026'!$I$29:$I$528,"Opening Balance")+SUMIFS('Dec 2026'!$J$29:$J$528,'Dec 2026'!$E$29:$E$528,$A39,'Dec 2026'!$I$29:$I$528,"Opening Balance")</f>
        <v/>
      </c>
      <c r="E39" s="3">
        <f>C39+D39-B39</f>
        <v/>
      </c>
    </row>
    <row r="40">
      <c r="A40" s="5" t="inlineStr">
        <is>
          <t>Transfers</t>
        </is>
      </c>
      <c r="B40" s="3">
        <f>SUMIFS('Jan 2026'!$J$29:$J$528,'Jan 2026'!$E$29:$E$528,$A40,'Jan 2026'!$I$29:$I$528,"Expense")+SUMIFS('Feb 2026'!$J$29:$J$528,'Feb 2026'!$E$29:$E$528,$A40,'Feb 2026'!$I$29:$I$528,"Expense")+SUMIFS('Mar 2026'!$J$29:$J$528,'Mar 2026'!$E$29:$E$528,$A40,'Mar 2026'!$I$29:$I$528,"Expense")+SUMIFS('Apr 2026'!$J$29:$J$528,'Apr 2026'!$E$29:$E$528,$A40,'Apr 2026'!$I$29:$I$528,"Expense")+SUMIFS('May 2026'!$J$29:$J$528,'May 2026'!$E$29:$E$528,$A40,'May 2026'!$I$29:$I$528,"Expense")+SUMIFS('Jun 2026'!$J$29:$J$528,'Jun 2026'!$E$29:$E$528,$A40,'Jun 2026'!$I$29:$I$528,"Expense")+SUMIFS('Jul 2026'!$J$29:$J$528,'Jul 2026'!$E$29:$E$528,$A40,'Jul 2026'!$I$29:$I$528,"Expense")+SUMIFS('Aug 2026'!$J$29:$J$528,'Aug 2026'!$E$29:$E$528,$A40,'Aug 2026'!$I$29:$I$528,"Expense")+SUMIFS('Sep 2026'!$J$29:$J$528,'Sep 2026'!$E$29:$E$528,$A40,'Sep 2026'!$I$29:$I$528,"Expense")+SUMIFS('Oct 2026'!$J$29:$J$528,'Oct 2026'!$E$29:$E$528,$A40,'Oct 2026'!$I$29:$I$528,"Expense")+SUMIFS('Nov 2026'!$J$29:$J$528,'Nov 2026'!$E$29:$E$528,$A40,'Nov 2026'!$I$29:$I$528,"Expense")+SUMIFS('Dec 2026'!$J$29:$J$528,'Dec 2026'!$E$29:$E$528,$A40,'Dec 2026'!$I$29:$I$528,"Expense")</f>
        <v/>
      </c>
      <c r="C40" s="3">
        <f>SUMIFS('Jan 2026'!$J$29:$J$528,'Jan 2026'!$E$29:$E$528,$A40,'Jan 2026'!$I$29:$I$528,"Income")+SUMIFS('Feb 2026'!$J$29:$J$528,'Feb 2026'!$E$29:$E$528,$A40,'Feb 2026'!$I$29:$I$528,"Income")+SUMIFS('Mar 2026'!$J$29:$J$528,'Mar 2026'!$E$29:$E$528,$A40,'Mar 2026'!$I$29:$I$528,"Income")+SUMIFS('Apr 2026'!$J$29:$J$528,'Apr 2026'!$E$29:$E$528,$A40,'Apr 2026'!$I$29:$I$528,"Income")+SUMIFS('May 2026'!$J$29:$J$528,'May 2026'!$E$29:$E$528,$A40,'May 2026'!$I$29:$I$528,"Income")+SUMIFS('Jun 2026'!$J$29:$J$528,'Jun 2026'!$E$29:$E$528,$A40,'Jun 2026'!$I$29:$I$528,"Income")+SUMIFS('Jul 2026'!$J$29:$J$528,'Jul 2026'!$E$29:$E$528,$A40,'Jul 2026'!$I$29:$I$528,"Income")+SUMIFS('Aug 2026'!$J$29:$J$528,'Aug 2026'!$E$29:$E$528,$A40,'Aug 2026'!$I$29:$I$528,"Income")+SUMIFS('Sep 2026'!$J$29:$J$528,'Sep 2026'!$E$29:$E$528,$A40,'Sep 2026'!$I$29:$I$528,"Income")+SUMIFS('Oct 2026'!$J$29:$J$528,'Oct 2026'!$E$29:$E$528,$A40,'Oct 2026'!$I$29:$I$528,"Income")+SUMIFS('Nov 2026'!$J$29:$J$528,'Nov 2026'!$E$29:$E$528,$A40,'Nov 2026'!$I$29:$I$528,"Income")+SUMIFS('Dec 2026'!$J$29:$J$528,'Dec 2026'!$E$29:$E$528,$A40,'Dec 2026'!$I$29:$I$528,"Income")</f>
        <v/>
      </c>
      <c r="D40" s="3">
        <f>SUMIFS('Jan 2026'!$J$29:$J$528,'Jan 2026'!$E$29:$E$528,$A40,'Jan 2026'!$I$29:$I$528,"Opening Balance")+SUMIFS('Feb 2026'!$J$29:$J$528,'Feb 2026'!$E$29:$E$528,$A40,'Feb 2026'!$I$29:$I$528,"Opening Balance")+SUMIFS('Mar 2026'!$J$29:$J$528,'Mar 2026'!$E$29:$E$528,$A40,'Mar 2026'!$I$29:$I$528,"Opening Balance")+SUMIFS('Apr 2026'!$J$29:$J$528,'Apr 2026'!$E$29:$E$528,$A40,'Apr 2026'!$I$29:$I$528,"Opening Balance")+SUMIFS('May 2026'!$J$29:$J$528,'May 2026'!$E$29:$E$528,$A40,'May 2026'!$I$29:$I$528,"Opening Balance")+SUMIFS('Jun 2026'!$J$29:$J$528,'Jun 2026'!$E$29:$E$528,$A40,'Jun 2026'!$I$29:$I$528,"Opening Balance")+SUMIFS('Jul 2026'!$J$29:$J$528,'Jul 2026'!$E$29:$E$528,$A40,'Jul 2026'!$I$29:$I$528,"Opening Balance")+SUMIFS('Aug 2026'!$J$29:$J$528,'Aug 2026'!$E$29:$E$528,$A40,'Aug 2026'!$I$29:$I$528,"Opening Balance")+SUMIFS('Sep 2026'!$J$29:$J$528,'Sep 2026'!$E$29:$E$528,$A40,'Sep 2026'!$I$29:$I$528,"Opening Balance")+SUMIFS('Oct 2026'!$J$29:$J$528,'Oct 2026'!$E$29:$E$528,$A40,'Oct 2026'!$I$29:$I$528,"Opening Balance")+SUMIFS('Nov 2026'!$J$29:$J$528,'Nov 2026'!$E$29:$E$528,$A40,'Nov 2026'!$I$29:$I$528,"Opening Balance")+SUMIFS('Dec 2026'!$J$29:$J$528,'Dec 2026'!$E$29:$E$528,$A40,'Dec 2026'!$I$29:$I$528,"Opening Balance")</f>
        <v/>
      </c>
      <c r="E40" s="3">
        <f>C40+D40-B40</f>
        <v/>
      </c>
    </row>
    <row r="41">
      <c r="A41" s="5" t="inlineStr">
        <is>
          <t>Existing Savings</t>
        </is>
      </c>
      <c r="B41" s="3">
        <f>SUMIFS('Jan 2026'!$J$29:$J$528,'Jan 2026'!$E$29:$E$528,$A41,'Jan 2026'!$I$29:$I$528,"Expense")+SUMIFS('Feb 2026'!$J$29:$J$528,'Feb 2026'!$E$29:$E$528,$A41,'Feb 2026'!$I$29:$I$528,"Expense")+SUMIFS('Mar 2026'!$J$29:$J$528,'Mar 2026'!$E$29:$E$528,$A41,'Mar 2026'!$I$29:$I$528,"Expense")+SUMIFS('Apr 2026'!$J$29:$J$528,'Apr 2026'!$E$29:$E$528,$A41,'Apr 2026'!$I$29:$I$528,"Expense")+SUMIFS('May 2026'!$J$29:$J$528,'May 2026'!$E$29:$E$528,$A41,'May 2026'!$I$29:$I$528,"Expense")+SUMIFS('Jun 2026'!$J$29:$J$528,'Jun 2026'!$E$29:$E$528,$A41,'Jun 2026'!$I$29:$I$528,"Expense")+SUMIFS('Jul 2026'!$J$29:$J$528,'Jul 2026'!$E$29:$E$528,$A41,'Jul 2026'!$I$29:$I$528,"Expense")+SUMIFS('Aug 2026'!$J$29:$J$528,'Aug 2026'!$E$29:$E$528,$A41,'Aug 2026'!$I$29:$I$528,"Expense")+SUMIFS('Sep 2026'!$J$29:$J$528,'Sep 2026'!$E$29:$E$528,$A41,'Sep 2026'!$I$29:$I$528,"Expense")+SUMIFS('Oct 2026'!$J$29:$J$528,'Oct 2026'!$E$29:$E$528,$A41,'Oct 2026'!$I$29:$I$528,"Expense")+SUMIFS('Nov 2026'!$J$29:$J$528,'Nov 2026'!$E$29:$E$528,$A41,'Nov 2026'!$I$29:$I$528,"Expense")+SUMIFS('Dec 2026'!$J$29:$J$528,'Dec 2026'!$E$29:$E$528,$A41,'Dec 2026'!$I$29:$I$528,"Expense")</f>
        <v/>
      </c>
      <c r="C41" s="3">
        <f>SUMIFS('Jan 2026'!$J$29:$J$528,'Jan 2026'!$E$29:$E$528,$A41,'Jan 2026'!$I$29:$I$528,"Income")+SUMIFS('Feb 2026'!$J$29:$J$528,'Feb 2026'!$E$29:$E$528,$A41,'Feb 2026'!$I$29:$I$528,"Income")+SUMIFS('Mar 2026'!$J$29:$J$528,'Mar 2026'!$E$29:$E$528,$A41,'Mar 2026'!$I$29:$I$528,"Income")+SUMIFS('Apr 2026'!$J$29:$J$528,'Apr 2026'!$E$29:$E$528,$A41,'Apr 2026'!$I$29:$I$528,"Income")+SUMIFS('May 2026'!$J$29:$J$528,'May 2026'!$E$29:$E$528,$A41,'May 2026'!$I$29:$I$528,"Income")+SUMIFS('Jun 2026'!$J$29:$J$528,'Jun 2026'!$E$29:$E$528,$A41,'Jun 2026'!$I$29:$I$528,"Income")+SUMIFS('Jul 2026'!$J$29:$J$528,'Jul 2026'!$E$29:$E$528,$A41,'Jul 2026'!$I$29:$I$528,"Income")+SUMIFS('Aug 2026'!$J$29:$J$528,'Aug 2026'!$E$29:$E$528,$A41,'Aug 2026'!$I$29:$I$528,"Income")+SUMIFS('Sep 2026'!$J$29:$J$528,'Sep 2026'!$E$29:$E$528,$A41,'Sep 2026'!$I$29:$I$528,"Income")+SUMIFS('Oct 2026'!$J$29:$J$528,'Oct 2026'!$E$29:$E$528,$A41,'Oct 2026'!$I$29:$I$528,"Income")+SUMIFS('Nov 2026'!$J$29:$J$528,'Nov 2026'!$E$29:$E$528,$A41,'Nov 2026'!$I$29:$I$528,"Income")+SUMIFS('Dec 2026'!$J$29:$J$528,'Dec 2026'!$E$29:$E$528,$A41,'Dec 2026'!$I$29:$I$528,"Income")</f>
        <v/>
      </c>
      <c r="D41" s="3">
        <f>SUMIFS('Jan 2026'!$J$29:$J$528,'Jan 2026'!$E$29:$E$528,$A41,'Jan 2026'!$I$29:$I$528,"Opening Balance")+SUMIFS('Feb 2026'!$J$29:$J$528,'Feb 2026'!$E$29:$E$528,$A41,'Feb 2026'!$I$29:$I$528,"Opening Balance")+SUMIFS('Mar 2026'!$J$29:$J$528,'Mar 2026'!$E$29:$E$528,$A41,'Mar 2026'!$I$29:$I$528,"Opening Balance")+SUMIFS('Apr 2026'!$J$29:$J$528,'Apr 2026'!$E$29:$E$528,$A41,'Apr 2026'!$I$29:$I$528,"Opening Balance")+SUMIFS('May 2026'!$J$29:$J$528,'May 2026'!$E$29:$E$528,$A41,'May 2026'!$I$29:$I$528,"Opening Balance")+SUMIFS('Jun 2026'!$J$29:$J$528,'Jun 2026'!$E$29:$E$528,$A41,'Jun 2026'!$I$29:$I$528,"Opening Balance")+SUMIFS('Jul 2026'!$J$29:$J$528,'Jul 2026'!$E$29:$E$528,$A41,'Jul 2026'!$I$29:$I$528,"Opening Balance")+SUMIFS('Aug 2026'!$J$29:$J$528,'Aug 2026'!$E$29:$E$528,$A41,'Aug 2026'!$I$29:$I$528,"Opening Balance")+SUMIFS('Sep 2026'!$J$29:$J$528,'Sep 2026'!$E$29:$E$528,$A41,'Sep 2026'!$I$29:$I$528,"Opening Balance")+SUMIFS('Oct 2026'!$J$29:$J$528,'Oct 2026'!$E$29:$E$528,$A41,'Oct 2026'!$I$29:$I$528,"Opening Balance")+SUMIFS('Nov 2026'!$J$29:$J$528,'Nov 2026'!$E$29:$E$528,$A41,'Nov 2026'!$I$29:$I$528,"Opening Balance")+SUMIFS('Dec 2026'!$J$29:$J$528,'Dec 2026'!$E$29:$E$528,$A41,'Dec 2026'!$I$29:$I$528,"Opening Balance")</f>
        <v/>
      </c>
      <c r="E41" s="3">
        <f>C41+D41-B41</f>
        <v/>
      </c>
    </row>
    <row r="42">
      <c r="A42" s="5" t="inlineStr">
        <is>
          <t>Other</t>
        </is>
      </c>
      <c r="B42" s="3">
        <f>SUMIFS('Jan 2026'!$J$29:$J$528,'Jan 2026'!$E$29:$E$528,$A42,'Jan 2026'!$I$29:$I$528,"Expense")+SUMIFS('Feb 2026'!$J$29:$J$528,'Feb 2026'!$E$29:$E$528,$A42,'Feb 2026'!$I$29:$I$528,"Expense")+SUMIFS('Mar 2026'!$J$29:$J$528,'Mar 2026'!$E$29:$E$528,$A42,'Mar 2026'!$I$29:$I$528,"Expense")+SUMIFS('Apr 2026'!$J$29:$J$528,'Apr 2026'!$E$29:$E$528,$A42,'Apr 2026'!$I$29:$I$528,"Expense")+SUMIFS('May 2026'!$J$29:$J$528,'May 2026'!$E$29:$E$528,$A42,'May 2026'!$I$29:$I$528,"Expense")+SUMIFS('Jun 2026'!$J$29:$J$528,'Jun 2026'!$E$29:$E$528,$A42,'Jun 2026'!$I$29:$I$528,"Expense")+SUMIFS('Jul 2026'!$J$29:$J$528,'Jul 2026'!$E$29:$E$528,$A42,'Jul 2026'!$I$29:$I$528,"Expense")+SUMIFS('Aug 2026'!$J$29:$J$528,'Aug 2026'!$E$29:$E$528,$A42,'Aug 2026'!$I$29:$I$528,"Expense")+SUMIFS('Sep 2026'!$J$29:$J$528,'Sep 2026'!$E$29:$E$528,$A42,'Sep 2026'!$I$29:$I$528,"Expense")+SUMIFS('Oct 2026'!$J$29:$J$528,'Oct 2026'!$E$29:$E$528,$A42,'Oct 2026'!$I$29:$I$528,"Expense")+SUMIFS('Nov 2026'!$J$29:$J$528,'Nov 2026'!$E$29:$E$528,$A42,'Nov 2026'!$I$29:$I$528,"Expense")+SUMIFS('Dec 2026'!$J$29:$J$528,'Dec 2026'!$E$29:$E$528,$A42,'Dec 2026'!$I$29:$I$528,"Expense")</f>
        <v/>
      </c>
      <c r="C42" s="3">
        <f>SUMIFS('Jan 2026'!$J$29:$J$528,'Jan 2026'!$E$29:$E$528,$A42,'Jan 2026'!$I$29:$I$528,"Income")+SUMIFS('Feb 2026'!$J$29:$J$528,'Feb 2026'!$E$29:$E$528,$A42,'Feb 2026'!$I$29:$I$528,"Income")+SUMIFS('Mar 2026'!$J$29:$J$528,'Mar 2026'!$E$29:$E$528,$A42,'Mar 2026'!$I$29:$I$528,"Income")+SUMIFS('Apr 2026'!$J$29:$J$528,'Apr 2026'!$E$29:$E$528,$A42,'Apr 2026'!$I$29:$I$528,"Income")+SUMIFS('May 2026'!$J$29:$J$528,'May 2026'!$E$29:$E$528,$A42,'May 2026'!$I$29:$I$528,"Income")+SUMIFS('Jun 2026'!$J$29:$J$528,'Jun 2026'!$E$29:$E$528,$A42,'Jun 2026'!$I$29:$I$528,"Income")+SUMIFS('Jul 2026'!$J$29:$J$528,'Jul 2026'!$E$29:$E$528,$A42,'Jul 2026'!$I$29:$I$528,"Income")+SUMIFS('Aug 2026'!$J$29:$J$528,'Aug 2026'!$E$29:$E$528,$A42,'Aug 2026'!$I$29:$I$528,"Income")+SUMIFS('Sep 2026'!$J$29:$J$528,'Sep 2026'!$E$29:$E$528,$A42,'Sep 2026'!$I$29:$I$528,"Income")+SUMIFS('Oct 2026'!$J$29:$J$528,'Oct 2026'!$E$29:$E$528,$A42,'Oct 2026'!$I$29:$I$528,"Income")+SUMIFS('Nov 2026'!$J$29:$J$528,'Nov 2026'!$E$29:$E$528,$A42,'Nov 2026'!$I$29:$I$528,"Income")+SUMIFS('Dec 2026'!$J$29:$J$528,'Dec 2026'!$E$29:$E$528,$A42,'Dec 2026'!$I$29:$I$528,"Income")</f>
        <v/>
      </c>
      <c r="D42" s="3">
        <f>SUMIFS('Jan 2026'!$J$29:$J$528,'Jan 2026'!$E$29:$E$528,$A42,'Jan 2026'!$I$29:$I$528,"Opening Balance")+SUMIFS('Feb 2026'!$J$29:$J$528,'Feb 2026'!$E$29:$E$528,$A42,'Feb 2026'!$I$29:$I$528,"Opening Balance")+SUMIFS('Mar 2026'!$J$29:$J$528,'Mar 2026'!$E$29:$E$528,$A42,'Mar 2026'!$I$29:$I$528,"Opening Balance")+SUMIFS('Apr 2026'!$J$29:$J$528,'Apr 2026'!$E$29:$E$528,$A42,'Apr 2026'!$I$29:$I$528,"Opening Balance")+SUMIFS('May 2026'!$J$29:$J$528,'May 2026'!$E$29:$E$528,$A42,'May 2026'!$I$29:$I$528,"Opening Balance")+SUMIFS('Jun 2026'!$J$29:$J$528,'Jun 2026'!$E$29:$E$528,$A42,'Jun 2026'!$I$29:$I$528,"Opening Balance")+SUMIFS('Jul 2026'!$J$29:$J$528,'Jul 2026'!$E$29:$E$528,$A42,'Jul 2026'!$I$29:$I$528,"Opening Balance")+SUMIFS('Aug 2026'!$J$29:$J$528,'Aug 2026'!$E$29:$E$528,$A42,'Aug 2026'!$I$29:$I$528,"Opening Balance")+SUMIFS('Sep 2026'!$J$29:$J$528,'Sep 2026'!$E$29:$E$528,$A42,'Sep 2026'!$I$29:$I$528,"Opening Balance")+SUMIFS('Oct 2026'!$J$29:$J$528,'Oct 2026'!$E$29:$E$528,$A42,'Oct 2026'!$I$29:$I$528,"Opening Balance")+SUMIFS('Nov 2026'!$J$29:$J$528,'Nov 2026'!$E$29:$E$528,$A42,'Nov 2026'!$I$29:$I$528,"Opening Balance")+SUMIFS('Dec 2026'!$J$29:$J$528,'Dec 2026'!$E$29:$E$528,$A42,'Dec 2026'!$I$29:$I$528,"Opening Balance")</f>
        <v/>
      </c>
      <c r="E42" s="3">
        <f>C42+D42-B42</f>
        <v/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January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February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March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April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May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June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July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August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>4988</v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>2741.56</v>
      </c>
      <c r="D6" s="5" t="inlineStr">
        <is>
          <t>Housing</t>
        </is>
      </c>
      <c r="E6" s="3">
        <f>SUMIFS($J$29:$J$528,$E$29:$E$528,$D6,$I$29:$I$528,"Expense")</f>
        <v>1100</v>
      </c>
      <c r="F6" s="3">
        <f>SUMIFS($J$29:$J$528,$E$29:$E$528,$D6,$I$29:$I$528,"Income")</f>
        <v>0</v>
      </c>
      <c r="G6" s="3">
        <f>SUMIFS($J$29:$J$528,$E$29:$E$528,$D6,$I$29:$I$528,"Opening Balance")</f>
        <v>0</v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>0</v>
      </c>
      <c r="K6" s="3">
        <f>J6-I6</f>
        <v>-1100</v>
      </c>
    </row>
    <row r="7">
      <c r="A7" s="5" t="inlineStr">
        <is>
          <t>Existing Savings</t>
        </is>
      </c>
      <c r="B7" s="3">
        <f>SUMIFS($J$29:$J$528,$I$29:$I$528,"Opening Balance")</f>
        <v>7300</v>
      </c>
      <c r="D7" s="5" t="inlineStr">
        <is>
          <t>Utilities</t>
        </is>
      </c>
      <c r="E7" s="3">
        <f>SUMIFS($J$29:$J$528,$E$29:$E$528,$D7,$I$29:$I$528,"Expense")</f>
        <v>67.72</v>
      </c>
      <c r="F7" s="3">
        <f>SUMIFS($J$29:$J$528,$E$29:$E$528,$D7,$I$29:$I$528,"Income")</f>
        <v>0</v>
      </c>
      <c r="G7" s="3">
        <f>SUMIFS($J$29:$J$528,$E$29:$E$528,$D7,$I$29:$I$528,"Opening Balance")</f>
        <v>0</v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>0</v>
      </c>
      <c r="K7" s="3">
        <f>J7-I7</f>
        <v>0</v>
      </c>
    </row>
    <row r="8">
      <c r="A8" s="5" t="inlineStr">
        <is>
          <t>Transfers</t>
        </is>
      </c>
      <c r="B8" s="3">
        <f>SUMIFS($J$29:$J$528,$I$29:$I$528,"Transfer")</f>
        <v>1700</v>
      </c>
      <c r="D8" s="5" t="inlineStr">
        <is>
          <t>Groceries</t>
        </is>
      </c>
      <c r="E8" s="3">
        <f>SUMIFS($J$29:$J$528,$E$29:$E$528,$D8,$I$29:$I$528,"Expense")</f>
        <v>394.07</v>
      </c>
      <c r="F8" s="3">
        <f>SUMIFS($J$29:$J$528,$E$29:$E$528,$D8,$I$29:$I$528,"Income")</f>
        <v>0</v>
      </c>
      <c r="G8" s="3">
        <f>SUMIFS($J$29:$J$528,$E$29:$E$528,$D8,$I$29:$I$528,"Opening Balance")</f>
        <v>0</v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>0</v>
      </c>
      <c r="K8" s="3">
        <f>J8-I8</f>
        <v>-546.27</v>
      </c>
    </row>
    <row r="9">
      <c r="A9" s="5" t="inlineStr">
        <is>
          <t>Net Cash Flow</t>
        </is>
      </c>
      <c r="B9" s="3">
        <f>B5-B6</f>
        <v>2246.44</v>
      </c>
      <c r="D9" s="5" t="inlineStr">
        <is>
          <t>Dining</t>
        </is>
      </c>
      <c r="E9" s="3">
        <f>SUMIFS($J$29:$J$528,$E$29:$E$528,$D9,$I$29:$I$528,"Expense")</f>
        <v>350.01</v>
      </c>
      <c r="F9" s="3">
        <f>SUMIFS($J$29:$J$528,$E$29:$E$528,$D9,$I$29:$I$528,"Income")</f>
        <v>0</v>
      </c>
      <c r="G9" s="3">
        <f>SUMIFS($J$29:$J$528,$E$29:$E$528,$D9,$I$29:$I$528,"Opening Balance")</f>
        <v>0</v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>0</v>
      </c>
      <c r="K9" s="3">
        <f>J9-I9</f>
        <v>-305.07</v>
      </c>
    </row>
    <row r="10">
      <c r="D10" s="5" t="inlineStr">
        <is>
          <t>Transportation</t>
        </is>
      </c>
      <c r="E10" s="3">
        <f>SUMIFS($J$29:$J$528,$E$29:$E$528,$D10,$I$29:$I$528,"Expense")</f>
        <v>107.45</v>
      </c>
      <c r="F10" s="3">
        <f>SUMIFS($J$29:$J$528,$E$29:$E$528,$D10,$I$29:$I$528,"Income")</f>
        <v>0</v>
      </c>
      <c r="G10" s="3">
        <f>SUMIFS($J$29:$J$528,$E$29:$E$528,$D10,$I$29:$I$528,"Opening Balance")</f>
        <v>0</v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>4988</v>
      </c>
      <c r="K10" s="3">
        <f>J10-I10</f>
        <v>4197.78</v>
      </c>
    </row>
    <row r="11">
      <c r="D11" s="5" t="inlineStr">
        <is>
          <t>Health &amp; Medical</t>
        </is>
      </c>
      <c r="E11" s="3">
        <f>SUMIFS($J$29:$J$528,$E$29:$E$528,$D11,$I$29:$I$528,"Expense")</f>
        <v>0</v>
      </c>
      <c r="F11" s="3">
        <f>SUMIFS($J$29:$J$528,$E$29:$E$528,$D11,$I$29:$I$528,"Income")</f>
        <v>0</v>
      </c>
      <c r="G11" s="3">
        <f>SUMIFS($J$29:$J$528,$E$29:$E$528,$D11,$I$29:$I$528,"Opening Balance")</f>
        <v>0</v>
      </c>
    </row>
    <row r="12">
      <c r="D12" s="5" t="inlineStr">
        <is>
          <t>Insurance</t>
        </is>
      </c>
      <c r="E12" s="3">
        <f>SUMIFS($J$29:$J$528,$E$29:$E$528,$D12,$I$29:$I$528,"Expense")</f>
        <v>0</v>
      </c>
      <c r="F12" s="3">
        <f>SUMIFS($J$29:$J$528,$E$29:$E$528,$D12,$I$29:$I$528,"Income")</f>
        <v>0</v>
      </c>
      <c r="G12" s="3">
        <f>SUMIFS($J$29:$J$528,$E$29:$E$528,$D12,$I$29:$I$528,"Opening Balance")</f>
        <v>0</v>
      </c>
    </row>
    <row r="13">
      <c r="D13" s="5" t="inlineStr">
        <is>
          <t>Debt Payments</t>
        </is>
      </c>
      <c r="E13" s="3">
        <f>SUMIFS($J$29:$J$528,$E$29:$E$528,$D13,$I$29:$I$528,"Expense")</f>
        <v>0</v>
      </c>
      <c r="F13" s="3">
        <f>SUMIFS($J$29:$J$528,$E$29:$E$528,$D13,$I$29:$I$528,"Income")</f>
        <v>0</v>
      </c>
      <c r="G13" s="3">
        <f>SUMIFS($J$29:$J$528,$E$29:$E$528,$D13,$I$29:$I$528,"Opening Balance")</f>
        <v>0</v>
      </c>
    </row>
    <row r="14">
      <c r="D14" s="5" t="inlineStr">
        <is>
          <t>Savings &amp; Investments</t>
        </is>
      </c>
      <c r="E14" s="3">
        <f>SUMIFS($J$29:$J$528,$E$29:$E$528,$D14,$I$29:$I$528,"Expense")</f>
        <v>0</v>
      </c>
      <c r="F14" s="3">
        <f>SUMIFS($J$29:$J$528,$E$29:$E$528,$D14,$I$29:$I$528,"Income")</f>
        <v>0</v>
      </c>
      <c r="G14" s="3">
        <f>SUMIFS($J$29:$J$528,$E$29:$E$528,$D14,$I$29:$I$528,"Opening Balance")</f>
        <v>0</v>
      </c>
    </row>
    <row r="15">
      <c r="D15" s="5" t="inlineStr">
        <is>
          <t>Personal Care</t>
        </is>
      </c>
      <c r="E15" s="3">
        <f>SUMIFS($J$29:$J$528,$E$29:$E$528,$D15,$I$29:$I$528,"Expense")</f>
        <v>0</v>
      </c>
      <c r="F15" s="3">
        <f>SUMIFS($J$29:$J$528,$E$29:$E$528,$D15,$I$29:$I$528,"Income")</f>
        <v>0</v>
      </c>
      <c r="G15" s="3">
        <f>SUMIFS($J$29:$J$528,$E$29:$E$528,$D15,$I$29:$I$528,"Opening Balance")</f>
        <v>0</v>
      </c>
    </row>
    <row r="16">
      <c r="D16" s="5" t="inlineStr">
        <is>
          <t>Shopping</t>
        </is>
      </c>
      <c r="E16" s="3">
        <f>SUMIFS($J$29:$J$528,$E$29:$E$528,$D16,$I$29:$I$528,"Expense")</f>
        <v>78.32</v>
      </c>
      <c r="F16" s="3">
        <f>SUMIFS($J$29:$J$528,$E$29:$E$528,$D16,$I$29:$I$528,"Income")</f>
        <v>0</v>
      </c>
      <c r="G16" s="3">
        <f>SUMIFS($J$29:$J$528,$E$29:$E$528,$D16,$I$29:$I$528,"Opening Balance")</f>
        <v>0</v>
      </c>
    </row>
    <row r="17">
      <c r="D17" s="5" t="inlineStr">
        <is>
          <t>Entertainment</t>
        </is>
      </c>
      <c r="E17" s="3">
        <f>SUMIFS($J$29:$J$528,$E$29:$E$528,$D17,$I$29:$I$528,"Expense")</f>
        <v>332.82</v>
      </c>
      <c r="F17" s="3">
        <f>SUMIFS($J$29:$J$528,$E$29:$E$528,$D17,$I$29:$I$528,"Income")</f>
        <v>0</v>
      </c>
      <c r="G17" s="3">
        <f>SUMIFS($J$29:$J$528,$E$29:$E$528,$D17,$I$29:$I$528,"Opening Balance")</f>
        <v>0</v>
      </c>
    </row>
    <row r="18">
      <c r="D18" s="5" t="inlineStr">
        <is>
          <t>Travel</t>
        </is>
      </c>
      <c r="E18" s="3">
        <f>SUMIFS($J$29:$J$528,$E$29:$E$528,$D18,$I$29:$I$528,"Expense")</f>
        <v>0</v>
      </c>
      <c r="F18" s="3">
        <f>SUMIFS($J$29:$J$528,$E$29:$E$528,$D18,$I$29:$I$528,"Income")</f>
        <v>0</v>
      </c>
      <c r="G18" s="3">
        <f>SUMIFS($J$29:$J$528,$E$29:$E$528,$D18,$I$29:$I$528,"Opening Balance")</f>
        <v>0</v>
      </c>
    </row>
    <row r="19">
      <c r="D19" s="5" t="inlineStr">
        <is>
          <t>Education</t>
        </is>
      </c>
      <c r="E19" s="3">
        <f>SUMIFS($J$29:$J$528,$E$29:$E$528,$D19,$I$29:$I$528,"Expense")</f>
        <v>0</v>
      </c>
      <c r="F19" s="3">
        <f>SUMIFS($J$29:$J$528,$E$29:$E$528,$D19,$I$29:$I$528,"Income")</f>
        <v>0</v>
      </c>
      <c r="G19" s="3">
        <f>SUMIFS($J$29:$J$528,$E$29:$E$528,$D19,$I$29:$I$528,"Opening Balance")</f>
        <v>0</v>
      </c>
    </row>
    <row r="20">
      <c r="D20" s="5" t="inlineStr">
        <is>
          <t>Gifts &amp; Donations</t>
        </is>
      </c>
      <c r="E20" s="3">
        <f>SUMIFS($J$29:$J$528,$E$29:$E$528,$D20,$I$29:$I$528,"Expense")</f>
        <v>0</v>
      </c>
      <c r="F20" s="3">
        <f>SUMIFS($J$29:$J$528,$E$29:$E$528,$D20,$I$29:$I$528,"Income")</f>
        <v>0</v>
      </c>
      <c r="G20" s="3">
        <f>SUMIFS($J$29:$J$528,$E$29:$E$528,$D20,$I$29:$I$528,"Opening Balance")</f>
        <v>0</v>
      </c>
    </row>
    <row r="21">
      <c r="D21" s="5" t="inlineStr">
        <is>
          <t>Taxes</t>
        </is>
      </c>
      <c r="E21" s="3">
        <f>SUMIFS($J$29:$J$528,$E$29:$E$528,$D21,$I$29:$I$528,"Expense")</f>
        <v>0</v>
      </c>
      <c r="F21" s="3">
        <f>SUMIFS($J$29:$J$528,$E$29:$E$528,$D21,$I$29:$I$528,"Income")</f>
        <v>0</v>
      </c>
      <c r="G21" s="3">
        <f>SUMIFS($J$29:$J$528,$E$29:$E$528,$D21,$I$29:$I$528,"Opening Balance")</f>
        <v>0</v>
      </c>
    </row>
    <row r="22">
      <c r="D22" s="5" t="inlineStr">
        <is>
          <t>Shipping</t>
        </is>
      </c>
      <c r="E22" s="3">
        <f>SUMIFS($J$29:$J$528,$E$29:$E$528,$D22,$I$29:$I$528,"Expense")</f>
        <v>165.75</v>
      </c>
      <c r="F22" s="3">
        <f>SUMIFS($J$29:$J$528,$E$29:$E$528,$D22,$I$29:$I$528,"Income")</f>
        <v>0</v>
      </c>
      <c r="G22" s="3">
        <f>SUMIFS($J$29:$J$528,$E$29:$E$528,$D22,$I$29:$I$528,"Opening Balance")</f>
        <v>0</v>
      </c>
    </row>
    <row r="23">
      <c r="D23" s="5" t="inlineStr">
        <is>
          <t>Income</t>
        </is>
      </c>
      <c r="E23" s="3">
        <f>SUMIFS($J$29:$J$528,$E$29:$E$528,$D23,$I$29:$I$528,"Expense")</f>
        <v>0</v>
      </c>
      <c r="F23" s="3">
        <f>SUMIFS($J$29:$J$528,$E$29:$E$528,$D23,$I$29:$I$528,"Income")</f>
        <v>4988</v>
      </c>
      <c r="G23" s="3">
        <f>SUMIFS($J$29:$J$528,$E$29:$E$528,$D23,$I$29:$I$528,"Opening Balance")</f>
        <v>0</v>
      </c>
    </row>
    <row r="24">
      <c r="D24" s="5" t="inlineStr">
        <is>
          <t>Transfers</t>
        </is>
      </c>
      <c r="E24" s="3">
        <f>SUMIFS($J$29:$J$528,$E$29:$E$528,$D24,$I$29:$I$528,"Expense")</f>
        <v>0</v>
      </c>
      <c r="F24" s="3">
        <f>SUMIFS($J$29:$J$528,$E$29:$E$528,$D24,$I$29:$I$528,"Income")</f>
        <v>0</v>
      </c>
      <c r="G24" s="3">
        <f>SUMIFS($J$29:$J$528,$E$29:$E$528,$D24,$I$29:$I$528,"Opening Balance")</f>
        <v>0</v>
      </c>
    </row>
    <row r="25">
      <c r="D25" s="5" t="inlineStr">
        <is>
          <t>Existing Savings</t>
        </is>
      </c>
      <c r="E25" s="3">
        <f>SUMIFS($J$29:$J$528,$E$29:$E$528,$D25,$I$29:$I$528,"Expense")</f>
        <v>0</v>
      </c>
      <c r="F25" s="3">
        <f>SUMIFS($J$29:$J$528,$E$29:$E$528,$D25,$I$29:$I$528,"Income")</f>
        <v>0</v>
      </c>
      <c r="G25" s="3">
        <f>SUMIFS($J$29:$J$528,$E$29:$E$528,$D25,$I$29:$I$528,"Opening Balance")</f>
        <v>7300</v>
      </c>
    </row>
    <row r="26">
      <c r="D26" s="5" t="inlineStr">
        <is>
          <t>Essentials</t>
        </is>
      </c>
      <c r="E26" s="3">
        <f>SUMIFS($J$29:$J$528,$E$29:$E$528,$D26,$I$29:$I$528,"Expense")</f>
        <v>142.42</v>
      </c>
      <c r="F26" s="3">
        <f>SUMIFS($J$29:$J$528,$E$29:$E$528,$D26,$I$29:$I$528,"Income")</f>
        <v>0</v>
      </c>
      <c r="G26" s="3">
        <f>SUMIFS($J$29:$J$528,$E$29:$E$528,$D26,$I$29:$I$528,"Opening Balance")</f>
        <v>0</v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>
        <v>46244</v>
      </c>
      <c r="B29" s="9">
        <f>IF(A29="","",IF(DAY(A29)&lt;=2,1,IF(DAY(A29)&lt;=9,2,IF(DAY(A29)&lt;=16,3,IF(DAY(A29)&lt;=23,4,5)))))</f>
        <v/>
      </c>
      <c r="C29" s="9" t="inlineStr">
        <is>
          <t>DEPOSIT ID NUMBER 503240</t>
        </is>
      </c>
      <c r="D29" s="9" t="inlineStr">
        <is>
          <t>Existing Savings</t>
        </is>
      </c>
      <c r="E29" s="9" t="inlineStr">
        <is>
          <t>Existing Savings</t>
        </is>
      </c>
      <c r="F29" s="9" t="inlineStr">
        <is>
          <t>Starting balance</t>
        </is>
      </c>
      <c r="G29" s="9" t="inlineStr">
        <is>
          <t>Savings</t>
        </is>
      </c>
      <c r="H29" s="9" t="inlineStr">
        <is>
          <t>Bank Transfer</t>
        </is>
      </c>
      <c r="I29" s="9" t="inlineStr">
        <is>
          <t>Opening Balance</t>
        </is>
      </c>
      <c r="J29" s="3" t="n">
        <v>3200</v>
      </c>
      <c r="K29" s="9" t="inlineStr">
        <is>
          <t>8월 3주차; Chase Secure (...7259); Balance shown: $3,200.00; Reclassified from income to existing savings</t>
        </is>
      </c>
    </row>
    <row r="30">
      <c r="A30" s="4" t="n">
        <v>46244</v>
      </c>
      <c r="B30" s="9">
        <f>IF(A30="","",IF(DAY(A30)&lt;=2,1,IF(DAY(A30)&lt;=9,2,IF(DAY(A30)&lt;=16,3,IF(DAY(A30)&lt;=23,4,5)))))</f>
        <v/>
      </c>
      <c r="C30" s="9" t="inlineStr">
        <is>
          <t>HOMEGOODS #0515 NEW YORK NY 028967 08/10</t>
        </is>
      </c>
      <c r="D30" s="9" t="inlineStr">
        <is>
          <t>HomeGoods</t>
        </is>
      </c>
      <c r="E30" s="9" t="inlineStr">
        <is>
          <t>Essentials</t>
        </is>
      </c>
      <c r="F30" s="9" t="inlineStr">
        <is>
          <t>Home goods</t>
        </is>
      </c>
      <c r="G30" s="9" t="inlineStr">
        <is>
          <t>Checking</t>
        </is>
      </c>
      <c r="H30" s="9" t="inlineStr">
        <is>
          <t>Debit Card</t>
        </is>
      </c>
      <c r="I30" s="9" t="inlineStr">
        <is>
          <t>Expense</t>
        </is>
      </c>
      <c r="J30" s="3" t="n">
        <v>16.32</v>
      </c>
      <c r="K30" s="9" t="inlineStr">
        <is>
          <t>8월 3주차; Chase Secure (...7259); Balance shown: $3,183.68</t>
        </is>
      </c>
    </row>
    <row r="31">
      <c r="A31" s="4" t="n">
        <v>46244</v>
      </c>
      <c r="B31" s="9">
        <f>IF(A31="","",IF(DAY(A31)&lt;=2,1,IF(DAY(A31)&lt;=9,2,IF(DAY(A31)&lt;=16,3,IF(DAY(A31)&lt;=23,4,5)))))</f>
        <v/>
      </c>
      <c r="C31" s="9" t="inlineStr">
        <is>
          <t>T-MOBILE 2563 BROADWAY NEW YORK NY 566367 08/10</t>
        </is>
      </c>
      <c r="D31" s="9" t="inlineStr">
        <is>
          <t>T-Mobile</t>
        </is>
      </c>
      <c r="E31" s="9" t="inlineStr">
        <is>
          <t>Utilities</t>
        </is>
      </c>
      <c r="F31" s="9" t="inlineStr">
        <is>
          <t>Mobile phone</t>
        </is>
      </c>
      <c r="G31" s="9" t="inlineStr">
        <is>
          <t>Checking</t>
        </is>
      </c>
      <c r="H31" s="9" t="inlineStr">
        <is>
          <t>Debit Card</t>
        </is>
      </c>
      <c r="I31" s="9" t="inlineStr">
        <is>
          <t>Expense</t>
        </is>
      </c>
      <c r="J31" s="3" t="n">
        <v>61.08</v>
      </c>
      <c r="K31" s="9" t="inlineStr">
        <is>
          <t>8월 3주차; Chase Secure (...7259); Balance shown: $3,122.60</t>
        </is>
      </c>
    </row>
    <row r="32">
      <c r="A32" s="4" t="n">
        <v>46244</v>
      </c>
      <c r="B32" s="9">
        <f>IF(A32="","",IF(DAY(A32)&lt;=2,1,IF(DAY(A32)&lt;=9,2,IF(DAY(A32)&lt;=16,3,IF(DAY(A32)&lt;=23,4,5)))))</f>
        <v/>
      </c>
      <c r="C32" s="9" t="inlineStr">
        <is>
          <t>MTA*NYCT PAYGO NEW YORK NY 08/10</t>
        </is>
      </c>
      <c r="D32" s="9" t="inlineStr">
        <is>
          <t>MTA NYCT Paygo</t>
        </is>
      </c>
      <c r="E32" s="9" t="inlineStr">
        <is>
          <t>Transportation</t>
        </is>
      </c>
      <c r="F32" s="9" t="inlineStr">
        <is>
          <t>Public transit</t>
        </is>
      </c>
      <c r="G32" s="9" t="inlineStr">
        <is>
          <t>Checking</t>
        </is>
      </c>
      <c r="H32" s="9" t="inlineStr">
        <is>
          <t>Debit Card</t>
        </is>
      </c>
      <c r="I32" s="9" t="inlineStr">
        <is>
          <t>Expense</t>
        </is>
      </c>
      <c r="J32" s="3" t="n">
        <v>3</v>
      </c>
      <c r="K32" s="9" t="inlineStr">
        <is>
          <t>8월 3주차; Chase Secure (...7259); Balance shown: $3,119.60</t>
        </is>
      </c>
    </row>
    <row r="33">
      <c r="A33" s="4" t="n">
        <v>46244</v>
      </c>
      <c r="B33" s="9">
        <f>IF(A33="","",IF(DAY(A33)&lt;=2,1,IF(DAY(A33)&lt;=9,2,IF(DAY(A33)&lt;=16,3,IF(DAY(A33)&lt;=23,4,5)))))</f>
        <v/>
      </c>
      <c r="C33" s="9" t="inlineStr">
        <is>
          <t>MTA*NYCT PAYGO NEW YORK NY 08/10</t>
        </is>
      </c>
      <c r="D33" s="9" t="inlineStr">
        <is>
          <t>MTA NYCT Paygo</t>
        </is>
      </c>
      <c r="E33" s="9" t="inlineStr">
        <is>
          <t>Transportation</t>
        </is>
      </c>
      <c r="F33" s="9" t="inlineStr">
        <is>
          <t>Public transit</t>
        </is>
      </c>
      <c r="G33" s="9" t="inlineStr">
        <is>
          <t>Checking</t>
        </is>
      </c>
      <c r="H33" s="9" t="inlineStr">
        <is>
          <t>Debit Card</t>
        </is>
      </c>
      <c r="I33" s="9" t="inlineStr">
        <is>
          <t>Expense</t>
        </is>
      </c>
      <c r="J33" s="3" t="n">
        <v>3</v>
      </c>
      <c r="K33" s="9" t="inlineStr">
        <is>
          <t>8월 3주차; Chase Secure (...7259); Balance shown: $3,116.60</t>
        </is>
      </c>
    </row>
    <row r="34">
      <c r="A34" s="4" t="n">
        <v>46245</v>
      </c>
      <c r="B34" s="9">
        <f>IF(A34="","",IF(DAY(A34)&lt;=2,1,IF(DAY(A34)&lt;=9,2,IF(DAY(A34)&lt;=16,3,IF(DAY(A34)&lt;=23,4,5)))))</f>
        <v/>
      </c>
      <c r="C34" s="9" t="inlineStr">
        <is>
          <t>TARGET STORE T-3 10 UN NEW YORK NY 593369 08/11</t>
        </is>
      </c>
      <c r="D34" s="9" t="inlineStr">
        <is>
          <t>Target</t>
        </is>
      </c>
      <c r="E34" s="9" t="inlineStr">
        <is>
          <t>Essentials</t>
        </is>
      </c>
      <c r="F34" s="9" t="inlineStr">
        <is>
          <t>Retail</t>
        </is>
      </c>
      <c r="G34" s="9" t="inlineStr">
        <is>
          <t>Checking</t>
        </is>
      </c>
      <c r="H34" s="9" t="inlineStr">
        <is>
          <t>Debit Card</t>
        </is>
      </c>
      <c r="I34" s="9" t="inlineStr">
        <is>
          <t>Expense</t>
        </is>
      </c>
      <c r="J34" s="3" t="n">
        <v>32.72</v>
      </c>
      <c r="K34" s="9" t="inlineStr">
        <is>
          <t>8월 3주차; Chase Secure (...7259); Balance shown: $3,083.88</t>
        </is>
      </c>
    </row>
    <row r="35">
      <c r="A35" s="4" t="n">
        <v>46245</v>
      </c>
      <c r="B35" s="9">
        <f>IF(A35="","",IF(DAY(A35)&lt;=2,1,IF(DAY(A35)&lt;=9,2,IF(DAY(A35)&lt;=16,3,IF(DAY(A35)&lt;=23,4,5)))))</f>
        <v/>
      </c>
      <c r="C35" s="9" t="inlineStr">
        <is>
          <t>TRADER JOE S #54 142 E NEW YORK NY 031581 08/11</t>
        </is>
      </c>
      <c r="D35" s="9" t="inlineStr">
        <is>
          <t>Trader Joe's</t>
        </is>
      </c>
      <c r="E35" s="9" t="inlineStr">
        <is>
          <t>Groceries</t>
        </is>
      </c>
      <c r="F35" s="9" t="inlineStr">
        <is>
          <t>Groceries</t>
        </is>
      </c>
      <c r="G35" s="9" t="inlineStr">
        <is>
          <t>Checking</t>
        </is>
      </c>
      <c r="H35" s="9" t="inlineStr">
        <is>
          <t>Debit Card</t>
        </is>
      </c>
      <c r="I35" s="9" t="inlineStr">
        <is>
          <t>Expense</t>
        </is>
      </c>
      <c r="J35" s="3" t="n">
        <v>2.99</v>
      </c>
      <c r="K35" s="9" t="inlineStr">
        <is>
          <t>8월 3주차; Chase Secure (...7259); Balance shown: $3,080.89</t>
        </is>
      </c>
    </row>
    <row r="36">
      <c r="A36" s="4" t="n">
        <v>46245</v>
      </c>
      <c r="B36" s="9">
        <f>IF(A36="","",IF(DAY(A36)&lt;=2,1,IF(DAY(A36)&lt;=9,2,IF(DAY(A36)&lt;=16,3,IF(DAY(A36)&lt;=23,4,5)))))</f>
        <v/>
      </c>
      <c r="C36" s="9" t="inlineStr">
        <is>
          <t>TRADER JOE S #54 142 E NEW YORK NY 736951 08/11</t>
        </is>
      </c>
      <c r="D36" s="9" t="inlineStr">
        <is>
          <t>Trader Joe's</t>
        </is>
      </c>
      <c r="E36" s="9" t="inlineStr">
        <is>
          <t>Groceries</t>
        </is>
      </c>
      <c r="F36" s="9" t="inlineStr">
        <is>
          <t>Groceries</t>
        </is>
      </c>
      <c r="G36" s="9" t="inlineStr">
        <is>
          <t>Checking</t>
        </is>
      </c>
      <c r="H36" s="9" t="inlineStr">
        <is>
          <t>Debit Card</t>
        </is>
      </c>
      <c r="I36" s="9" t="inlineStr">
        <is>
          <t>Expense</t>
        </is>
      </c>
      <c r="J36" s="3" t="n">
        <v>18.99</v>
      </c>
      <c r="K36" s="9" t="inlineStr">
        <is>
          <t>8월 3주차; Chase Secure (...7259); Balance shown: $3,061.90</t>
        </is>
      </c>
    </row>
    <row r="37">
      <c r="A37" s="4" t="n">
        <v>46245</v>
      </c>
      <c r="B37" s="9">
        <f>IF(A37="","",IF(DAY(A37)&lt;=2,1,IF(DAY(A37)&lt;=9,2,IF(DAY(A37)&lt;=16,3,IF(DAY(A37)&lt;=23,4,5)))))</f>
        <v/>
      </c>
      <c r="C37" s="9" t="inlineStr">
        <is>
          <t>TST*BOS BAGELS - HARLEM NEW YORK NY 08/11</t>
        </is>
      </c>
      <c r="D37" s="9" t="inlineStr">
        <is>
          <t>Bo's Bagels Harlem</t>
        </is>
      </c>
      <c r="E37" s="9" t="inlineStr">
        <is>
          <t>Dining</t>
        </is>
      </c>
      <c r="F37" s="9" t="inlineStr">
        <is>
          <t>Bakery/Cafe</t>
        </is>
      </c>
      <c r="G37" s="9" t="inlineStr">
        <is>
          <t>Checking</t>
        </is>
      </c>
      <c r="H37" s="9" t="inlineStr">
        <is>
          <t>Debit Card</t>
        </is>
      </c>
      <c r="I37" s="9" t="inlineStr">
        <is>
          <t>Expense</t>
        </is>
      </c>
      <c r="J37" s="3" t="n">
        <v>16.15</v>
      </c>
      <c r="K37" s="9" t="inlineStr">
        <is>
          <t>8월 3주차; Chase Secure (...7259); Balance shown: $3,045.75</t>
        </is>
      </c>
    </row>
    <row r="38">
      <c r="A38" s="4" t="n">
        <v>46245</v>
      </c>
      <c r="B38" s="9">
        <f>IF(A38="","",IF(DAY(A38)&lt;=2,1,IF(DAY(A38)&lt;=9,2,IF(DAY(A38)&lt;=16,3,IF(DAY(A38)&lt;=23,4,5)))))</f>
        <v/>
      </c>
      <c r="C38" s="9" t="inlineStr">
        <is>
          <t>MTA*NYCT PAYGO NEW YORK NY 08/11</t>
        </is>
      </c>
      <c r="D38" s="9" t="inlineStr">
        <is>
          <t>MTA NYCT Paygo</t>
        </is>
      </c>
      <c r="E38" s="9" t="inlineStr">
        <is>
          <t>Transportation</t>
        </is>
      </c>
      <c r="F38" s="9" t="inlineStr">
        <is>
          <t>Public transit</t>
        </is>
      </c>
      <c r="G38" s="9" t="inlineStr">
        <is>
          <t>Checking</t>
        </is>
      </c>
      <c r="H38" s="9" t="inlineStr">
        <is>
          <t>Debit Card</t>
        </is>
      </c>
      <c r="I38" s="9" t="inlineStr">
        <is>
          <t>Expense</t>
        </is>
      </c>
      <c r="J38" s="3" t="n">
        <v>3</v>
      </c>
      <c r="K38" s="9" t="inlineStr">
        <is>
          <t>8월 3주차; Chase Secure (...7259); Balance shown: $3,042.75</t>
        </is>
      </c>
    </row>
    <row r="39">
      <c r="A39" s="4" t="n">
        <v>46245</v>
      </c>
      <c r="B39" s="9">
        <f>IF(A39="","",IF(DAY(A39)&lt;=2,1,IF(DAY(A39)&lt;=9,2,IF(DAY(A39)&lt;=16,3,IF(DAY(A39)&lt;=23,4,5)))))</f>
        <v/>
      </c>
      <c r="C39" s="9" t="inlineStr">
        <is>
          <t>MTA*NYCT PAYGO NEW YORK NY 08/11</t>
        </is>
      </c>
      <c r="D39" s="9" t="inlineStr">
        <is>
          <t>MTA NYCT Paygo</t>
        </is>
      </c>
      <c r="E39" s="9" t="inlineStr">
        <is>
          <t>Transportation</t>
        </is>
      </c>
      <c r="F39" s="9" t="inlineStr">
        <is>
          <t>Public transit</t>
        </is>
      </c>
      <c r="G39" s="9" t="inlineStr">
        <is>
          <t>Checking</t>
        </is>
      </c>
      <c r="H39" s="9" t="inlineStr">
        <is>
          <t>Debit Card</t>
        </is>
      </c>
      <c r="I39" s="9" t="inlineStr">
        <is>
          <t>Expense</t>
        </is>
      </c>
      <c r="J39" s="3" t="n">
        <v>3</v>
      </c>
      <c r="K39" s="9" t="inlineStr">
        <is>
          <t>8월 3주차; Chase Secure (...7259); Balance shown: $3,039.75</t>
        </is>
      </c>
    </row>
    <row r="40">
      <c r="A40" s="4" t="n">
        <v>46245</v>
      </c>
      <c r="B40" s="9">
        <f>IF(A40="","",IF(DAY(A40)&lt;=2,1,IF(DAY(A40)&lt;=9,2,IF(DAY(A40)&lt;=16,3,IF(DAY(A40)&lt;=23,4,5)))))</f>
        <v/>
      </c>
      <c r="C40" s="9" t="inlineStr">
        <is>
          <t>MTA*NYCT PAYGO NEW YORK NY 08/11</t>
        </is>
      </c>
      <c r="D40" s="9" t="inlineStr">
        <is>
          <t>MTA NYCT Paygo</t>
        </is>
      </c>
      <c r="E40" s="9" t="inlineStr">
        <is>
          <t>Transportation</t>
        </is>
      </c>
      <c r="F40" s="9" t="inlineStr">
        <is>
          <t>Public transit</t>
        </is>
      </c>
      <c r="G40" s="9" t="inlineStr">
        <is>
          <t>Checking</t>
        </is>
      </c>
      <c r="H40" s="9" t="inlineStr">
        <is>
          <t>Debit Card</t>
        </is>
      </c>
      <c r="I40" s="9" t="inlineStr">
        <is>
          <t>Expense</t>
        </is>
      </c>
      <c r="J40" s="3" t="n">
        <v>3</v>
      </c>
      <c r="K40" s="9" t="inlineStr">
        <is>
          <t>8월 3주차; Chase Secure (...7259); Balance shown: $3,036.75</t>
        </is>
      </c>
    </row>
    <row r="41">
      <c r="A41" s="4" t="n">
        <v>46245</v>
      </c>
      <c r="B41" s="9">
        <f>IF(A41="","",IF(DAY(A41)&lt;=2,1,IF(DAY(A41)&lt;=9,2,IF(DAY(A41)&lt;=16,3,IF(DAY(A41)&lt;=23,4,5)))))</f>
        <v/>
      </c>
      <c r="C41" s="9" t="inlineStr">
        <is>
          <t>NYU BOOKSTORE #2015 NEW YORK NY 08/11</t>
        </is>
      </c>
      <c r="D41" s="9" t="inlineStr">
        <is>
          <t>NYU Bookstore</t>
        </is>
      </c>
      <c r="E41" s="9" t="inlineStr">
        <is>
          <t>Shopping</t>
        </is>
      </c>
      <c r="F41" s="9" t="inlineStr">
        <is>
          <t>Books/Supplies</t>
        </is>
      </c>
      <c r="G41" s="9" t="inlineStr">
        <is>
          <t>Checking</t>
        </is>
      </c>
      <c r="H41" s="9" t="inlineStr">
        <is>
          <t>Debit Card</t>
        </is>
      </c>
      <c r="I41" s="9" t="inlineStr">
        <is>
          <t>Expense</t>
        </is>
      </c>
      <c r="J41" s="3" t="n">
        <v>72.89</v>
      </c>
      <c r="K41" s="9" t="inlineStr">
        <is>
          <t>8월 3주차; Chase Secure (...7259); Balance shown: $2,963.86</t>
        </is>
      </c>
    </row>
    <row r="42">
      <c r="A42" s="4" t="n">
        <v>46245</v>
      </c>
      <c r="B42" s="9">
        <f>IF(A42="","",IF(DAY(A42)&lt;=2,1,IF(DAY(A42)&lt;=9,2,IF(DAY(A42)&lt;=16,3,IF(DAY(A42)&lt;=23,4,5)))))</f>
        <v/>
      </c>
      <c r="C42" s="9" t="inlineStr">
        <is>
          <t>TARGET STORE T-3380 NEW YORK NY 08/11</t>
        </is>
      </c>
      <c r="D42" s="9" t="inlineStr">
        <is>
          <t>Target</t>
        </is>
      </c>
      <c r="E42" s="9" t="inlineStr">
        <is>
          <t>Essentials</t>
        </is>
      </c>
      <c r="F42" s="9" t="inlineStr">
        <is>
          <t>Retail</t>
        </is>
      </c>
      <c r="G42" s="9" t="inlineStr">
        <is>
          <t>Checking</t>
        </is>
      </c>
      <c r="H42" s="9" t="inlineStr">
        <is>
          <t>Debit Card</t>
        </is>
      </c>
      <c r="I42" s="9" t="inlineStr">
        <is>
          <t>Expense</t>
        </is>
      </c>
      <c r="J42" s="3" t="n">
        <v>2.98</v>
      </c>
      <c r="K42" s="9" t="inlineStr">
        <is>
          <t>8월 3주차; Chase Secure (...7259); Balance shown: $2,960.88</t>
        </is>
      </c>
    </row>
    <row r="43">
      <c r="A43" s="4" t="n">
        <v>46245</v>
      </c>
      <c r="B43" s="9">
        <f>IF(A43="","",IF(DAY(A43)&lt;=2,1,IF(DAY(A43)&lt;=9,2,IF(DAY(A43)&lt;=16,3,IF(DAY(A43)&lt;=23,4,5)))))</f>
        <v/>
      </c>
      <c r="C43" s="9" t="inlineStr">
        <is>
          <t>MTA*NYCT PAYGO NEW YORK NY 08/11</t>
        </is>
      </c>
      <c r="D43" s="9" t="inlineStr">
        <is>
          <t>MTA NYCT Paygo</t>
        </is>
      </c>
      <c r="E43" s="9" t="inlineStr">
        <is>
          <t>Transportation</t>
        </is>
      </c>
      <c r="F43" s="9" t="inlineStr">
        <is>
          <t>Public transit</t>
        </is>
      </c>
      <c r="G43" s="9" t="inlineStr">
        <is>
          <t>Checking</t>
        </is>
      </c>
      <c r="H43" s="9" t="inlineStr">
        <is>
          <t>Debit Card</t>
        </is>
      </c>
      <c r="I43" s="9" t="inlineStr">
        <is>
          <t>Expense</t>
        </is>
      </c>
      <c r="J43" s="3" t="n">
        <v>3</v>
      </c>
      <c r="K43" s="9" t="inlineStr">
        <is>
          <t>8월 3주차; Chase Secure (...7259); Balance shown: $2,957.88</t>
        </is>
      </c>
    </row>
    <row r="44">
      <c r="A44" s="4" t="n">
        <v>46246</v>
      </c>
      <c r="B44" s="9">
        <f>IF(A44="","",IF(DAY(A44)&lt;=2,1,IF(DAY(A44)&lt;=9,2,IF(DAY(A44)&lt;=16,3,IF(DAY(A44)&lt;=23,4,5)))))</f>
        <v/>
      </c>
      <c r="C44" s="9" t="inlineStr">
        <is>
          <t>MTA*NYCT PAYGO NEW YORK NY 08/12</t>
        </is>
      </c>
      <c r="D44" s="9" t="inlineStr">
        <is>
          <t>MTA NYCT Paygo</t>
        </is>
      </c>
      <c r="E44" s="9" t="inlineStr">
        <is>
          <t>Transportation</t>
        </is>
      </c>
      <c r="F44" s="9" t="inlineStr">
        <is>
          <t>Public transit</t>
        </is>
      </c>
      <c r="G44" s="9" t="inlineStr">
        <is>
          <t>Checking</t>
        </is>
      </c>
      <c r="H44" s="9" t="inlineStr">
        <is>
          <t>Debit Card</t>
        </is>
      </c>
      <c r="I44" s="9" t="inlineStr">
        <is>
          <t>Expense</t>
        </is>
      </c>
      <c r="J44" s="3" t="n">
        <v>3</v>
      </c>
      <c r="K44" s="9" t="inlineStr">
        <is>
          <t>8월 3주차; Chase Secure (...7259); Balance shown: $2,954.88</t>
        </is>
      </c>
    </row>
    <row r="45">
      <c r="A45" s="4" t="n">
        <v>46246</v>
      </c>
      <c r="B45" s="9">
        <f>IF(A45="","",IF(DAY(A45)&lt;=2,1,IF(DAY(A45)&lt;=9,2,IF(DAY(A45)&lt;=16,3,IF(DAY(A45)&lt;=23,4,5)))))</f>
        <v/>
      </c>
      <c r="C45" s="9" t="inlineStr">
        <is>
          <t>MTA*NYCT PAYGO NEW YORK NY 08/12</t>
        </is>
      </c>
      <c r="D45" s="9" t="inlineStr">
        <is>
          <t>MTA NYCT Paygo</t>
        </is>
      </c>
      <c r="E45" s="9" t="inlineStr">
        <is>
          <t>Transportation</t>
        </is>
      </c>
      <c r="F45" s="9" t="inlineStr">
        <is>
          <t>Public transit</t>
        </is>
      </c>
      <c r="G45" s="9" t="inlineStr">
        <is>
          <t>Checking</t>
        </is>
      </c>
      <c r="H45" s="9" t="inlineStr">
        <is>
          <t>Debit Card</t>
        </is>
      </c>
      <c r="I45" s="9" t="inlineStr">
        <is>
          <t>Expense</t>
        </is>
      </c>
      <c r="J45" s="3" t="n">
        <v>3</v>
      </c>
      <c r="K45" s="9" t="inlineStr">
        <is>
          <t>8월 3주차; Chase Secure (...7259); Balance shown: $2,951.88</t>
        </is>
      </c>
    </row>
    <row r="46">
      <c r="A46" s="4" t="n">
        <v>46246</v>
      </c>
      <c r="B46" s="9">
        <f>IF(A46="","",IF(DAY(A46)&lt;=2,1,IF(DAY(A46)&lt;=9,2,IF(DAY(A46)&lt;=16,3,IF(DAY(A46)&lt;=23,4,5)))))</f>
        <v/>
      </c>
      <c r="C46" s="9" t="inlineStr">
        <is>
          <t>MTA*NYCT PAYGO NEW YORK NY 08/12</t>
        </is>
      </c>
      <c r="D46" s="9" t="inlineStr">
        <is>
          <t>MTA NYCT Paygo</t>
        </is>
      </c>
      <c r="E46" s="9" t="inlineStr">
        <is>
          <t>Transportation</t>
        </is>
      </c>
      <c r="F46" s="9" t="inlineStr">
        <is>
          <t>Public transit</t>
        </is>
      </c>
      <c r="G46" s="9" t="inlineStr">
        <is>
          <t>Checking</t>
        </is>
      </c>
      <c r="H46" s="9" t="inlineStr">
        <is>
          <t>Debit Card</t>
        </is>
      </c>
      <c r="I46" s="9" t="inlineStr">
        <is>
          <t>Expense</t>
        </is>
      </c>
      <c r="J46" s="3" t="n">
        <v>3</v>
      </c>
      <c r="K46" s="9" t="inlineStr">
        <is>
          <t>8월 3주차; Chase Secure (...7259); Balance shown: $2,948.88</t>
        </is>
      </c>
    </row>
    <row r="47">
      <c r="A47" s="4" t="n">
        <v>46246</v>
      </c>
      <c r="B47" s="9">
        <f>IF(A47="","",IF(DAY(A47)&lt;=2,1,IF(DAY(A47)&lt;=9,2,IF(DAY(A47)&lt;=16,3,IF(DAY(A47)&lt;=23,4,5)))))</f>
        <v/>
      </c>
      <c r="C47" s="9" t="inlineStr">
        <is>
          <t>TARGET T-3337 NEW YORK NY 08/12</t>
        </is>
      </c>
      <c r="D47" s="9" t="inlineStr">
        <is>
          <t>Target</t>
        </is>
      </c>
      <c r="E47" s="9" t="inlineStr">
        <is>
          <t>Essentials</t>
        </is>
      </c>
      <c r="F47" s="9" t="inlineStr">
        <is>
          <t>Retail</t>
        </is>
      </c>
      <c r="G47" s="9" t="inlineStr">
        <is>
          <t>Checking</t>
        </is>
      </c>
      <c r="H47" s="9" t="inlineStr">
        <is>
          <t>Debit Card</t>
        </is>
      </c>
      <c r="I47" s="9" t="inlineStr">
        <is>
          <t>Expense</t>
        </is>
      </c>
      <c r="J47" s="3" t="n">
        <v>3.27</v>
      </c>
      <c r="K47" s="9" t="inlineStr">
        <is>
          <t>8월 3주차; Chase Secure (...7259); Balance shown: $2,945.61</t>
        </is>
      </c>
    </row>
    <row r="48">
      <c r="A48" s="4" t="n">
        <v>46246</v>
      </c>
      <c r="B48" s="9">
        <f>IF(A48="","",IF(DAY(A48)&lt;=2,1,IF(DAY(A48)&lt;=9,2,IF(DAY(A48)&lt;=16,3,IF(DAY(A48)&lt;=23,4,5)))))</f>
        <v/>
      </c>
      <c r="C48" s="9" t="inlineStr">
        <is>
          <t>MTA*NYCT PAYGO NEW YORK NY 08/12</t>
        </is>
      </c>
      <c r="D48" s="9" t="inlineStr">
        <is>
          <t>MTA NYCT Paygo</t>
        </is>
      </c>
      <c r="E48" s="9" t="inlineStr">
        <is>
          <t>Transportation</t>
        </is>
      </c>
      <c r="F48" s="9" t="inlineStr">
        <is>
          <t>Public transit</t>
        </is>
      </c>
      <c r="G48" s="9" t="inlineStr">
        <is>
          <t>Checking</t>
        </is>
      </c>
      <c r="H48" s="9" t="inlineStr">
        <is>
          <t>Debit Card</t>
        </is>
      </c>
      <c r="I48" s="9" t="inlineStr">
        <is>
          <t>Expense</t>
        </is>
      </c>
      <c r="J48" s="3" t="n">
        <v>3</v>
      </c>
      <c r="K48" s="9" t="inlineStr">
        <is>
          <t>8월 3주차; Chase Secure (...7259); Balance shown: $2,942.61</t>
        </is>
      </c>
    </row>
    <row r="49">
      <c r="A49" s="4" t="n">
        <v>46247</v>
      </c>
      <c r="B49" s="9">
        <f>IF(A49="","",IF(DAY(A49)&lt;=2,1,IF(DAY(A49)&lt;=9,2,IF(DAY(A49)&lt;=16,3,IF(DAY(A49)&lt;=23,4,5)))))</f>
        <v/>
      </c>
      <c r="C49" s="9" t="inlineStr">
        <is>
          <t>LS TIME OUT MARKET UNI NEW YORK NY 08/13</t>
        </is>
      </c>
      <c r="D49" s="9" t="inlineStr">
        <is>
          <t>Time Out Market</t>
        </is>
      </c>
      <c r="E49" s="9" t="inlineStr">
        <is>
          <t>Dining</t>
        </is>
      </c>
      <c r="F49" s="9" t="inlineStr">
        <is>
          <t>Restaurant/Food hall</t>
        </is>
      </c>
      <c r="G49" s="9" t="inlineStr">
        <is>
          <t>Checking</t>
        </is>
      </c>
      <c r="H49" s="9" t="inlineStr">
        <is>
          <t>Debit Card</t>
        </is>
      </c>
      <c r="I49" s="9" t="inlineStr">
        <is>
          <t>Expense</t>
        </is>
      </c>
      <c r="J49" s="3" t="n">
        <v>15.24</v>
      </c>
      <c r="K49" s="9" t="inlineStr">
        <is>
          <t>8월 3주차; Chase Secure (...7259); Balance shown: $2,927.37</t>
        </is>
      </c>
    </row>
    <row r="50">
      <c r="A50" s="4" t="n">
        <v>46247</v>
      </c>
      <c r="B50" s="9">
        <f>IF(A50="","",IF(DAY(A50)&lt;=2,1,IF(DAY(A50)&lt;=9,2,IF(DAY(A50)&lt;=16,3,IF(DAY(A50)&lt;=23,4,5)))))</f>
        <v/>
      </c>
      <c r="C50" s="9" t="inlineStr">
        <is>
          <t>MTA*NYCT PAYGO NEW YORK NY 08/13</t>
        </is>
      </c>
      <c r="D50" s="9" t="inlineStr">
        <is>
          <t>MTA NYCT Paygo</t>
        </is>
      </c>
      <c r="E50" s="9" t="inlineStr">
        <is>
          <t>Transportation</t>
        </is>
      </c>
      <c r="F50" s="9" t="inlineStr">
        <is>
          <t>Public transit</t>
        </is>
      </c>
      <c r="G50" s="9" t="inlineStr">
        <is>
          <t>Checking</t>
        </is>
      </c>
      <c r="H50" s="9" t="inlineStr">
        <is>
          <t>Debit Card</t>
        </is>
      </c>
      <c r="I50" s="9" t="inlineStr">
        <is>
          <t>Expense</t>
        </is>
      </c>
      <c r="J50" s="3" t="n">
        <v>3</v>
      </c>
      <c r="K50" s="9" t="inlineStr">
        <is>
          <t>8월 3주차; Chase Secure (...7259); Balance shown: $2,924.37</t>
        </is>
      </c>
    </row>
    <row r="51">
      <c r="A51" s="4" t="n">
        <v>46247</v>
      </c>
      <c r="B51" s="9">
        <f>IF(A51="","",IF(DAY(A51)&lt;=2,1,IF(DAY(A51)&lt;=9,2,IF(DAY(A51)&lt;=16,3,IF(DAY(A51)&lt;=23,4,5)))))</f>
        <v/>
      </c>
      <c r="C51" s="9" t="inlineStr">
        <is>
          <t>MTA*NYCT PAYGO NEW YORK NY 08/13</t>
        </is>
      </c>
      <c r="D51" s="9" t="inlineStr">
        <is>
          <t>MTA NYCT Paygo</t>
        </is>
      </c>
      <c r="E51" s="9" t="inlineStr">
        <is>
          <t>Transportation</t>
        </is>
      </c>
      <c r="F51" s="9" t="inlineStr">
        <is>
          <t>Public transit</t>
        </is>
      </c>
      <c r="G51" s="9" t="inlineStr">
        <is>
          <t>Checking</t>
        </is>
      </c>
      <c r="H51" s="9" t="inlineStr">
        <is>
          <t>Debit Card</t>
        </is>
      </c>
      <c r="I51" s="9" t="inlineStr">
        <is>
          <t>Expense</t>
        </is>
      </c>
      <c r="J51" s="3" t="n">
        <v>2</v>
      </c>
      <c r="K51" s="9" t="inlineStr">
        <is>
          <t>8월 3주차; Chase Secure (...7259); Balance shown: $2,922.37</t>
        </is>
      </c>
    </row>
    <row r="52">
      <c r="A52" s="4" t="n">
        <v>46247</v>
      </c>
      <c r="B52" s="9">
        <f>IF(A52="","",IF(DAY(A52)&lt;=2,1,IF(DAY(A52)&lt;=9,2,IF(DAY(A52)&lt;=16,3,IF(DAY(A52)&lt;=23,4,5)))))</f>
        <v/>
      </c>
      <c r="C52" s="9" t="inlineStr">
        <is>
          <t>TESO LIFE NEW YORK NY 08/13</t>
        </is>
      </c>
      <c r="D52" s="9" t="inlineStr">
        <is>
          <t>Teso Life</t>
        </is>
      </c>
      <c r="E52" s="9" t="inlineStr">
        <is>
          <t>Essentials</t>
        </is>
      </c>
      <c r="F52" s="9" t="inlineStr">
        <is>
          <t>Retail</t>
        </is>
      </c>
      <c r="G52" s="9" t="inlineStr">
        <is>
          <t>Checking</t>
        </is>
      </c>
      <c r="H52" s="9" t="inlineStr">
        <is>
          <t>Debit Card</t>
        </is>
      </c>
      <c r="I52" s="9" t="inlineStr">
        <is>
          <t>Expense</t>
        </is>
      </c>
      <c r="J52" s="3" t="n">
        <v>12.99</v>
      </c>
      <c r="K52" s="9" t="inlineStr">
        <is>
          <t>8월 3주차; Chase Secure (...7259); Balance shown: $2,909.38</t>
        </is>
      </c>
    </row>
    <row r="53">
      <c r="A53" s="4" t="n">
        <v>46247</v>
      </c>
      <c r="B53" s="9">
        <f>IF(A53="","",IF(DAY(A53)&lt;=2,1,IF(DAY(A53)&lt;=9,2,IF(DAY(A53)&lt;=16,3,IF(DAY(A53)&lt;=23,4,5)))))</f>
        <v/>
      </c>
      <c r="C53" s="9" t="inlineStr">
        <is>
          <t>SQ *SHAWONTRADEINC NEW YORK NY 08/13</t>
        </is>
      </c>
      <c r="D53" s="9" t="inlineStr">
        <is>
          <t>SQ Shawontradeinc</t>
        </is>
      </c>
      <c r="E53" s="9" t="inlineStr">
        <is>
          <t>Essentials</t>
        </is>
      </c>
      <c r="F53" s="9" t="inlineStr">
        <is>
          <t>Retail</t>
        </is>
      </c>
      <c r="G53" s="9" t="inlineStr">
        <is>
          <t>Checking</t>
        </is>
      </c>
      <c r="H53" s="9" t="inlineStr">
        <is>
          <t>Debit Card</t>
        </is>
      </c>
      <c r="I53" s="9" t="inlineStr">
        <is>
          <t>Expense</t>
        </is>
      </c>
      <c r="J53" s="3" t="n">
        <v>4.36</v>
      </c>
      <c r="K53" s="9" t="inlineStr">
        <is>
          <t>8월 3주차; Chase Secure (...7259); Balance shown: $2,905.02</t>
        </is>
      </c>
    </row>
    <row r="54">
      <c r="A54" s="4" t="n">
        <v>46248</v>
      </c>
      <c r="B54" s="9">
        <f>IF(A54="","",IF(DAY(A54)&lt;=2,1,IF(DAY(A54)&lt;=9,2,IF(DAY(A54)&lt;=16,3,IF(DAY(A54)&lt;=23,4,5)))))</f>
        <v/>
      </c>
      <c r="C54" s="9" t="inlineStr">
        <is>
          <t>SEATGEEK TICKETS SEATGEEK.COM NY 08/14</t>
        </is>
      </c>
      <c r="D54" s="9" t="inlineStr">
        <is>
          <t>SeatGeek</t>
        </is>
      </c>
      <c r="E54" s="9" t="inlineStr">
        <is>
          <t>Entertainment</t>
        </is>
      </c>
      <c r="F54" s="9" t="inlineStr">
        <is>
          <t>Tickets</t>
        </is>
      </c>
      <c r="G54" s="9" t="inlineStr">
        <is>
          <t>Checking</t>
        </is>
      </c>
      <c r="H54" s="9" t="inlineStr">
        <is>
          <t>Debit Card</t>
        </is>
      </c>
      <c r="I54" s="9" t="inlineStr">
        <is>
          <t>Expense</t>
        </is>
      </c>
      <c r="J54" s="3" t="n">
        <v>204.94</v>
      </c>
      <c r="K54" s="9" t="inlineStr">
        <is>
          <t>8월 3주차; Chase Secure (...7259); Balance shown: $2,700.08; Full 2-person charge</t>
        </is>
      </c>
    </row>
    <row r="55">
      <c r="A55" s="4" t="n">
        <v>46248</v>
      </c>
      <c r="B55" s="9">
        <f>IF(A55="","",IF(DAY(A55)&lt;=2,1,IF(DAY(A55)&lt;=9,2,IF(DAY(A55)&lt;=16,3,IF(DAY(A55)&lt;=23,4,5)))))</f>
        <v/>
      </c>
      <c r="C55" s="9" t="inlineStr">
        <is>
          <t>T.J. MAXX #1469 NEW YORK NY 008988 08/14</t>
        </is>
      </c>
      <c r="D55" s="9" t="inlineStr">
        <is>
          <t>T.J. Maxx</t>
        </is>
      </c>
      <c r="E55" s="9" t="inlineStr">
        <is>
          <t>Essentials</t>
        </is>
      </c>
      <c r="F55" s="9" t="inlineStr">
        <is>
          <t>Retail</t>
        </is>
      </c>
      <c r="G55" s="9" t="inlineStr">
        <is>
          <t>Checking</t>
        </is>
      </c>
      <c r="H55" s="9" t="inlineStr">
        <is>
          <t>Debit Card</t>
        </is>
      </c>
      <c r="I55" s="9" t="inlineStr">
        <is>
          <t>Expense</t>
        </is>
      </c>
      <c r="J55" s="3" t="n">
        <v>14.13</v>
      </c>
      <c r="K55" s="9" t="inlineStr">
        <is>
          <t>8월 3주차; Chase Secure (...7259); Balance shown: $2,685.95</t>
        </is>
      </c>
    </row>
    <row r="56">
      <c r="A56" s="4" t="n">
        <v>46248</v>
      </c>
      <c r="B56" s="9">
        <f>IF(A56="","",IF(DAY(A56)&lt;=2,1,IF(DAY(A56)&lt;=9,2,IF(DAY(A56)&lt;=16,3,IF(DAY(A56)&lt;=23,4,5)))))</f>
        <v/>
      </c>
      <c r="C56" s="9" t="inlineStr">
        <is>
          <t>WHOLEFDS HRM#105 100 W NEW YORK NY 666156 08/14</t>
        </is>
      </c>
      <c r="D56" s="9" t="inlineStr">
        <is>
          <t>Whole Foods</t>
        </is>
      </c>
      <c r="E56" s="9" t="inlineStr">
        <is>
          <t>Groceries</t>
        </is>
      </c>
      <c r="F56" s="9" t="inlineStr">
        <is>
          <t>Groceries</t>
        </is>
      </c>
      <c r="G56" s="9" t="inlineStr">
        <is>
          <t>Checking</t>
        </is>
      </c>
      <c r="H56" s="9" t="inlineStr">
        <is>
          <t>Debit Card</t>
        </is>
      </c>
      <c r="I56" s="9" t="inlineStr">
        <is>
          <t>Expense</t>
        </is>
      </c>
      <c r="J56" s="3" t="n">
        <v>14.29</v>
      </c>
      <c r="K56" s="9" t="inlineStr">
        <is>
          <t>8월 3주차; Chase Secure (...7259); Balance shown: $2,671.66</t>
        </is>
      </c>
    </row>
    <row r="57">
      <c r="A57" s="4" t="n">
        <v>46248</v>
      </c>
      <c r="B57" s="9">
        <f>IF(A57="","",IF(DAY(A57)&lt;=2,1,IF(DAY(A57)&lt;=9,2,IF(DAY(A57)&lt;=16,3,IF(DAY(A57)&lt;=23,4,5)))))</f>
        <v/>
      </c>
      <c r="C57" s="9" t="inlineStr">
        <is>
          <t>TRADER JOE S #57 123 W HARLEM NY 284362 08/14</t>
        </is>
      </c>
      <c r="D57" s="9" t="inlineStr">
        <is>
          <t>Trader Joe's</t>
        </is>
      </c>
      <c r="E57" s="9" t="inlineStr">
        <is>
          <t>Groceries</t>
        </is>
      </c>
      <c r="F57" s="9" t="inlineStr">
        <is>
          <t>Groceries</t>
        </is>
      </c>
      <c r="G57" s="9" t="inlineStr">
        <is>
          <t>Checking</t>
        </is>
      </c>
      <c r="H57" s="9" t="inlineStr">
        <is>
          <t>Debit Card</t>
        </is>
      </c>
      <c r="I57" s="9" t="inlineStr">
        <is>
          <t>Expense</t>
        </is>
      </c>
      <c r="J57" s="3" t="n">
        <v>17.93</v>
      </c>
      <c r="K57" s="9" t="inlineStr">
        <is>
          <t>8월 3주차; Chase Secure (...7259); Balance shown: $2,653.73</t>
        </is>
      </c>
    </row>
    <row r="58">
      <c r="A58" s="4" t="n">
        <v>46251</v>
      </c>
      <c r="B58" s="9">
        <f>IF(A58="","",IF(DAY(A58)&lt;=2,1,IF(DAY(A58)&lt;=9,2,IF(DAY(A58)&lt;=16,3,IF(DAY(A58)&lt;=23,4,5)))))</f>
        <v/>
      </c>
      <c r="C58" s="9" t="inlineStr">
        <is>
          <t>WHOLEFDS HRM#105 100 W NEW YORK NY 875002 08/16</t>
        </is>
      </c>
      <c r="D58" s="9" t="inlineStr">
        <is>
          <t>Whole Foods</t>
        </is>
      </c>
      <c r="E58" s="9" t="inlineStr">
        <is>
          <t>Groceries</t>
        </is>
      </c>
      <c r="F58" s="9" t="inlineStr">
        <is>
          <t>Groceries</t>
        </is>
      </c>
      <c r="G58" s="9" t="inlineStr">
        <is>
          <t>Checking</t>
        </is>
      </c>
      <c r="H58" s="9" t="inlineStr">
        <is>
          <t>Debit Card</t>
        </is>
      </c>
      <c r="I58" s="9" t="inlineStr">
        <is>
          <t>Expense</t>
        </is>
      </c>
      <c r="J58" s="3" t="n">
        <v>19.45</v>
      </c>
      <c r="K58" s="9" t="inlineStr">
        <is>
          <t>8월 4주차; Chase Secure (...0119); Balance shown: $2,494.73</t>
        </is>
      </c>
    </row>
    <row r="59">
      <c r="A59" s="4" t="n">
        <v>46251</v>
      </c>
      <c r="B59" s="9">
        <f>IF(A59="","",IF(DAY(A59)&lt;=2,1,IF(DAY(A59)&lt;=9,2,IF(DAY(A59)&lt;=16,3,IF(DAY(A59)&lt;=23,4,5)))))</f>
        <v/>
      </c>
      <c r="C59" s="9" t="inlineStr">
        <is>
          <t>TRADER JOE S #57 123 W HARLEM NY 605005 08/16</t>
        </is>
      </c>
      <c r="D59" s="9" t="inlineStr">
        <is>
          <t>Trader Joe's</t>
        </is>
      </c>
      <c r="E59" s="9" t="inlineStr">
        <is>
          <t>Groceries</t>
        </is>
      </c>
      <c r="F59" s="9" t="inlineStr">
        <is>
          <t>Groceries</t>
        </is>
      </c>
      <c r="G59" s="9" t="inlineStr">
        <is>
          <t>Checking</t>
        </is>
      </c>
      <c r="H59" s="9" t="inlineStr">
        <is>
          <t>Debit Card</t>
        </is>
      </c>
      <c r="I59" s="9" t="inlineStr">
        <is>
          <t>Expense</t>
        </is>
      </c>
      <c r="J59" s="3" t="n">
        <v>46.86</v>
      </c>
      <c r="K59" s="9" t="inlineStr">
        <is>
          <t>8월 4주차; Chase Secure (...0119); Balance shown: $2,514.18</t>
        </is>
      </c>
    </row>
    <row r="60">
      <c r="A60" s="4" t="n">
        <v>46251</v>
      </c>
      <c r="B60" s="9">
        <f>IF(A60="","",IF(DAY(A60)&lt;=2,1,IF(DAY(A60)&lt;=9,2,IF(DAY(A60)&lt;=16,3,IF(DAY(A60)&lt;=23,4,5)))))</f>
        <v/>
      </c>
      <c r="C60" s="9" t="inlineStr">
        <is>
          <t>AMC 9640 ONLINE 888-440-4262 KS 08/17</t>
        </is>
      </c>
      <c r="D60" s="9" t="inlineStr">
        <is>
          <t>AMC</t>
        </is>
      </c>
      <c r="E60" s="9" t="inlineStr">
        <is>
          <t>Entertainment</t>
        </is>
      </c>
      <c r="F60" s="9" t="inlineStr">
        <is>
          <t>Movies</t>
        </is>
      </c>
      <c r="G60" s="9" t="inlineStr">
        <is>
          <t>Checking</t>
        </is>
      </c>
      <c r="H60" s="9" t="inlineStr">
        <is>
          <t>Debit Card</t>
        </is>
      </c>
      <c r="I60" s="9" t="inlineStr">
        <is>
          <t>Expense</t>
        </is>
      </c>
      <c r="J60" s="3" t="n">
        <v>25.86</v>
      </c>
      <c r="K60" s="9" t="inlineStr">
        <is>
          <t>8월 4주차; Chase Secure (...0119); Balance shown: $2,561.04</t>
        </is>
      </c>
    </row>
    <row r="61">
      <c r="A61" s="4" t="n">
        <v>46251</v>
      </c>
      <c r="B61" s="9">
        <f>IF(A61="","",IF(DAY(A61)&lt;=2,1,IF(DAY(A61)&lt;=9,2,IF(DAY(A61)&lt;=16,3,IF(DAY(A61)&lt;=23,4,5)))))</f>
        <v/>
      </c>
      <c r="C61" s="9" t="inlineStr">
        <is>
          <t>TST* 230 FIFTH NEW YORK NY 08/16</t>
        </is>
      </c>
      <c r="D61" s="9" t="inlineStr">
        <is>
          <t>230 Fifth</t>
        </is>
      </c>
      <c r="E61" s="9" t="inlineStr">
        <is>
          <t>Dining</t>
        </is>
      </c>
      <c r="F61" s="9" t="inlineStr">
        <is>
          <t>Restaurant/Bar</t>
        </is>
      </c>
      <c r="G61" s="9" t="inlineStr">
        <is>
          <t>Checking</t>
        </is>
      </c>
      <c r="H61" s="9" t="inlineStr">
        <is>
          <t>Debit Card</t>
        </is>
      </c>
      <c r="I61" s="9" t="inlineStr">
        <is>
          <t>Expense</t>
        </is>
      </c>
      <c r="J61" s="3" t="n">
        <v>9</v>
      </c>
      <c r="K61" s="9" t="inlineStr">
        <is>
          <t>8월 4주차; Chase Secure (...0119); Balance shown: $2,586.90</t>
        </is>
      </c>
    </row>
    <row r="62">
      <c r="A62" s="4" t="n">
        <v>46251</v>
      </c>
      <c r="B62" s="9">
        <f>IF(A62="","",IF(DAY(A62)&lt;=2,1,IF(DAY(A62)&lt;=9,2,IF(DAY(A62)&lt;=16,3,IF(DAY(A62)&lt;=23,4,5)))))</f>
        <v/>
      </c>
      <c r="C62" s="9" t="inlineStr">
        <is>
          <t>TST* 230 FIFTH NEW YORK NY 08/16</t>
        </is>
      </c>
      <c r="D62" s="9" t="inlineStr">
        <is>
          <t>230 Fifth</t>
        </is>
      </c>
      <c r="E62" s="9" t="inlineStr">
        <is>
          <t>Dining</t>
        </is>
      </c>
      <c r="F62" s="9" t="inlineStr">
        <is>
          <t>Restaurant/Bar</t>
        </is>
      </c>
      <c r="G62" s="9" t="inlineStr">
        <is>
          <t>Checking</t>
        </is>
      </c>
      <c r="H62" s="9" t="inlineStr">
        <is>
          <t>Debit Card</t>
        </is>
      </c>
      <c r="I62" s="9" t="inlineStr">
        <is>
          <t>Expense</t>
        </is>
      </c>
      <c r="J62" s="3" t="n">
        <v>10</v>
      </c>
      <c r="K62" s="9" t="inlineStr">
        <is>
          <t>8월 4주차; Chase Secure (...0119); Balance shown: $2,595.90</t>
        </is>
      </c>
    </row>
    <row r="63">
      <c r="A63" s="4" t="n">
        <v>46251</v>
      </c>
      <c r="B63" s="9">
        <f>IF(A63="","",IF(DAY(A63)&lt;=2,1,IF(DAY(A63)&lt;=9,2,IF(DAY(A63)&lt;=16,3,IF(DAY(A63)&lt;=23,4,5)))))</f>
        <v/>
      </c>
      <c r="C63" s="9" t="inlineStr">
        <is>
          <t>TST* 230 FIFTH NEW YORK NY 08/16</t>
        </is>
      </c>
      <c r="D63" s="9" t="inlineStr">
        <is>
          <t>230 Fifth</t>
        </is>
      </c>
      <c r="E63" s="9" t="inlineStr">
        <is>
          <t>Dining</t>
        </is>
      </c>
      <c r="F63" s="9" t="inlineStr">
        <is>
          <t>Restaurant/Bar</t>
        </is>
      </c>
      <c r="G63" s="9" t="inlineStr">
        <is>
          <t>Checking</t>
        </is>
      </c>
      <c r="H63" s="9" t="inlineStr">
        <is>
          <t>Debit Card</t>
        </is>
      </c>
      <c r="I63" s="9" t="inlineStr">
        <is>
          <t>Expense</t>
        </is>
      </c>
      <c r="J63" s="3" t="n">
        <v>15</v>
      </c>
      <c r="K63" s="9" t="inlineStr">
        <is>
          <t>8월 4주차; Chase Secure (...0119); Balance shown: $2,605.90</t>
        </is>
      </c>
    </row>
    <row r="64">
      <c r="A64" s="4" t="n">
        <v>46251</v>
      </c>
      <c r="B64" s="9">
        <f>IF(A64="","",IF(DAY(A64)&lt;=2,1,IF(DAY(A64)&lt;=9,2,IF(DAY(A64)&lt;=16,3,IF(DAY(A64)&lt;=23,4,5)))))</f>
        <v/>
      </c>
      <c r="C64" s="9" t="inlineStr">
        <is>
          <t>150 BROADWAY ELECTRONIC NEW YORK NY 08/15</t>
        </is>
      </c>
      <c r="D64" s="9" t="inlineStr">
        <is>
          <t>150 Broadway Electronic</t>
        </is>
      </c>
      <c r="E64" s="9" t="inlineStr">
        <is>
          <t>Essentials</t>
        </is>
      </c>
      <c r="F64" s="9" t="inlineStr">
        <is>
          <t>Electronics</t>
        </is>
      </c>
      <c r="G64" s="9" t="inlineStr">
        <is>
          <t>Checking</t>
        </is>
      </c>
      <c r="H64" s="9" t="inlineStr">
        <is>
          <t>Debit Card</t>
        </is>
      </c>
      <c r="I64" s="9" t="inlineStr">
        <is>
          <t>Expense</t>
        </is>
      </c>
      <c r="J64" s="3" t="n">
        <v>28.02</v>
      </c>
      <c r="K64" s="9" t="inlineStr">
        <is>
          <t>8월 4주차; Chase Secure (...0119); Balance shown: $2,620.90</t>
        </is>
      </c>
    </row>
    <row r="65">
      <c r="A65" s="4" t="n">
        <v>46251</v>
      </c>
      <c r="B65" s="9">
        <f>IF(A65="","",IF(DAY(A65)&lt;=2,1,IF(DAY(A65)&lt;=9,2,IF(DAY(A65)&lt;=16,3,IF(DAY(A65)&lt;=23,4,5)))))</f>
        <v/>
      </c>
      <c r="C65" s="9" t="inlineStr">
        <is>
          <t>MILANO PIZZA &amp; PASTA NEW YORK NY 08/14</t>
        </is>
      </c>
      <c r="D65" s="9" t="inlineStr">
        <is>
          <t>Milano Pizza &amp; Pasta</t>
        </is>
      </c>
      <c r="E65" s="9" t="inlineStr">
        <is>
          <t>Dining</t>
        </is>
      </c>
      <c r="F65" s="9" t="inlineStr">
        <is>
          <t>Restaurant</t>
        </is>
      </c>
      <c r="G65" s="9" t="inlineStr">
        <is>
          <t>Checking</t>
        </is>
      </c>
      <c r="H65" s="9" t="inlineStr">
        <is>
          <t>Debit Card</t>
        </is>
      </c>
      <c r="I65" s="9" t="inlineStr">
        <is>
          <t>Expense</t>
        </is>
      </c>
      <c r="J65" s="3" t="n">
        <v>4.81</v>
      </c>
      <c r="K65" s="9" t="inlineStr">
        <is>
          <t>8월 4주차; Chase Secure (...0119); Balance shown: $2,648.92</t>
        </is>
      </c>
    </row>
    <row r="66">
      <c r="A66" s="4" t="n">
        <v>46252</v>
      </c>
      <c r="B66" s="9">
        <f>IF(A66="","",IF(DAY(A66)&lt;=2,1,IF(DAY(A66)&lt;=9,2,IF(DAY(A66)&lt;=16,3,IF(DAY(A66)&lt;=23,4,5)))))</f>
        <v/>
      </c>
      <c r="C66" s="9" t="inlineStr">
        <is>
          <t>TRADER JOE S #57 123 W HARLEM NY 902542 08/18</t>
        </is>
      </c>
      <c r="D66" s="9" t="inlineStr">
        <is>
          <t>Trader Joe's</t>
        </is>
      </c>
      <c r="E66" s="9" t="inlineStr">
        <is>
          <t>Groceries</t>
        </is>
      </c>
      <c r="F66" s="9" t="inlineStr">
        <is>
          <t>Groceries</t>
        </is>
      </c>
      <c r="G66" s="9" t="inlineStr">
        <is>
          <t>Checking</t>
        </is>
      </c>
      <c r="H66" s="9" t="inlineStr">
        <is>
          <t>Debit Card</t>
        </is>
      </c>
      <c r="I66" s="9" t="inlineStr">
        <is>
          <t>Expense</t>
        </is>
      </c>
      <c r="J66" s="3" t="n">
        <v>2.49</v>
      </c>
      <c r="K66" s="9" t="inlineStr">
        <is>
          <t>8월 4주차; Chase Secure (...0119); Balance shown: $2,472.11</t>
        </is>
      </c>
    </row>
    <row r="67">
      <c r="A67" s="4" t="n">
        <v>46252</v>
      </c>
      <c r="B67" s="9">
        <f>IF(A67="","",IF(DAY(A67)&lt;=2,1,IF(DAY(A67)&lt;=9,2,IF(DAY(A67)&lt;=16,3,IF(DAY(A67)&lt;=23,4,5)))))</f>
        <v/>
      </c>
      <c r="C67" s="9" t="inlineStr">
        <is>
          <t>T.J. MAXX #1469 NEW YORK NY 007353 08/18</t>
        </is>
      </c>
      <c r="D67" s="9" t="inlineStr">
        <is>
          <t>T.J. Maxx</t>
        </is>
      </c>
      <c r="E67" s="9" t="inlineStr">
        <is>
          <t>Essentials</t>
        </is>
      </c>
      <c r="F67" s="9" t="inlineStr">
        <is>
          <t>Retail</t>
        </is>
      </c>
      <c r="G67" s="9" t="inlineStr">
        <is>
          <t>Checking</t>
        </is>
      </c>
      <c r="H67" s="9" t="inlineStr">
        <is>
          <t>Debit Card</t>
        </is>
      </c>
      <c r="I67" s="9" t="inlineStr">
        <is>
          <t>Expense</t>
        </is>
      </c>
      <c r="J67" s="3" t="n">
        <v>14.13</v>
      </c>
      <c r="K67" s="9" t="inlineStr">
        <is>
          <t>8월 4주차; Chase Secure (...0119); Balance shown: $2,474.60</t>
        </is>
      </c>
    </row>
    <row r="68">
      <c r="A68" s="4" t="n">
        <v>46252</v>
      </c>
      <c r="B68" s="9">
        <f>IF(A68="","",IF(DAY(A68)&lt;=2,1,IF(DAY(A68)&lt;=9,2,IF(DAY(A68)&lt;=16,3,IF(DAY(A68)&lt;=23,4,5)))))</f>
        <v/>
      </c>
      <c r="C68" s="9" t="inlineStr">
        <is>
          <t>MTA*NYCT PAYGO NEW YORK NY 08/17</t>
        </is>
      </c>
      <c r="D68" s="9" t="inlineStr">
        <is>
          <t>MTA NYCT Paygo</t>
        </is>
      </c>
      <c r="E68" s="9" t="inlineStr">
        <is>
          <t>Transportation</t>
        </is>
      </c>
      <c r="F68" s="9" t="inlineStr">
        <is>
          <t>Public transit</t>
        </is>
      </c>
      <c r="G68" s="9" t="inlineStr">
        <is>
          <t>Checking</t>
        </is>
      </c>
      <c r="H68" s="9" t="inlineStr">
        <is>
          <t>Debit Card</t>
        </is>
      </c>
      <c r="I68" s="9" t="inlineStr">
        <is>
          <t>Expense</t>
        </is>
      </c>
      <c r="J68" s="3" t="n">
        <v>3</v>
      </c>
      <c r="K68" s="9" t="inlineStr">
        <is>
          <t>8월 4주차; Chase Secure (...0119); Balance shown: $2,488.73</t>
        </is>
      </c>
    </row>
    <row r="69">
      <c r="A69" s="4" t="n">
        <v>46252</v>
      </c>
      <c r="B69" s="9">
        <f>IF(A69="","",IF(DAY(A69)&lt;=2,1,IF(DAY(A69)&lt;=9,2,IF(DAY(A69)&lt;=16,3,IF(DAY(A69)&lt;=23,4,5)))))</f>
        <v/>
      </c>
      <c r="C69" s="9" t="inlineStr">
        <is>
          <t>MTA*NYCT PAYGO NEW YORK NY 08/17</t>
        </is>
      </c>
      <c r="D69" s="9" t="inlineStr">
        <is>
          <t>MTA NYCT Paygo</t>
        </is>
      </c>
      <c r="E69" s="9" t="inlineStr">
        <is>
          <t>Transportation</t>
        </is>
      </c>
      <c r="F69" s="9" t="inlineStr">
        <is>
          <t>Public transit</t>
        </is>
      </c>
      <c r="G69" s="9" t="inlineStr">
        <is>
          <t>Checking</t>
        </is>
      </c>
      <c r="H69" s="9" t="inlineStr">
        <is>
          <t>Debit Card</t>
        </is>
      </c>
      <c r="I69" s="9" t="inlineStr">
        <is>
          <t>Expense</t>
        </is>
      </c>
      <c r="J69" s="3" t="n">
        <v>3</v>
      </c>
      <c r="K69" s="9" t="inlineStr">
        <is>
          <t>8월 4주차; Chase Secure (...0119); Balance shown: $2,491.73</t>
        </is>
      </c>
    </row>
    <row r="70">
      <c r="A70" s="4" t="n">
        <v>46253</v>
      </c>
      <c r="B70" s="9">
        <f>IF(A70="","",IF(DAY(A70)&lt;=2,1,IF(DAY(A70)&lt;=9,2,IF(DAY(A70)&lt;=16,3,IF(DAY(A70)&lt;=23,4,5)))))</f>
        <v/>
      </c>
      <c r="C70" s="9" t="inlineStr">
        <is>
          <t>MTA*NYCT PAYGO NEW YORK NY 08/18</t>
        </is>
      </c>
      <c r="D70" s="9" t="inlineStr">
        <is>
          <t>MTA NYCT Paygo</t>
        </is>
      </c>
      <c r="E70" s="9" t="inlineStr">
        <is>
          <t>Transportation</t>
        </is>
      </c>
      <c r="F70" s="9" t="inlineStr">
        <is>
          <t>Public transit</t>
        </is>
      </c>
      <c r="G70" s="9" t="inlineStr">
        <is>
          <t>Checking</t>
        </is>
      </c>
      <c r="H70" s="9" t="inlineStr">
        <is>
          <t>Debit Card</t>
        </is>
      </c>
      <c r="I70" s="9" t="inlineStr">
        <is>
          <t>Expense</t>
        </is>
      </c>
      <c r="J70" s="3" t="n">
        <v>3</v>
      </c>
      <c r="K70" s="9" t="inlineStr">
        <is>
          <t>8월 4주차; Chase Secure (...0119); Balance shown: $2,452.61</t>
        </is>
      </c>
    </row>
    <row r="71">
      <c r="A71" s="4" t="n">
        <v>46253</v>
      </c>
      <c r="B71" s="9">
        <f>IF(A71="","",IF(DAY(A71)&lt;=2,1,IF(DAY(A71)&lt;=9,2,IF(DAY(A71)&lt;=16,3,IF(DAY(A71)&lt;=23,4,5)))))</f>
        <v/>
      </c>
      <c r="C71" s="9" t="inlineStr">
        <is>
          <t>NEW YORK STATE DMV ALBANY NY 08/18</t>
        </is>
      </c>
      <c r="D71" s="9" t="inlineStr">
        <is>
          <t>New York State DMV</t>
        </is>
      </c>
      <c r="E71" s="9" t="inlineStr">
        <is>
          <t>Essentials</t>
        </is>
      </c>
      <c r="F71" s="9" t="inlineStr">
        <is>
          <t>DMV</t>
        </is>
      </c>
      <c r="G71" s="9" t="inlineStr">
        <is>
          <t>Checking</t>
        </is>
      </c>
      <c r="H71" s="9" t="inlineStr">
        <is>
          <t>Debit Card</t>
        </is>
      </c>
      <c r="I71" s="9" t="inlineStr">
        <is>
          <t>Expense</t>
        </is>
      </c>
      <c r="J71" s="3" t="n">
        <v>13.5</v>
      </c>
      <c r="K71" s="9" t="inlineStr">
        <is>
          <t>8월 4주차; Chase Secure (...0119); Balance shown: $2,455.61</t>
        </is>
      </c>
    </row>
    <row r="72">
      <c r="A72" s="4" t="n">
        <v>46253</v>
      </c>
      <c r="B72" s="9">
        <f>IF(A72="","",IF(DAY(A72)&lt;=2,1,IF(DAY(A72)&lt;=9,2,IF(DAY(A72)&lt;=16,3,IF(DAY(A72)&lt;=23,4,5)))))</f>
        <v/>
      </c>
      <c r="C72" s="9" t="inlineStr">
        <is>
          <t>MTA*NYCT PAYGO NEW YORK NY 08/18</t>
        </is>
      </c>
      <c r="D72" s="9" t="inlineStr">
        <is>
          <t>MTA NYCT Paygo</t>
        </is>
      </c>
      <c r="E72" s="9" t="inlineStr">
        <is>
          <t>Transportation</t>
        </is>
      </c>
      <c r="F72" s="9" t="inlineStr">
        <is>
          <t>Public transit</t>
        </is>
      </c>
      <c r="G72" s="9" t="inlineStr">
        <is>
          <t>Checking</t>
        </is>
      </c>
      <c r="H72" s="9" t="inlineStr">
        <is>
          <t>Debit Card</t>
        </is>
      </c>
      <c r="I72" s="9" t="inlineStr">
        <is>
          <t>Expense</t>
        </is>
      </c>
      <c r="J72" s="3" t="n">
        <v>3</v>
      </c>
      <c r="K72" s="9" t="inlineStr">
        <is>
          <t>8월 4주차; Chase Secure (...0119); Balance shown: $2,469.11</t>
        </is>
      </c>
    </row>
    <row r="73">
      <c r="A73" s="4" t="n">
        <v>46235</v>
      </c>
      <c r="B73" s="9">
        <f>IF(A73="","",IF(DAY(A73)&lt;=2,1,IF(DAY(A73)&lt;=9,2,IF(DAY(A73)&lt;=16,3,IF(DAY(A73)&lt;=23,4,5)))))</f>
        <v/>
      </c>
      <c r="C73" s="9" t="inlineStr">
        <is>
          <t>Monthly housing cost</t>
        </is>
      </c>
      <c r="D73" s="9" t="inlineStr">
        <is>
          <t>Housing</t>
        </is>
      </c>
      <c r="E73" s="9" t="inlineStr">
        <is>
          <t>Housing</t>
        </is>
      </c>
      <c r="F73" s="9" t="inlineStr">
        <is>
          <t>Rent</t>
        </is>
      </c>
      <c r="G73" s="9" t="inlineStr">
        <is>
          <t>Checking</t>
        </is>
      </c>
      <c r="H73" s="9" t="inlineStr">
        <is>
          <t>Bank Transfer</t>
        </is>
      </c>
      <c r="I73" s="9" t="inlineStr">
        <is>
          <t>Expense</t>
        </is>
      </c>
      <c r="J73" s="3" t="n">
        <v>1100</v>
      </c>
      <c r="K73" s="9" t="inlineStr">
        <is>
          <t>Recurring monthly housing cost through Dec 2026</t>
        </is>
      </c>
    </row>
    <row r="74">
      <c r="A74" s="4" t="n">
        <v>46254</v>
      </c>
      <c r="B74" s="9">
        <f>IF(A74="","",IF(DAY(A74)&lt;=2,1,IF(DAY(A74)&lt;=9,2,IF(DAY(A74)&lt;=16,3,IF(DAY(A74)&lt;=23,4,5)))))</f>
        <v/>
      </c>
      <c r="C74" s="9" t="inlineStr">
        <is>
          <t>Cash savings on hand</t>
        </is>
      </c>
      <c r="D74" s="9" t="inlineStr">
        <is>
          <t>Existing Savings</t>
        </is>
      </c>
      <c r="E74" s="9" t="inlineStr">
        <is>
          <t>Existing Savings</t>
        </is>
      </c>
      <c r="F74" s="9" t="inlineStr">
        <is>
          <t>Cash savings</t>
        </is>
      </c>
      <c r="G74" s="9" t="inlineStr">
        <is>
          <t>Cash</t>
        </is>
      </c>
      <c r="H74" s="9" t="inlineStr">
        <is>
          <t>Cash</t>
        </is>
      </c>
      <c r="I74" s="9" t="inlineStr">
        <is>
          <t>Opening Balance</t>
        </is>
      </c>
      <c r="J74" s="3" t="n">
        <v>4100</v>
      </c>
      <c r="K74" s="9" t="inlineStr">
        <is>
          <t>Additional cash savings recorded on 2026-08-20</t>
        </is>
      </c>
    </row>
    <row r="75">
      <c r="A75" s="4" t="n">
        <v>46254</v>
      </c>
      <c r="B75" s="9">
        <f>IF(A75="","",IF(DAY(A75)&lt;=2,1,IF(DAY(A75)&lt;=9,2,IF(DAY(A75)&lt;=16,3,IF(DAY(A75)&lt;=23,4,5)))))</f>
        <v/>
      </c>
      <c r="C75" s="9" t="inlineStr">
        <is>
          <t>MTA*NYCT PAYGO NEW YORK NY 08/19</t>
        </is>
      </c>
      <c r="D75" s="9" t="inlineStr">
        <is>
          <t>MTA NYCT Paygo</t>
        </is>
      </c>
      <c r="E75" s="9" t="inlineStr">
        <is>
          <t>Transportation</t>
        </is>
      </c>
      <c r="F75" s="9" t="inlineStr">
        <is>
          <t>Public transit</t>
        </is>
      </c>
      <c r="G75" s="9" t="inlineStr">
        <is>
          <t>Checking</t>
        </is>
      </c>
      <c r="H75" s="9" t="inlineStr">
        <is>
          <t>Debit Card</t>
        </is>
      </c>
      <c r="I75" s="9" t="inlineStr">
        <is>
          <t>Expense</t>
        </is>
      </c>
      <c r="J75" s="3" t="n">
        <v>3</v>
      </c>
      <c r="K75" s="9" t="inlineStr">
        <is>
          <t>8월 4주차; Chase Secure (...0119); Balance shown: $2,449.61</t>
        </is>
      </c>
    </row>
    <row r="76">
      <c r="A76" s="4" t="n">
        <v>46254</v>
      </c>
      <c r="B76" s="9">
        <f>IF(A76="","",IF(DAY(A76)&lt;=2,1,IF(DAY(A76)&lt;=9,2,IF(DAY(A76)&lt;=16,3,IF(DAY(A76)&lt;=23,4,5)))))</f>
        <v/>
      </c>
      <c r="C76" s="9" t="inlineStr">
        <is>
          <t>TST* AYZA WINE &amp; CHOCOL NEW YORK NY 08/20</t>
        </is>
      </c>
      <c r="D76" s="9" t="inlineStr">
        <is>
          <t>Ayza Wine &amp; Chocolate</t>
        </is>
      </c>
      <c r="E76" s="9" t="inlineStr">
        <is>
          <t>Dining</t>
        </is>
      </c>
      <c r="F76" s="9" t="inlineStr">
        <is>
          <t>Restaurant/Bar</t>
        </is>
      </c>
      <c r="G76" s="9" t="inlineStr">
        <is>
          <t>Checking</t>
        </is>
      </c>
      <c r="H76" s="9" t="inlineStr">
        <is>
          <t>Debit Card</t>
        </is>
      </c>
      <c r="I76" s="9" t="inlineStr">
        <is>
          <t>Expense</t>
        </is>
      </c>
      <c r="J76" s="3" t="n">
        <v>97.95</v>
      </c>
      <c r="K76" s="9" t="inlineStr">
        <is>
          <t>8월 4주차; Chase Secure (...0119); Balance shown: $2,351.66</t>
        </is>
      </c>
    </row>
    <row r="77">
      <c r="A77" s="4" t="n">
        <v>46255</v>
      </c>
      <c r="B77" s="9">
        <f>IF(A77="","",IF(DAY(A77)&lt;=2,1,IF(DAY(A77)&lt;=9,2,IF(DAY(A77)&lt;=16,3,IF(DAY(A77)&lt;=23,4,5)))))</f>
        <v/>
      </c>
      <c r="C77" s="9" t="inlineStr">
        <is>
          <t>MTA*NYCT PAYGO NEW YORK NY 08/20</t>
        </is>
      </c>
      <c r="D77" s="9" t="inlineStr">
        <is>
          <t>MTA NYCT Paygo</t>
        </is>
      </c>
      <c r="E77" s="9" t="inlineStr">
        <is>
          <t>Transportation</t>
        </is>
      </c>
      <c r="F77" s="9" t="inlineStr">
        <is>
          <t>Public transit</t>
        </is>
      </c>
      <c r="G77" s="9" t="inlineStr">
        <is>
          <t>Checking</t>
        </is>
      </c>
      <c r="H77" s="9" t="inlineStr">
        <is>
          <t>Debit Card</t>
        </is>
      </c>
      <c r="I77" s="9" t="inlineStr">
        <is>
          <t>Expense</t>
        </is>
      </c>
      <c r="J77" s="3" t="n">
        <v>3</v>
      </c>
      <c r="K77" s="9" t="inlineStr">
        <is>
          <t>8월 4주차; Chase Secure (...0119); Balance shown: $2,348.66</t>
        </is>
      </c>
    </row>
    <row r="78">
      <c r="A78" s="4" t="n">
        <v>46258</v>
      </c>
      <c r="B78" s="9">
        <f>IF(A78="","",IF(DAY(A78)&lt;=2,1,IF(DAY(A78)&lt;=9,2,IF(DAY(A78)&lt;=16,3,IF(DAY(A78)&lt;=23,4,5)))))</f>
        <v/>
      </c>
      <c r="C78" s="9" t="inlineStr">
        <is>
          <t>ATM CASH DEPOSIT 08/22 3359 BROADWAY NEW YORK NY (...0119)</t>
        </is>
      </c>
      <c r="D78" s="9" t="inlineStr">
        <is>
          <t>Existing Savings</t>
        </is>
      </c>
      <c r="E78" s="9" t="inlineStr">
        <is>
          <t>Existing Savings</t>
        </is>
      </c>
      <c r="F78" s="9" t="inlineStr">
        <is>
          <t>Cash savings transfer to checking</t>
        </is>
      </c>
      <c r="G78" s="9" t="inlineStr">
        <is>
          <t>Checking</t>
        </is>
      </c>
      <c r="H78" s="9" t="inlineStr">
        <is>
          <t>ATM transaction</t>
        </is>
      </c>
      <c r="I78" s="9" t="inlineStr">
        <is>
          <t>Transfer</t>
        </is>
      </c>
      <c r="J78" s="3" t="n">
        <v>1000</v>
      </c>
      <c r="K78" s="9" t="inlineStr">
        <is>
          <t>8월 5주차; Chase Secure (...0119); Balance shown: $3,348.66; Cash savings deposited to checking</t>
        </is>
      </c>
    </row>
    <row r="79">
      <c r="A79" s="4" t="n">
        <v>46258</v>
      </c>
      <c r="B79" s="9">
        <f>IF(A79="","",IF(DAY(A79)&lt;=2,1,IF(DAY(A79)&lt;=9,2,IF(DAY(A79)&lt;=16,3,IF(DAY(A79)&lt;=23,4,5)))))</f>
        <v/>
      </c>
      <c r="C79" s="9" t="inlineStr">
        <is>
          <t>ATM CASH DEPOSIT 08/22 3359 BROADWAY NEW YORK NY (...0119)</t>
        </is>
      </c>
      <c r="D79" s="9" t="inlineStr">
        <is>
          <t>Existing Savings</t>
        </is>
      </c>
      <c r="E79" s="9" t="inlineStr">
        <is>
          <t>Existing Savings</t>
        </is>
      </c>
      <c r="F79" s="9" t="inlineStr">
        <is>
          <t>Cash savings transfer to checking</t>
        </is>
      </c>
      <c r="G79" s="9" t="inlineStr">
        <is>
          <t>Checking</t>
        </is>
      </c>
      <c r="H79" s="9" t="inlineStr">
        <is>
          <t>ATM transaction</t>
        </is>
      </c>
      <c r="I79" s="9" t="inlineStr">
        <is>
          <t>Transfer</t>
        </is>
      </c>
      <c r="J79" s="3" t="n">
        <v>700</v>
      </c>
      <c r="K79" s="9" t="inlineStr">
        <is>
          <t>8월 5주차; Chase Secure (...0119); Balance shown: $4,048.66; Cash savings deposited to checking</t>
        </is>
      </c>
    </row>
    <row r="80">
      <c r="A80" s="4" t="n">
        <v>46258</v>
      </c>
      <c r="B80" s="9">
        <f>IF(A80="","",IF(DAY(A80)&lt;=2,1,IF(DAY(A80)&lt;=9,2,IF(DAY(A80)&lt;=16,3,IF(DAY(A80)&lt;=23,4,5)))))</f>
        <v/>
      </c>
      <c r="C80" s="9" t="inlineStr">
        <is>
          <t>MTA*NYCT PAYGO NEW YORK NY 08/21 (...0119)</t>
        </is>
      </c>
      <c r="D80" s="9" t="inlineStr">
        <is>
          <t>MTA NYCT Paygo</t>
        </is>
      </c>
      <c r="E80" s="9" t="inlineStr">
        <is>
          <t>Transportation</t>
        </is>
      </c>
      <c r="F80" s="9" t="inlineStr">
        <is>
          <t>Public transit</t>
        </is>
      </c>
      <c r="G80" s="9" t="inlineStr">
        <is>
          <t>Checking</t>
        </is>
      </c>
      <c r="H80" s="9" t="inlineStr">
        <is>
          <t>Debit Card</t>
        </is>
      </c>
      <c r="I80" s="9" t="inlineStr">
        <is>
          <t>Expense</t>
        </is>
      </c>
      <c r="J80" s="3" t="n">
        <v>3</v>
      </c>
      <c r="K80" s="9" t="inlineStr">
        <is>
          <t>8월 5주차; Chase Secure (...0119); Balance shown: $4,045.66</t>
        </is>
      </c>
    </row>
    <row r="81">
      <c r="A81" s="4" t="n">
        <v>46258</v>
      </c>
      <c r="B81" s="9">
        <f>IF(A81="","",IF(DAY(A81)&lt;=2,1,IF(DAY(A81)&lt;=9,2,IF(DAY(A81)&lt;=16,3,IF(DAY(A81)&lt;=23,4,5)))))</f>
        <v/>
      </c>
      <c r="C81" s="9" t="inlineStr">
        <is>
          <t>MTA*NYCT PAYGO NEW YORK NY 08/21 (...0119)</t>
        </is>
      </c>
      <c r="D81" s="9" t="inlineStr">
        <is>
          <t>MTA NYCT Paygo</t>
        </is>
      </c>
      <c r="E81" s="9" t="inlineStr">
        <is>
          <t>Transportation</t>
        </is>
      </c>
      <c r="F81" s="9" t="inlineStr">
        <is>
          <t>Public transit</t>
        </is>
      </c>
      <c r="G81" s="9" t="inlineStr">
        <is>
          <t>Checking</t>
        </is>
      </c>
      <c r="H81" s="9" t="inlineStr">
        <is>
          <t>Debit Card</t>
        </is>
      </c>
      <c r="I81" s="9" t="inlineStr">
        <is>
          <t>Expense</t>
        </is>
      </c>
      <c r="J81" s="3" t="n">
        <v>3</v>
      </c>
      <c r="K81" s="9" t="inlineStr">
        <is>
          <t>8월 5주차; Chase Secure (...0119); Balance shown: $4,042.66</t>
        </is>
      </c>
    </row>
    <row r="82">
      <c r="A82" s="4" t="n">
        <v>46258</v>
      </c>
      <c r="B82" s="9">
        <f>IF(A82="","",IF(DAY(A82)&lt;=2,1,IF(DAY(A82)&lt;=9,2,IF(DAY(A82)&lt;=16,3,IF(DAY(A82)&lt;=23,4,5)))))</f>
        <v/>
      </c>
      <c r="C82" s="9" t="inlineStr">
        <is>
          <t>MTA*NYCT PAYGO NEW YORK NY 08/21 (...0119)</t>
        </is>
      </c>
      <c r="D82" s="9" t="inlineStr">
        <is>
          <t>MTA NYCT Paygo</t>
        </is>
      </c>
      <c r="E82" s="9" t="inlineStr">
        <is>
          <t>Transportation</t>
        </is>
      </c>
      <c r="F82" s="9" t="inlineStr">
        <is>
          <t>Public transit</t>
        </is>
      </c>
      <c r="G82" s="9" t="inlineStr">
        <is>
          <t>Checking</t>
        </is>
      </c>
      <c r="H82" s="9" t="inlineStr">
        <is>
          <t>Debit Card</t>
        </is>
      </c>
      <c r="I82" s="9" t="inlineStr">
        <is>
          <t>Expense</t>
        </is>
      </c>
      <c r="J82" s="3" t="n">
        <v>3</v>
      </c>
      <c r="K82" s="9" t="inlineStr">
        <is>
          <t>8월 5주차; Chase Secure (...0119); Balance shown: $4,039.66</t>
        </is>
      </c>
    </row>
    <row r="83">
      <c r="A83" s="4" t="n">
        <v>46258</v>
      </c>
      <c r="B83" s="9">
        <f>IF(A83="","",IF(DAY(A83)&lt;=2,1,IF(DAY(A83)&lt;=9,2,IF(DAY(A83)&lt;=16,3,IF(DAY(A83)&lt;=23,4,5)))))</f>
        <v/>
      </c>
      <c r="C83" s="9" t="inlineStr">
        <is>
          <t>TST*BANGIA New York NY 08/21 (...0119)</t>
        </is>
      </c>
      <c r="D83" s="9" t="inlineStr">
        <is>
          <t>Bangia</t>
        </is>
      </c>
      <c r="E83" s="9" t="inlineStr">
        <is>
          <t>Dining</t>
        </is>
      </c>
      <c r="F83" s="9" t="inlineStr">
        <is>
          <t>Restaurant</t>
        </is>
      </c>
      <c r="G83" s="9" t="inlineStr">
        <is>
          <t>Checking</t>
        </is>
      </c>
      <c r="H83" s="9" t="inlineStr">
        <is>
          <t>Debit Card</t>
        </is>
      </c>
      <c r="I83" s="9" t="inlineStr">
        <is>
          <t>Expense</t>
        </is>
      </c>
      <c r="J83" s="3" t="n">
        <v>95.15</v>
      </c>
      <c r="K83" s="9" t="inlineStr">
        <is>
          <t>8월 5주차; Chase Secure (...0119); Balance shown: $3,944.51</t>
        </is>
      </c>
    </row>
    <row r="84">
      <c r="A84" s="4" t="n">
        <v>46258</v>
      </c>
      <c r="B84" s="9">
        <f>IF(A84="","",IF(DAY(A84)&lt;=2,1,IF(DAY(A84)&lt;=9,2,IF(DAY(A84)&lt;=16,3,IF(DAY(A84)&lt;=23,4,5)))))</f>
        <v/>
      </c>
      <c r="C84" s="9" t="inlineStr">
        <is>
          <t>MTA*NYCT PAYGO NEW YORK NY 08/22 (...0119)</t>
        </is>
      </c>
      <c r="D84" s="9" t="inlineStr">
        <is>
          <t>MTA NYCT Paygo</t>
        </is>
      </c>
      <c r="E84" s="9" t="inlineStr">
        <is>
          <t>Transportation</t>
        </is>
      </c>
      <c r="F84" s="9" t="inlineStr">
        <is>
          <t>Public transit</t>
        </is>
      </c>
      <c r="G84" s="9" t="inlineStr">
        <is>
          <t>Checking</t>
        </is>
      </c>
      <c r="H84" s="9" t="inlineStr">
        <is>
          <t>Debit Card</t>
        </is>
      </c>
      <c r="I84" s="9" t="inlineStr">
        <is>
          <t>Expense</t>
        </is>
      </c>
      <c r="J84" s="3" t="n">
        <v>3</v>
      </c>
      <c r="K84" s="9" t="inlineStr">
        <is>
          <t>8월 5주차; Chase Secure (...0119); Balance shown: $3,941.51</t>
        </is>
      </c>
    </row>
    <row r="85">
      <c r="A85" s="4" t="n">
        <v>46258</v>
      </c>
      <c r="B85" s="9">
        <f>IF(A85="","",IF(DAY(A85)&lt;=2,1,IF(DAY(A85)&lt;=9,2,IF(DAY(A85)&lt;=16,3,IF(DAY(A85)&lt;=23,4,5)))))</f>
        <v/>
      </c>
      <c r="C85" s="9" t="inlineStr">
        <is>
          <t>MTA*NYCT PAYGO NEW YORK NY 08/22 (...0119)</t>
        </is>
      </c>
      <c r="D85" s="9" t="inlineStr">
        <is>
          <t>MTA NYCT Paygo</t>
        </is>
      </c>
      <c r="E85" s="9" t="inlineStr">
        <is>
          <t>Transportation</t>
        </is>
      </c>
      <c r="F85" s="9" t="inlineStr">
        <is>
          <t>Public transit</t>
        </is>
      </c>
      <c r="G85" s="9" t="inlineStr">
        <is>
          <t>Checking</t>
        </is>
      </c>
      <c r="H85" s="9" t="inlineStr">
        <is>
          <t>Debit Card</t>
        </is>
      </c>
      <c r="I85" s="9" t="inlineStr">
        <is>
          <t>Expense</t>
        </is>
      </c>
      <c r="J85" s="3" t="n">
        <v>3</v>
      </c>
      <c r="K85" s="9" t="inlineStr">
        <is>
          <t>8월 5주차; Chase Secure (...0119); Balance shown: $3,938.51</t>
        </is>
      </c>
    </row>
    <row r="86">
      <c r="A86" s="4" t="n">
        <v>46258</v>
      </c>
      <c r="B86" s="9">
        <f>IF(A86="","",IF(DAY(A86)&lt;=2,1,IF(DAY(A86)&lt;=9,2,IF(DAY(A86)&lt;=16,3,IF(DAY(A86)&lt;=23,4,5)))))</f>
        <v/>
      </c>
      <c r="C86" s="9" t="inlineStr">
        <is>
          <t>TRADER JOE S #57 123 W HARLEM NY 383850 08/22 (...0119)</t>
        </is>
      </c>
      <c r="D86" s="9" t="inlineStr">
        <is>
          <t>Trader Joe's</t>
        </is>
      </c>
      <c r="E86" s="9" t="inlineStr">
        <is>
          <t>Groceries</t>
        </is>
      </c>
      <c r="F86" s="9" t="inlineStr">
        <is>
          <t>Groceries</t>
        </is>
      </c>
      <c r="G86" s="9" t="inlineStr">
        <is>
          <t>Checking</t>
        </is>
      </c>
      <c r="H86" s="9" t="inlineStr">
        <is>
          <t>Debit Card</t>
        </is>
      </c>
      <c r="I86" s="9" t="inlineStr">
        <is>
          <t>Expense</t>
        </is>
      </c>
      <c r="J86" s="3" t="n">
        <v>87.99</v>
      </c>
      <c r="K86" s="9" t="inlineStr">
        <is>
          <t>8월 5주차; Chase Secure (...0119); Balance shown: $3,850.52</t>
        </is>
      </c>
    </row>
    <row r="87">
      <c r="A87" s="4" t="n">
        <v>46258</v>
      </c>
      <c r="B87" s="9">
        <f>IF(A87="","",IF(DAY(A87)&lt;=2,1,IF(DAY(A87)&lt;=9,2,IF(DAY(A87)&lt;=16,3,IF(DAY(A87)&lt;=23,4,5)))))</f>
        <v/>
      </c>
      <c r="C87" s="9" t="inlineStr">
        <is>
          <t>WHOLEFDS HRM#105 100 W NEW YORK NY 941030 08/22 (...0119)</t>
        </is>
      </c>
      <c r="D87" s="9" t="inlineStr">
        <is>
          <t>Whole Foods</t>
        </is>
      </c>
      <c r="E87" s="9" t="inlineStr">
        <is>
          <t>Groceries</t>
        </is>
      </c>
      <c r="F87" s="9" t="inlineStr">
        <is>
          <t>Groceries</t>
        </is>
      </c>
      <c r="G87" s="9" t="inlineStr">
        <is>
          <t>Checking</t>
        </is>
      </c>
      <c r="H87" s="9" t="inlineStr">
        <is>
          <t>Debit Card</t>
        </is>
      </c>
      <c r="I87" s="9" t="inlineStr">
        <is>
          <t>Expense</t>
        </is>
      </c>
      <c r="J87" s="3" t="n">
        <v>14.19</v>
      </c>
      <c r="K87" s="9" t="inlineStr">
        <is>
          <t>8월 5주차; Chase Secure (...0119); Balance shown: $3,836.33</t>
        </is>
      </c>
    </row>
    <row r="88">
      <c r="A88" s="4" t="n">
        <v>46258</v>
      </c>
      <c r="B88" s="9">
        <f>IF(A88="","",IF(DAY(A88)&lt;=2,1,IF(DAY(A88)&lt;=9,2,IF(DAY(A88)&lt;=16,3,IF(DAY(A88)&lt;=23,4,5)))))</f>
        <v/>
      </c>
      <c r="C88" s="9" t="inlineStr">
        <is>
          <t>MTA*NYCT PAYGO NEW YORK NY 08/22 (...0119)</t>
        </is>
      </c>
      <c r="D88" s="9" t="inlineStr">
        <is>
          <t>MTA NYCT Paygo</t>
        </is>
      </c>
      <c r="E88" s="9" t="inlineStr">
        <is>
          <t>Transportation</t>
        </is>
      </c>
      <c r="F88" s="9" t="inlineStr">
        <is>
          <t>Public transit</t>
        </is>
      </c>
      <c r="G88" s="9" t="inlineStr">
        <is>
          <t>Checking</t>
        </is>
      </c>
      <c r="H88" s="9" t="inlineStr">
        <is>
          <t>Debit Card</t>
        </is>
      </c>
      <c r="I88" s="9" t="inlineStr">
        <is>
          <t>Expense</t>
        </is>
      </c>
      <c r="J88" s="3" t="n">
        <v>2</v>
      </c>
      <c r="K88" s="9" t="inlineStr">
        <is>
          <t>8월 5주차; Chase Secure (...0119); Balance shown: $3,834.33</t>
        </is>
      </c>
    </row>
    <row r="89">
      <c r="A89" s="4" t="n">
        <v>46258</v>
      </c>
      <c r="B89" s="9">
        <f>IF(A89="","",IF(DAY(A89)&lt;=2,1,IF(DAY(A89)&lt;=9,2,IF(DAY(A89)&lt;=16,3,IF(DAY(A89)&lt;=23,4,5)))))</f>
        <v/>
      </c>
      <c r="C89" s="9" t="inlineStr">
        <is>
          <t>LEGENDS@YANKEE STDM-CO BRONX NY 08/23 (...0119)</t>
        </is>
      </c>
      <c r="D89" s="9" t="inlineStr">
        <is>
          <t>Legends at Yankee Stadium</t>
        </is>
      </c>
      <c r="E89" s="9" t="inlineStr">
        <is>
          <t>Entertainment</t>
        </is>
      </c>
      <c r="F89" s="9" t="inlineStr">
        <is>
          <t>Stadium concessions</t>
        </is>
      </c>
      <c r="G89" s="9" t="inlineStr">
        <is>
          <t>Checking</t>
        </is>
      </c>
      <c r="H89" s="9" t="inlineStr">
        <is>
          <t>Debit Card</t>
        </is>
      </c>
      <c r="I89" s="9" t="inlineStr">
        <is>
          <t>Expense</t>
        </is>
      </c>
      <c r="J89" s="3" t="n">
        <v>6.74</v>
      </c>
      <c r="K89" s="9" t="inlineStr">
        <is>
          <t>8월 5주차; Chase Secure (...0119); Balance shown: $3,827.59</t>
        </is>
      </c>
    </row>
    <row r="90">
      <c r="A90" s="4" t="n">
        <v>46258</v>
      </c>
      <c r="B90" s="9">
        <f>IF(A90="","",IF(DAY(A90)&lt;=2,1,IF(DAY(A90)&lt;=9,2,IF(DAY(A90)&lt;=16,3,IF(DAY(A90)&lt;=23,4,5)))))</f>
        <v/>
      </c>
      <c r="C90" s="9" t="inlineStr">
        <is>
          <t>LEGENDS@YANKEE STDM-CO BRONX NY 08/23 (...0119)</t>
        </is>
      </c>
      <c r="D90" s="9" t="inlineStr">
        <is>
          <t>Legends at Yankee Stadium</t>
        </is>
      </c>
      <c r="E90" s="9" t="inlineStr">
        <is>
          <t>Entertainment</t>
        </is>
      </c>
      <c r="F90" s="9" t="inlineStr">
        <is>
          <t>Stadium concessions</t>
        </is>
      </c>
      <c r="G90" s="9" t="inlineStr">
        <is>
          <t>Checking</t>
        </is>
      </c>
      <c r="H90" s="9" t="inlineStr">
        <is>
          <t>Debit Card</t>
        </is>
      </c>
      <c r="I90" s="9" t="inlineStr">
        <is>
          <t>Expense</t>
        </is>
      </c>
      <c r="J90" s="3" t="n">
        <v>9.79</v>
      </c>
      <c r="K90" s="9" t="inlineStr">
        <is>
          <t>8월 5주차; Chase Secure (...0119); Balance shown: $3,817.80</t>
        </is>
      </c>
    </row>
    <row r="91">
      <c r="A91" s="4" t="n">
        <v>46258</v>
      </c>
      <c r="B91" s="9">
        <f>IF(A91="","",IF(DAY(A91)&lt;=2,1,IF(DAY(A91)&lt;=9,2,IF(DAY(A91)&lt;=16,3,IF(DAY(A91)&lt;=23,4,5)))))</f>
        <v/>
      </c>
      <c r="C91" s="9" t="inlineStr">
        <is>
          <t>LEGENDS@YANKEE STDM-VE BRONX NY 08/23 (...0119)</t>
        </is>
      </c>
      <c r="D91" s="9" t="inlineStr">
        <is>
          <t>Legends at Yankee Stadium</t>
        </is>
      </c>
      <c r="E91" s="9" t="inlineStr">
        <is>
          <t>Entertainment</t>
        </is>
      </c>
      <c r="F91" s="9" t="inlineStr">
        <is>
          <t>Stadium concessions</t>
        </is>
      </c>
      <c r="G91" s="9" t="inlineStr">
        <is>
          <t>Checking</t>
        </is>
      </c>
      <c r="H91" s="9" t="inlineStr">
        <is>
          <t>Debit Card</t>
        </is>
      </c>
      <c r="I91" s="9" t="inlineStr">
        <is>
          <t>Expense</t>
        </is>
      </c>
      <c r="J91" s="3" t="n">
        <v>19.04</v>
      </c>
      <c r="K91" s="9" t="inlineStr">
        <is>
          <t>8월 5주차; Chase Secure (...0119); Balance shown: $3,798.76</t>
        </is>
      </c>
    </row>
    <row r="92">
      <c r="A92" s="4" t="n">
        <v>46258</v>
      </c>
      <c r="B92" s="9">
        <f>IF(A92="","",IF(DAY(A92)&lt;=2,1,IF(DAY(A92)&lt;=9,2,IF(DAY(A92)&lt;=16,3,IF(DAY(A92)&lt;=23,4,5)))))</f>
        <v/>
      </c>
      <c r="C92" s="9" t="inlineStr">
        <is>
          <t>Zelle payment to Fall party RSVP 30540408996</t>
        </is>
      </c>
      <c r="D92" s="9" t="inlineStr">
        <is>
          <t>Fall party RSVP</t>
        </is>
      </c>
      <c r="E92" s="9" t="inlineStr">
        <is>
          <t>Entertainment</t>
        </is>
      </c>
      <c r="F92" s="9" t="inlineStr">
        <is>
          <t>Party RSVP</t>
        </is>
      </c>
      <c r="G92" s="9" t="inlineStr">
        <is>
          <t>Checking</t>
        </is>
      </c>
      <c r="H92" s="9" t="inlineStr">
        <is>
          <t>Zelle debit</t>
        </is>
      </c>
      <c r="I92" s="9" t="inlineStr">
        <is>
          <t>Expense</t>
        </is>
      </c>
      <c r="J92" s="3" t="n">
        <v>30</v>
      </c>
      <c r="K92" s="9" t="inlineStr">
        <is>
          <t>8월 5주차; Chase Secure (...0119); Balance shown: $3,768.76</t>
        </is>
      </c>
    </row>
    <row r="93">
      <c r="A93" s="4" t="n">
        <v>46259</v>
      </c>
      <c r="B93" s="9">
        <f>IF(A93="","",IF(DAY(A93)&lt;=2,1,IF(DAY(A93)&lt;=9,2,IF(DAY(A93)&lt;=16,3,IF(DAY(A93)&lt;=23,4,5)))))</f>
        <v/>
      </c>
      <c r="C93" s="9" t="inlineStr">
        <is>
          <t>LEGENDS@YANKEE STDM-CO BRONX NY 08/23 (...0119)</t>
        </is>
      </c>
      <c r="D93" s="9" t="inlineStr">
        <is>
          <t>Legends at Yankee Stadium</t>
        </is>
      </c>
      <c r="E93" s="9" t="inlineStr">
        <is>
          <t>Entertainment</t>
        </is>
      </c>
      <c r="F93" s="9" t="inlineStr">
        <is>
          <t>Stadium concessions</t>
        </is>
      </c>
      <c r="G93" s="9" t="inlineStr">
        <is>
          <t>Checking</t>
        </is>
      </c>
      <c r="H93" s="9" t="inlineStr">
        <is>
          <t>Debit Card</t>
        </is>
      </c>
      <c r="I93" s="9" t="inlineStr">
        <is>
          <t>Expense</t>
        </is>
      </c>
      <c r="J93" s="3" t="n">
        <v>27.21</v>
      </c>
      <c r="K93" s="9" t="inlineStr">
        <is>
          <t>8월 5주차; Chase Secure (...0119); Balance shown: $3,741.55</t>
        </is>
      </c>
    </row>
    <row r="94">
      <c r="A94" s="4" t="n">
        <v>46259</v>
      </c>
      <c r="B94" s="9">
        <f>IF(A94="","",IF(DAY(A94)&lt;=2,1,IF(DAY(A94)&lt;=9,2,IF(DAY(A94)&lt;=16,3,IF(DAY(A94)&lt;=23,4,5)))))</f>
        <v/>
      </c>
      <c r="C94" s="9" t="inlineStr">
        <is>
          <t>LEGENDS@YANKEE STDM-CO BRONX NY 08/23 (...0119)</t>
        </is>
      </c>
      <c r="D94" s="9" t="inlineStr">
        <is>
          <t>Legends at Yankee Stadium</t>
        </is>
      </c>
      <c r="E94" s="9" t="inlineStr">
        <is>
          <t>Entertainment</t>
        </is>
      </c>
      <c r="F94" s="9" t="inlineStr">
        <is>
          <t>Stadium concessions</t>
        </is>
      </c>
      <c r="G94" s="9" t="inlineStr">
        <is>
          <t>Checking</t>
        </is>
      </c>
      <c r="H94" s="9" t="inlineStr">
        <is>
          <t>Debit Card</t>
        </is>
      </c>
      <c r="I94" s="9" t="inlineStr">
        <is>
          <t>Expense</t>
        </is>
      </c>
      <c r="J94" s="3" t="n">
        <v>9.24</v>
      </c>
      <c r="K94" s="9" t="inlineStr">
        <is>
          <t>8월 5주차; Chase Secure (...0119); Balance shown: $3,732.31</t>
        </is>
      </c>
    </row>
    <row r="95">
      <c r="A95" s="4" t="n">
        <v>46259</v>
      </c>
      <c r="B95" s="9">
        <f>IF(A95="","",IF(DAY(A95)&lt;=2,1,IF(DAY(A95)&lt;=9,2,IF(DAY(A95)&lt;=16,3,IF(DAY(A95)&lt;=23,4,5)))))</f>
        <v/>
      </c>
      <c r="C95" s="9" t="inlineStr">
        <is>
          <t>MTA*NYCT PAYGO NEW YORK NY 08/24 (...0119)</t>
        </is>
      </c>
      <c r="D95" s="9" t="inlineStr">
        <is>
          <t>MTA NYCT Paygo</t>
        </is>
      </c>
      <c r="E95" s="9" t="inlineStr">
        <is>
          <t>Transportation</t>
        </is>
      </c>
      <c r="F95" s="9" t="inlineStr">
        <is>
          <t>Public transit</t>
        </is>
      </c>
      <c r="G95" s="9" t="inlineStr">
        <is>
          <t>Checking</t>
        </is>
      </c>
      <c r="H95" s="9" t="inlineStr">
        <is>
          <t>Debit Card</t>
        </is>
      </c>
      <c r="I95" s="9" t="inlineStr">
        <is>
          <t>Expense</t>
        </is>
      </c>
      <c r="J95" s="3" t="n">
        <v>3</v>
      </c>
      <c r="K95" s="9" t="inlineStr">
        <is>
          <t>8월 5주차; Chase Secure (...0119); Balance shown: $3,729.31</t>
        </is>
      </c>
    </row>
    <row r="96">
      <c r="A96" s="4" t="n">
        <v>46259</v>
      </c>
      <c r="B96" s="9">
        <f>IF(A96="","",IF(DAY(A96)&lt;=2,1,IF(DAY(A96)&lt;=9,2,IF(DAY(A96)&lt;=16,3,IF(DAY(A96)&lt;=23,4,5)))))</f>
        <v/>
      </c>
      <c r="C96" s="9" t="inlineStr">
        <is>
          <t>MTA*NYCT PAYGO NEW YORK NY 08/24 (...0119)</t>
        </is>
      </c>
      <c r="D96" s="9" t="inlineStr">
        <is>
          <t>MTA NYCT Paygo</t>
        </is>
      </c>
      <c r="E96" s="9" t="inlineStr">
        <is>
          <t>Transportation</t>
        </is>
      </c>
      <c r="F96" s="9" t="inlineStr">
        <is>
          <t>Public transit</t>
        </is>
      </c>
      <c r="G96" s="9" t="inlineStr">
        <is>
          <t>Checking</t>
        </is>
      </c>
      <c r="H96" s="9" t="inlineStr">
        <is>
          <t>Debit Card</t>
        </is>
      </c>
      <c r="I96" s="9" t="inlineStr">
        <is>
          <t>Expense</t>
        </is>
      </c>
      <c r="J96" s="3" t="n">
        <v>3</v>
      </c>
      <c r="K96" s="9" t="inlineStr">
        <is>
          <t>8월 5주차; Chase Secure (...0119); Balance shown: $3,726.31</t>
        </is>
      </c>
    </row>
    <row r="97">
      <c r="A97" s="4" t="n">
        <v>46259</v>
      </c>
      <c r="B97" s="9">
        <f>IF(A97="","",IF(DAY(A97)&lt;=2,1,IF(DAY(A97)&lt;=9,2,IF(DAY(A97)&lt;=16,3,IF(DAY(A97)&lt;=23,4,5)))))</f>
        <v/>
      </c>
      <c r="C97" s="9" t="inlineStr">
        <is>
          <t>Zelle payment to Jeongeun Kim JPM99cu910xg</t>
        </is>
      </c>
      <c r="D97" s="9" t="inlineStr">
        <is>
          <t>Jeongeun Kim</t>
        </is>
      </c>
      <c r="E97" s="9" t="inlineStr">
        <is>
          <t>Shipping</t>
        </is>
      </c>
      <c r="F97" s="9" t="inlineStr">
        <is>
          <t>Parcel delivery</t>
        </is>
      </c>
      <c r="G97" s="9" t="inlineStr">
        <is>
          <t>Checking</t>
        </is>
      </c>
      <c r="H97" s="9" t="inlineStr">
        <is>
          <t>Zelle debit</t>
        </is>
      </c>
      <c r="I97" s="9" t="inlineStr">
        <is>
          <t>Expense</t>
        </is>
      </c>
      <c r="J97" s="3" t="n">
        <v>165.75</v>
      </c>
      <c r="K97" s="9" t="inlineStr">
        <is>
          <t>8월 5주차; Chase Secure (...0119); Balance shown: $3,560.56; 택배비</t>
        </is>
      </c>
    </row>
    <row r="98">
      <c r="A98" s="4" t="n">
        <v>46261</v>
      </c>
      <c r="B98" s="9">
        <f>IF(A98="","",IF(DAY(A98)&lt;=2,1,IF(DAY(A98)&lt;=9,2,IF(DAY(A98)&lt;=16,3,IF(DAY(A98)&lt;=23,4,5)))))</f>
        <v/>
      </c>
      <c r="C98" s="9" t="inlineStr">
        <is>
          <t>MTA*NYCT PAYGO NEW YORK NY 08/25 (...0119)</t>
        </is>
      </c>
      <c r="D98" s="9" t="inlineStr">
        <is>
          <t>MTA NYCT Paygo</t>
        </is>
      </c>
      <c r="E98" s="9" t="inlineStr">
        <is>
          <t>Transportation</t>
        </is>
      </c>
      <c r="F98" s="9" t="inlineStr">
        <is>
          <t>Public transit</t>
        </is>
      </c>
      <c r="G98" s="9" t="inlineStr">
        <is>
          <t>Checking</t>
        </is>
      </c>
      <c r="H98" s="9" t="inlineStr">
        <is>
          <t>Debit Card</t>
        </is>
      </c>
      <c r="I98" s="9" t="inlineStr">
        <is>
          <t>Expense</t>
        </is>
      </c>
      <c r="J98" s="3" t="n">
        <v>3</v>
      </c>
      <c r="K98" s="9" t="inlineStr">
        <is>
          <t>8월 5주차; Chase Secure (...0119); Balance shown: $3,557.56</t>
        </is>
      </c>
    </row>
    <row r="99">
      <c r="A99" s="4" t="n">
        <v>46261</v>
      </c>
      <c r="B99" s="9">
        <f>IF(A99="","",IF(DAY(A99)&lt;=2,1,IF(DAY(A99)&lt;=9,2,IF(DAY(A99)&lt;=16,3,IF(DAY(A99)&lt;=23,4,5)))))</f>
        <v/>
      </c>
      <c r="C99" s="9" t="inlineStr">
        <is>
          <t>MTA*NYCT PAYGO NEW YORK NY 08/25 (...0119)</t>
        </is>
      </c>
      <c r="D99" s="9" t="inlineStr">
        <is>
          <t>MTA NYCT Paygo</t>
        </is>
      </c>
      <c r="E99" s="9" t="inlineStr">
        <is>
          <t>Transportation</t>
        </is>
      </c>
      <c r="F99" s="9" t="inlineStr">
        <is>
          <t>Public transit</t>
        </is>
      </c>
      <c r="G99" s="9" t="inlineStr">
        <is>
          <t>Checking</t>
        </is>
      </c>
      <c r="H99" s="9" t="inlineStr">
        <is>
          <t>Debit Card</t>
        </is>
      </c>
      <c r="I99" s="9" t="inlineStr">
        <is>
          <t>Expense</t>
        </is>
      </c>
      <c r="J99" s="3" t="n">
        <v>3</v>
      </c>
      <c r="K99" s="9" t="inlineStr">
        <is>
          <t>8월 5주차; Chase Secure (...0119); Balance shown: $3,554.56</t>
        </is>
      </c>
    </row>
    <row r="100">
      <c r="A100" s="4" t="n">
        <v>46261</v>
      </c>
      <c r="B100" s="9">
        <f>IF(A100="","",IF(DAY(A100)&lt;=2,1,IF(DAY(A100)&lt;=9,2,IF(DAY(A100)&lt;=16,3,IF(DAY(A100)&lt;=23,4,5)))))</f>
        <v/>
      </c>
      <c r="C100" s="9" t="inlineStr">
        <is>
          <t>H MART NEW YORK NY 08/25 (...0119)</t>
        </is>
      </c>
      <c r="D100" s="9" t="inlineStr">
        <is>
          <t>H Mart</t>
        </is>
      </c>
      <c r="E100" s="9" t="inlineStr">
        <is>
          <t>Groceries</t>
        </is>
      </c>
      <c r="F100" s="9" t="inlineStr">
        <is>
          <t>Groceries</t>
        </is>
      </c>
      <c r="G100" s="9" t="inlineStr">
        <is>
          <t>Checking</t>
        </is>
      </c>
      <c r="H100" s="9" t="inlineStr">
        <is>
          <t>Debit Card</t>
        </is>
      </c>
      <c r="I100" s="9" t="inlineStr">
        <is>
          <t>Expense</t>
        </is>
      </c>
      <c r="J100" s="3" t="n">
        <v>49.07</v>
      </c>
      <c r="K100" s="9" t="inlineStr">
        <is>
          <t>8월 5주차; Chase Secure (...0119); Balance shown: $3,505.49</t>
        </is>
      </c>
    </row>
    <row r="101">
      <c r="A101" s="4" t="n">
        <v>46262</v>
      </c>
      <c r="B101" s="9">
        <f>IF(A101="","",IF(DAY(A101)&lt;=2,1,IF(DAY(A101)&lt;=9,2,IF(DAY(A101)&lt;=16,3,IF(DAY(A101)&lt;=23,4,5)))))</f>
        <v/>
      </c>
      <c r="C101" s="9" t="inlineStr">
        <is>
          <t>TRADER JOE S #54 445 G NEW YORK NY 905886 08/28 (...0119)</t>
        </is>
      </c>
      <c r="D101" s="9" t="inlineStr">
        <is>
          <t>Trader Joe's</t>
        </is>
      </c>
      <c r="E101" s="9" t="inlineStr">
        <is>
          <t>Groceries</t>
        </is>
      </c>
      <c r="F101" s="9" t="inlineStr">
        <is>
          <t>Groceries</t>
        </is>
      </c>
      <c r="G101" s="9" t="inlineStr">
        <is>
          <t>Checking</t>
        </is>
      </c>
      <c r="H101" s="9" t="inlineStr">
        <is>
          <t>Debit Card</t>
        </is>
      </c>
      <c r="I101" s="9" t="inlineStr">
        <is>
          <t>Expense</t>
        </is>
      </c>
      <c r="J101" s="3" t="n">
        <v>13</v>
      </c>
      <c r="K101" s="9" t="inlineStr">
        <is>
          <t>8월 5주차; Chase Secure (...0119); Balance shown: $8,458.64</t>
        </is>
      </c>
    </row>
    <row r="102">
      <c r="A102" s="4" t="n">
        <v>46262</v>
      </c>
      <c r="B102" s="9">
        <f>IF(A102="","",IF(DAY(A102)&lt;=2,1,IF(DAY(A102)&lt;=9,2,IF(DAY(A102)&lt;=16,3,IF(DAY(A102)&lt;=23,4,5)))))</f>
        <v/>
      </c>
      <c r="C102" s="9" t="inlineStr">
        <is>
          <t>MTA*NYCT PAYGO NEW YORK NY 08/27 (...0119)</t>
        </is>
      </c>
      <c r="D102" s="9" t="inlineStr">
        <is>
          <t>MTA NYCT Paygo</t>
        </is>
      </c>
      <c r="E102" s="9" t="inlineStr">
        <is>
          <t>Transportation</t>
        </is>
      </c>
      <c r="F102" s="9" t="inlineStr">
        <is>
          <t>Public transit</t>
        </is>
      </c>
      <c r="G102" s="9" t="inlineStr">
        <is>
          <t>Checking</t>
        </is>
      </c>
      <c r="H102" s="9" t="inlineStr">
        <is>
          <t>Debit Card</t>
        </is>
      </c>
      <c r="I102" s="9" t="inlineStr">
        <is>
          <t>Expense</t>
        </is>
      </c>
      <c r="J102" s="3" t="n">
        <v>3</v>
      </c>
      <c r="K102" s="9" t="inlineStr">
        <is>
          <t>8월 5주차; Chase Secure (...0119); Balance shown: $8,471.64</t>
        </is>
      </c>
    </row>
    <row r="103">
      <c r="A103" s="4" t="n">
        <v>46262</v>
      </c>
      <c r="B103" s="9">
        <f>IF(A103="","",IF(DAY(A103)&lt;=2,1,IF(DAY(A103)&lt;=9,2,IF(DAY(A103)&lt;=16,3,IF(DAY(A103)&lt;=23,4,5)))))</f>
        <v/>
      </c>
      <c r="C103" s="9" t="inlineStr">
        <is>
          <t>NJT BUS MY-TIX JWAITE@NJTRAN NJ 08/27 (...0119)</t>
        </is>
      </c>
      <c r="D103" s="9" t="inlineStr">
        <is>
          <t>NJ Transit MyTix</t>
        </is>
      </c>
      <c r="E103" s="9" t="inlineStr">
        <is>
          <t>Transportation</t>
        </is>
      </c>
      <c r="F103" s="9" t="inlineStr">
        <is>
          <t>Public transit</t>
        </is>
      </c>
      <c r="G103" s="9" t="inlineStr">
        <is>
          <t>Checking</t>
        </is>
      </c>
      <c r="H103" s="9" t="inlineStr">
        <is>
          <t>Debit Card</t>
        </is>
      </c>
      <c r="I103" s="9" t="inlineStr">
        <is>
          <t>Expense</t>
        </is>
      </c>
      <c r="J103" s="3" t="n">
        <v>5.45</v>
      </c>
      <c r="K103" s="9" t="inlineStr">
        <is>
          <t>8월 5주차; Chase Secure (...0119); Balance shown: $8,474.64</t>
        </is>
      </c>
    </row>
    <row r="104">
      <c r="A104" s="4" t="n">
        <v>46262</v>
      </c>
      <c r="B104" s="9">
        <f>IF(A104="","",IF(DAY(A104)&lt;=2,1,IF(DAY(A104)&lt;=9,2,IF(DAY(A104)&lt;=16,3,IF(DAY(A104)&lt;=23,4,5)))))</f>
        <v/>
      </c>
      <c r="C104" s="9" t="inlineStr">
        <is>
          <t>HAN MI SUPERMARKET PALISADES PAR NJ 08/27 (...0119)</t>
        </is>
      </c>
      <c r="D104" s="9" t="inlineStr">
        <is>
          <t>Han Mi Supermarket</t>
        </is>
      </c>
      <c r="E104" s="9" t="inlineStr">
        <is>
          <t>Groceries</t>
        </is>
      </c>
      <c r="F104" s="9" t="inlineStr">
        <is>
          <t>Groceries</t>
        </is>
      </c>
      <c r="G104" s="9" t="inlineStr">
        <is>
          <t>Checking</t>
        </is>
      </c>
      <c r="H104" s="9" t="inlineStr">
        <is>
          <t>Debit Card</t>
        </is>
      </c>
      <c r="I104" s="9" t="inlineStr">
        <is>
          <t>Expense</t>
        </is>
      </c>
      <c r="J104" s="3" t="n">
        <v>3.2</v>
      </c>
      <c r="K104" s="9" t="inlineStr">
        <is>
          <t>8월 5주차; Chase Secure (...0119); Balance shown: $8,480.09</t>
        </is>
      </c>
    </row>
    <row r="105">
      <c r="A105" s="4" t="n">
        <v>46262</v>
      </c>
      <c r="B105" s="9">
        <f>IF(A105="","",IF(DAY(A105)&lt;=2,1,IF(DAY(A105)&lt;=9,2,IF(DAY(A105)&lt;=16,3,IF(DAY(A105)&lt;=23,4,5)))))</f>
        <v/>
      </c>
      <c r="C105" s="9" t="inlineStr">
        <is>
          <t>MTA*NYCT PAYGO NEW YORK NY 08/27 (...0119)</t>
        </is>
      </c>
      <c r="D105" s="9" t="inlineStr">
        <is>
          <t>MTA NYCT Paygo</t>
        </is>
      </c>
      <c r="E105" s="9" t="inlineStr">
        <is>
          <t>Transportation</t>
        </is>
      </c>
      <c r="F105" s="9" t="inlineStr">
        <is>
          <t>Public transit</t>
        </is>
      </c>
      <c r="G105" s="9" t="inlineStr">
        <is>
          <t>Checking</t>
        </is>
      </c>
      <c r="H105" s="9" t="inlineStr">
        <is>
          <t>Debit Card</t>
        </is>
      </c>
      <c r="I105" s="9" t="inlineStr">
        <is>
          <t>Expense</t>
        </is>
      </c>
      <c r="J105" s="3" t="n">
        <v>3</v>
      </c>
      <c r="K105" s="9" t="inlineStr">
        <is>
          <t>8월 5주차; Chase Secure (...0119); Balance shown: $8,483.29</t>
        </is>
      </c>
    </row>
    <row r="106">
      <c r="A106" s="4" t="n">
        <v>46262</v>
      </c>
      <c r="B106" s="9">
        <f>IF(A106="","",IF(DAY(A106)&lt;=2,1,IF(DAY(A106)&lt;=9,2,IF(DAY(A106)&lt;=16,3,IF(DAY(A106)&lt;=23,4,5)))))</f>
        <v/>
      </c>
      <c r="C106" s="9" t="inlineStr">
        <is>
          <t>MTA*NYCT PAYGO NEW YORK NY 08/27 (...0119)</t>
        </is>
      </c>
      <c r="D106" s="9" t="inlineStr">
        <is>
          <t>MTA NYCT Paygo</t>
        </is>
      </c>
      <c r="E106" s="9" t="inlineStr">
        <is>
          <t>Transportation</t>
        </is>
      </c>
      <c r="F106" s="9" t="inlineStr">
        <is>
          <t>Public transit</t>
        </is>
      </c>
      <c r="G106" s="9" t="inlineStr">
        <is>
          <t>Checking</t>
        </is>
      </c>
      <c r="H106" s="9" t="inlineStr">
        <is>
          <t>Debit Card</t>
        </is>
      </c>
      <c r="I106" s="9" t="inlineStr">
        <is>
          <t>Expense</t>
        </is>
      </c>
      <c r="J106" s="3" t="n">
        <v>3</v>
      </c>
      <c r="K106" s="9" t="inlineStr">
        <is>
          <t>8월 5주차; Chase Secure (...0119); Balance shown: $8,486.29</t>
        </is>
      </c>
    </row>
    <row r="107">
      <c r="A107" s="4" t="n">
        <v>46262</v>
      </c>
      <c r="B107" s="9">
        <f>IF(A107="","",IF(DAY(A107)&lt;=2,1,IF(DAY(A107)&lt;=9,2,IF(DAY(A107)&lt;=16,3,IF(DAY(A107)&lt;=23,4,5)))))</f>
        <v/>
      </c>
      <c r="C107" s="9" t="inlineStr">
        <is>
          <t>NEW YORK UNIVERS DIRECT DEP PPD ID: 5135562308</t>
        </is>
      </c>
      <c r="D107" s="9" t="inlineStr">
        <is>
          <t>New York University</t>
        </is>
      </c>
      <c r="E107" s="9" t="inlineStr">
        <is>
          <t>Income</t>
        </is>
      </c>
      <c r="F107" s="9" t="inlineStr">
        <is>
          <t>Salary</t>
        </is>
      </c>
      <c r="G107" s="9" t="inlineStr">
        <is>
          <t>Checking</t>
        </is>
      </c>
      <c r="H107" s="9" t="inlineStr">
        <is>
          <t>ACH</t>
        </is>
      </c>
      <c r="I107" s="9" t="inlineStr">
        <is>
          <t>Income</t>
        </is>
      </c>
      <c r="J107" s="3" t="n">
        <v>4988</v>
      </c>
      <c r="K107" s="9" t="inlineStr">
        <is>
          <t>8월 5주차; Chase Secure (...0119); Balance shown: $8,489.29</t>
        </is>
      </c>
    </row>
    <row r="108">
      <c r="A108" s="4" t="n">
        <v>46265</v>
      </c>
      <c r="B108" s="9">
        <f>IF(A108="","",IF(DAY(A108)&lt;=2,1,IF(DAY(A108)&lt;=9,2,IF(DAY(A108)&lt;=16,3,IF(DAY(A108)&lt;=23,4,5)))))</f>
        <v/>
      </c>
      <c r="C108" s="9" t="inlineStr">
        <is>
          <t>MTA*NYCT PAYGO NEW YORK NY 08/30 (...0119)</t>
        </is>
      </c>
      <c r="D108" s="9" t="inlineStr">
        <is>
          <t>MTA NYCT Paygo</t>
        </is>
      </c>
      <c r="E108" s="9" t="inlineStr">
        <is>
          <t>Transportation</t>
        </is>
      </c>
      <c r="F108" s="9" t="inlineStr">
        <is>
          <t>Public transit</t>
        </is>
      </c>
      <c r="G108" s="9" t="inlineStr">
        <is>
          <t>Checking</t>
        </is>
      </c>
      <c r="H108" s="9" t="inlineStr">
        <is>
          <t>Debit Card</t>
        </is>
      </c>
      <c r="I108" s="9" t="inlineStr">
        <is>
          <t>Expense</t>
        </is>
      </c>
      <c r="J108" s="3" t="n">
        <v>2</v>
      </c>
      <c r="K108" s="9" t="inlineStr">
        <is>
          <t>8월 5주차; Chase Secure (...0119); Balance shown: $8,242.24</t>
        </is>
      </c>
    </row>
    <row r="109">
      <c r="A109" s="4" t="n">
        <v>46265</v>
      </c>
      <c r="B109" s="9">
        <f>IF(A109="","",IF(DAY(A109)&lt;=2,1,IF(DAY(A109)&lt;=9,2,IF(DAY(A109)&lt;=16,3,IF(DAY(A109)&lt;=23,4,5)))))</f>
        <v/>
      </c>
      <c r="C109" s="9" t="inlineStr">
        <is>
          <t>WHOLEFDS HRM#105 100 W NEW YORK NY 184677 08/30 (...0119)</t>
        </is>
      </c>
      <c r="D109" s="9" t="inlineStr">
        <is>
          <t>Whole Foods Market</t>
        </is>
      </c>
      <c r="E109" s="9" t="inlineStr">
        <is>
          <t>Groceries</t>
        </is>
      </c>
      <c r="F109" s="9" t="inlineStr">
        <is>
          <t>Groceries</t>
        </is>
      </c>
      <c r="G109" s="9" t="inlineStr">
        <is>
          <t>Checking</t>
        </is>
      </c>
      <c r="H109" s="9" t="inlineStr">
        <is>
          <t>Debit Card</t>
        </is>
      </c>
      <c r="I109" s="9" t="inlineStr">
        <is>
          <t>Expense</t>
        </is>
      </c>
      <c r="J109" s="3" t="n">
        <v>47.02</v>
      </c>
      <c r="K109" s="9" t="inlineStr">
        <is>
          <t>8월 5주차; Chase Secure (...0119); Balance shown: $8,244.24</t>
        </is>
      </c>
    </row>
    <row r="110">
      <c r="A110" s="4" t="n">
        <v>46265</v>
      </c>
      <c r="B110" s="9">
        <f>IF(A110="","",IF(DAY(A110)&lt;=2,1,IF(DAY(A110)&lt;=9,2,IF(DAY(A110)&lt;=16,3,IF(DAY(A110)&lt;=23,4,5)))))</f>
        <v/>
      </c>
      <c r="C110" s="9" t="inlineStr">
        <is>
          <t>T.J. MAXX #1469 NEW YORK NY 013504 08/30 (...0119)</t>
        </is>
      </c>
      <c r="D110" s="9" t="inlineStr">
        <is>
          <t>T.J. Maxx</t>
        </is>
      </c>
      <c r="E110" s="9" t="inlineStr">
        <is>
          <t>Shopping</t>
        </is>
      </c>
      <c r="F110" s="9" t="inlineStr">
        <is>
          <t>Clothing &amp; household</t>
        </is>
      </c>
      <c r="G110" s="9" t="inlineStr">
        <is>
          <t>Checking</t>
        </is>
      </c>
      <c r="H110" s="9" t="inlineStr">
        <is>
          <t>Debit Card</t>
        </is>
      </c>
      <c r="I110" s="9" t="inlineStr">
        <is>
          <t>Expense</t>
        </is>
      </c>
      <c r="J110" s="3" t="n">
        <v>5.43</v>
      </c>
      <c r="K110" s="9" t="inlineStr">
        <is>
          <t>8월 5주차; Chase Secure (...0119); Balance shown: $8,291.26</t>
        </is>
      </c>
    </row>
    <row r="111">
      <c r="A111" s="4" t="n">
        <v>46265</v>
      </c>
      <c r="B111" s="9">
        <f>IF(A111="","",IF(DAY(A111)&lt;=2,1,IF(DAY(A111)&lt;=9,2,IF(DAY(A111)&lt;=16,3,IF(DAY(A111)&lt;=23,4,5)))))</f>
        <v/>
      </c>
      <c r="C111" s="9" t="inlineStr">
        <is>
          <t>TRADER JOE S #57 123 W HARLEM NY 252588 08/30 (...0119)</t>
        </is>
      </c>
      <c r="D111" s="9" t="inlineStr">
        <is>
          <t>Trader Joe's</t>
        </is>
      </c>
      <c r="E111" s="9" t="inlineStr">
        <is>
          <t>Groceries</t>
        </is>
      </c>
      <c r="F111" s="9" t="inlineStr">
        <is>
          <t>Groceries</t>
        </is>
      </c>
      <c r="G111" s="9" t="inlineStr">
        <is>
          <t>Checking</t>
        </is>
      </c>
      <c r="H111" s="9" t="inlineStr">
        <is>
          <t>Debit Card</t>
        </is>
      </c>
      <c r="I111" s="9" t="inlineStr">
        <is>
          <t>Expense</t>
        </is>
      </c>
      <c r="J111" s="3" t="n">
        <v>56.6</v>
      </c>
      <c r="K111" s="9" t="inlineStr">
        <is>
          <t>8월 5주차; Chase Secure (...0119); Balance shown: $8,296.69</t>
        </is>
      </c>
    </row>
    <row r="112">
      <c r="A112" s="4" t="n">
        <v>46265</v>
      </c>
      <c r="B112" s="9">
        <f>IF(A112="","",IF(DAY(A112)&lt;=2,1,IF(DAY(A112)&lt;=9,2,IF(DAY(A112)&lt;=16,3,IF(DAY(A112)&lt;=23,4,5)))))</f>
        <v/>
      </c>
      <c r="C112" s="9" t="inlineStr">
        <is>
          <t>TMOBILE*PREPAID WEB 877-778-2106 WA 08/30 (...0119)</t>
        </is>
      </c>
      <c r="D112" s="9" t="inlineStr">
        <is>
          <t>T-Mobile Prepaid</t>
        </is>
      </c>
      <c r="E112" s="9" t="inlineStr">
        <is>
          <t>Utilities</t>
        </is>
      </c>
      <c r="F112" s="9" t="inlineStr">
        <is>
          <t>Phone</t>
        </is>
      </c>
      <c r="G112" s="9" t="inlineStr">
        <is>
          <t>Checking</t>
        </is>
      </c>
      <c r="H112" s="9" t="inlineStr">
        <is>
          <t>Debit Card</t>
        </is>
      </c>
      <c r="I112" s="9" t="inlineStr">
        <is>
          <t>Expense</t>
        </is>
      </c>
      <c r="J112" s="3" t="n">
        <v>6.64</v>
      </c>
      <c r="K112" s="9" t="inlineStr">
        <is>
          <t>8월 5주차; Chase Secure (...0119); Balance shown: $8,353.29</t>
        </is>
      </c>
    </row>
    <row r="113">
      <c r="A113" s="4" t="n">
        <v>46265</v>
      </c>
      <c r="B113" s="9">
        <f>IF(A113="","",IF(DAY(A113)&lt;=2,1,IF(DAY(A113)&lt;=9,2,IF(DAY(A113)&lt;=16,3,IF(DAY(A113)&lt;=23,4,5)))))</f>
        <v/>
      </c>
      <c r="C113" s="9" t="inlineStr">
        <is>
          <t>MTA*NYCT PAYGO NEW YORK NY 08/29 (...0119)</t>
        </is>
      </c>
      <c r="D113" s="9" t="inlineStr">
        <is>
          <t>MTA NYCT Paygo</t>
        </is>
      </c>
      <c r="E113" s="9" t="inlineStr">
        <is>
          <t>Transportation</t>
        </is>
      </c>
      <c r="F113" s="9" t="inlineStr">
        <is>
          <t>Public transit</t>
        </is>
      </c>
      <c r="G113" s="9" t="inlineStr">
        <is>
          <t>Checking</t>
        </is>
      </c>
      <c r="H113" s="9" t="inlineStr">
        <is>
          <t>Debit Card</t>
        </is>
      </c>
      <c r="I113" s="9" t="inlineStr">
        <is>
          <t>Expense</t>
        </is>
      </c>
      <c r="J113" s="3" t="n">
        <v>3</v>
      </c>
      <c r="K113" s="9" t="inlineStr">
        <is>
          <t>8월 5주차; Chase Secure (...0119); Balance shown: $8,359.93</t>
        </is>
      </c>
    </row>
    <row r="114">
      <c r="A114" s="4" t="n">
        <v>46265</v>
      </c>
      <c r="B114" s="9">
        <f>IF(A114="","",IF(DAY(A114)&lt;=2,1,IF(DAY(A114)&lt;=9,2,IF(DAY(A114)&lt;=16,3,IF(DAY(A114)&lt;=23,4,5)))))</f>
        <v/>
      </c>
      <c r="C114" s="9" t="inlineStr">
        <is>
          <t>SQ *GYROWAY NYC INC New York NY 08/29 (...0119)</t>
        </is>
      </c>
      <c r="D114" s="9" t="inlineStr">
        <is>
          <t>Gyroway NYC</t>
        </is>
      </c>
      <c r="E114" s="9" t="inlineStr">
        <is>
          <t>Dining</t>
        </is>
      </c>
      <c r="F114" s="9" t="inlineStr">
        <is>
          <t>Restaurant</t>
        </is>
      </c>
      <c r="G114" s="9" t="inlineStr">
        <is>
          <t>Checking</t>
        </is>
      </c>
      <c r="H114" s="9" t="inlineStr">
        <is>
          <t>Debit Card</t>
        </is>
      </c>
      <c r="I114" s="9" t="inlineStr">
        <is>
          <t>Expense</t>
        </is>
      </c>
      <c r="J114" s="3" t="n">
        <v>14.67</v>
      </c>
      <c r="K114" s="9" t="inlineStr">
        <is>
          <t>8월 5주차; Chase Secure (...0119); Balance shown: $8,362.93</t>
        </is>
      </c>
    </row>
    <row r="115">
      <c r="A115" s="4" t="n">
        <v>46265</v>
      </c>
      <c r="B115" s="9">
        <f>IF(A115="","",IF(DAY(A115)&lt;=2,1,IF(DAY(A115)&lt;=9,2,IF(DAY(A115)&lt;=16,3,IF(DAY(A115)&lt;=23,4,5)))))</f>
        <v/>
      </c>
      <c r="C115" s="9" t="inlineStr">
        <is>
          <t>MTA*NYCT PAYGO NEW YORK NY 08/29 (...0119)</t>
        </is>
      </c>
      <c r="D115" s="9" t="inlineStr">
        <is>
          <t>MTA NYCT Paygo</t>
        </is>
      </c>
      <c r="E115" s="9" t="inlineStr">
        <is>
          <t>Transportation</t>
        </is>
      </c>
      <c r="F115" s="9" t="inlineStr">
        <is>
          <t>Public transit</t>
        </is>
      </c>
      <c r="G115" s="9" t="inlineStr">
        <is>
          <t>Checking</t>
        </is>
      </c>
      <c r="H115" s="9" t="inlineStr">
        <is>
          <t>Debit Card</t>
        </is>
      </c>
      <c r="I115" s="9" t="inlineStr">
        <is>
          <t>Expense</t>
        </is>
      </c>
      <c r="J115" s="3" t="n">
        <v>3</v>
      </c>
      <c r="K115" s="9" t="inlineStr">
        <is>
          <t>8월 5주차; Chase Secure (...0119); Balance shown: $8,377.60</t>
        </is>
      </c>
    </row>
    <row r="116">
      <c r="A116" s="4" t="n">
        <v>46265</v>
      </c>
      <c r="B116" s="9">
        <f>IF(A116="","",IF(DAY(A116)&lt;=2,1,IF(DAY(A116)&lt;=9,2,IF(DAY(A116)&lt;=16,3,IF(DAY(A116)&lt;=23,4,5)))))</f>
        <v/>
      </c>
      <c r="C116" s="9" t="inlineStr">
        <is>
          <t>MTA*NYCT PAYGO NEW YORK NY 08/28 (...0119)</t>
        </is>
      </c>
      <c r="D116" s="9" t="inlineStr">
        <is>
          <t>MTA NYCT Paygo</t>
        </is>
      </c>
      <c r="E116" s="9" t="inlineStr">
        <is>
          <t>Transportation</t>
        </is>
      </c>
      <c r="F116" s="9" t="inlineStr">
        <is>
          <t>Public transit</t>
        </is>
      </c>
      <c r="G116" s="9" t="inlineStr">
        <is>
          <t>Checking</t>
        </is>
      </c>
      <c r="H116" s="9" t="inlineStr">
        <is>
          <t>Debit Card</t>
        </is>
      </c>
      <c r="I116" s="9" t="inlineStr">
        <is>
          <t>Expense</t>
        </is>
      </c>
      <c r="J116" s="3" t="n">
        <v>3</v>
      </c>
      <c r="K116" s="9" t="inlineStr">
        <is>
          <t>8월 5주차; Chase Secure (...0119); Balance shown: $8,380.60</t>
        </is>
      </c>
    </row>
    <row r="117">
      <c r="A117" s="4" t="n">
        <v>46265</v>
      </c>
      <c r="B117" s="9">
        <f>IF(A117="","",IF(DAY(A117)&lt;=2,1,IF(DAY(A117)&lt;=9,2,IF(DAY(A117)&lt;=16,3,IF(DAY(A117)&lt;=23,4,5)))))</f>
        <v/>
      </c>
      <c r="C117" s="9" t="inlineStr">
        <is>
          <t>MTA*NYCT PAYGO NEW YORK NY 08/28 (...0119)</t>
        </is>
      </c>
      <c r="D117" s="9" t="inlineStr">
        <is>
          <t>MTA NYCT Paygo</t>
        </is>
      </c>
      <c r="E117" s="9" t="inlineStr">
        <is>
          <t>Transportation</t>
        </is>
      </c>
      <c r="F117" s="9" t="inlineStr">
        <is>
          <t>Public transit</t>
        </is>
      </c>
      <c r="G117" s="9" t="inlineStr">
        <is>
          <t>Checking</t>
        </is>
      </c>
      <c r="H117" s="9" t="inlineStr">
        <is>
          <t>Debit Card</t>
        </is>
      </c>
      <c r="I117" s="9" t="inlineStr">
        <is>
          <t>Expense</t>
        </is>
      </c>
      <c r="J117" s="3" t="n">
        <v>3</v>
      </c>
      <c r="K117" s="9" t="inlineStr">
        <is>
          <t>8월 5주차; Chase Secure (...0119); Balance shown: $8,383.60</t>
        </is>
      </c>
    </row>
    <row r="118">
      <c r="A118" s="4" t="n">
        <v>46265</v>
      </c>
      <c r="B118" s="9">
        <f>IF(A118="","",IF(DAY(A118)&lt;=2,1,IF(DAY(A118)&lt;=9,2,IF(DAY(A118)&lt;=16,3,IF(DAY(A118)&lt;=23,4,5)))))</f>
        <v/>
      </c>
      <c r="C118" s="9" t="inlineStr">
        <is>
          <t>SOOSANGHAN POCHA NEW PALISADES PAR NJ 08/27 (...0119)</t>
        </is>
      </c>
      <c r="D118" s="9" t="inlineStr">
        <is>
          <t>Soosanghan Pocha</t>
        </is>
      </c>
      <c r="E118" s="9" t="inlineStr">
        <is>
          <t>Dining</t>
        </is>
      </c>
      <c r="F118" s="9" t="inlineStr">
        <is>
          <t>Restaurant</t>
        </is>
      </c>
      <c r="G118" s="9" t="inlineStr">
        <is>
          <t>Checking</t>
        </is>
      </c>
      <c r="H118" s="9" t="inlineStr">
        <is>
          <t>Debit Card</t>
        </is>
      </c>
      <c r="I118" s="9" t="inlineStr">
        <is>
          <t>Expense</t>
        </is>
      </c>
      <c r="J118" s="3" t="n">
        <v>72.04</v>
      </c>
      <c r="K118" s="9" t="inlineStr">
        <is>
          <t>8월 5주차; Chase Secure (...0119); Balance shown: $8,386.60</t>
        </is>
      </c>
    </row>
    <row r="119">
      <c r="A119" s="4" t="n">
        <v/>
      </c>
      <c r="B119" s="9">
        <f>IF(A119="","",IF(DAY(A119)&lt;=2,1,IF(DAY(A119)&lt;=9,2,IF(DAY(A119)&lt;=16,3,IF(DAY(A119)&lt;=23,4,5)))))</f>
        <v/>
      </c>
      <c r="C119" s="9" t="n">
        <v/>
      </c>
      <c r="D119" s="9" t="n">
        <v/>
      </c>
      <c r="E119" s="9" t="n">
        <v/>
      </c>
      <c r="F119" s="9" t="n">
        <v/>
      </c>
      <c r="G119" s="9" t="n">
        <v/>
      </c>
      <c r="H119" s="9" t="n">
        <v/>
      </c>
      <c r="I119" s="9" t="n">
        <v/>
      </c>
      <c r="J119" s="3" t="n">
        <v/>
      </c>
      <c r="K119" s="9" t="n">
        <v/>
      </c>
    </row>
    <row r="120">
      <c r="A120" s="4" t="n">
        <v/>
      </c>
      <c r="B120" s="9">
        <f>IF(A120="","",IF(DAY(A120)&lt;=2,1,IF(DAY(A120)&lt;=9,2,IF(DAY(A120)&lt;=16,3,IF(DAY(A120)&lt;=23,4,5)))))</f>
        <v/>
      </c>
      <c r="C120" s="9" t="n">
        <v/>
      </c>
      <c r="D120" s="9" t="n">
        <v/>
      </c>
      <c r="E120" s="9" t="n">
        <v/>
      </c>
      <c r="F120" s="9" t="n">
        <v/>
      </c>
      <c r="G120" s="9" t="n">
        <v/>
      </c>
      <c r="H120" s="9" t="n">
        <v/>
      </c>
      <c r="I120" s="9" t="n">
        <v/>
      </c>
      <c r="J120" s="3" t="n">
        <v/>
      </c>
      <c r="K120" s="9" t="n">
        <v/>
      </c>
    </row>
    <row r="121">
      <c r="A121" s="4" t="n"/>
      <c r="B121" s="9">
        <f>IF(A121="","",IF(DAY(A121)&lt;=2,1,IF(DAY(A121)&lt;=9,2,IF(DAY(A121)&lt;=16,3,IF(DAY(A121)&lt;=23,4,5)))))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IF(A122="","",IF(DAY(A122)&lt;=2,1,IF(DAY(A122)&lt;=9,2,IF(DAY(A122)&lt;=16,3,IF(DAY(A122)&lt;=23,4,5)))))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IF(A123="","",IF(DAY(A123)&lt;=2,1,IF(DAY(A123)&lt;=9,2,IF(DAY(A123)&lt;=16,3,IF(DAY(A123)&lt;=23,4,5)))))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IF(A124="","",IF(DAY(A124)&lt;=2,1,IF(DAY(A124)&lt;=9,2,IF(DAY(A124)&lt;=16,3,IF(DAY(A124)&lt;=23,4,5)))))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IF(A125="","",IF(DAY(A125)&lt;=2,1,IF(DAY(A125)&lt;=9,2,IF(DAY(A125)&lt;=16,3,IF(DAY(A125)&lt;=23,4,5)))))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IF(A126="","",IF(DAY(A126)&lt;=2,1,IF(DAY(A126)&lt;=9,2,IF(DAY(A126)&lt;=16,3,IF(DAY(A126)&lt;=23,4,5)))))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IF(A127="","",IF(DAY(A127)&lt;=2,1,IF(DAY(A127)&lt;=9,2,IF(DAY(A127)&lt;=16,3,IF(DAY(A127)&lt;=23,4,5)))))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IF(A128="","",IF(DAY(A128)&lt;=2,1,IF(DAY(A128)&lt;=9,2,IF(DAY(A128)&lt;=16,3,IF(DAY(A128)&lt;=23,4,5)))))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IF(A129="","",IF(DAY(A129)&lt;=2,1,IF(DAY(A129)&lt;=9,2,IF(DAY(A129)&lt;=16,3,IF(DAY(A129)&lt;=23,4,5)))))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IF(A130="","",IF(DAY(A130)&lt;=2,1,IF(DAY(A130)&lt;=9,2,IF(DAY(A130)&lt;=16,3,IF(DAY(A130)&lt;=23,4,5)))))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IF(A131="","",IF(DAY(A131)&lt;=2,1,IF(DAY(A131)&lt;=9,2,IF(DAY(A131)&lt;=16,3,IF(DAY(A131)&lt;=23,4,5)))))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IF(A132="","",IF(DAY(A132)&lt;=2,1,IF(DAY(A132)&lt;=9,2,IF(DAY(A132)&lt;=16,3,IF(DAY(A132)&lt;=23,4,5)))))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IF(A133="","",IF(DAY(A133)&lt;=2,1,IF(DAY(A133)&lt;=9,2,IF(DAY(A133)&lt;=16,3,IF(DAY(A133)&lt;=23,4,5)))))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IF(A134="","",IF(DAY(A134)&lt;=2,1,IF(DAY(A134)&lt;=9,2,IF(DAY(A134)&lt;=16,3,IF(DAY(A134)&lt;=23,4,5)))))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IF(A135="","",IF(DAY(A135)&lt;=2,1,IF(DAY(A135)&lt;=9,2,IF(DAY(A135)&lt;=16,3,IF(DAY(A135)&lt;=23,4,5)))))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IF(A136="","",IF(DAY(A136)&lt;=2,1,IF(DAY(A136)&lt;=9,2,IF(DAY(A136)&lt;=16,3,IF(DAY(A136)&lt;=23,4,5)))))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IF(A137="","",IF(DAY(A137)&lt;=2,1,IF(DAY(A137)&lt;=9,2,IF(DAY(A137)&lt;=16,3,IF(DAY(A137)&lt;=23,4,5)))))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IF(A138="","",IF(DAY(A138)&lt;=2,1,IF(DAY(A138)&lt;=9,2,IF(DAY(A138)&lt;=16,3,IF(DAY(A138)&lt;=23,4,5)))))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IF(A139="","",IF(DAY(A139)&lt;=2,1,IF(DAY(A139)&lt;=9,2,IF(DAY(A139)&lt;=16,3,IF(DAY(A139)&lt;=23,4,5)))))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IF(A140="","",IF(DAY(A140)&lt;=2,1,IF(DAY(A140)&lt;=9,2,IF(DAY(A140)&lt;=16,3,IF(DAY(A140)&lt;=23,4,5)))))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IF(A141="","",IF(DAY(A141)&lt;=2,1,IF(DAY(A141)&lt;=9,2,IF(DAY(A141)&lt;=16,3,IF(DAY(A141)&lt;=23,4,5)))))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IF(A142="","",IF(DAY(A142)&lt;=2,1,IF(DAY(A142)&lt;=9,2,IF(DAY(A142)&lt;=16,3,IF(DAY(A142)&lt;=23,4,5)))))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IF(A143="","",IF(DAY(A143)&lt;=2,1,IF(DAY(A143)&lt;=9,2,IF(DAY(A143)&lt;=16,3,IF(DAY(A143)&lt;=23,4,5)))))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IF(A144="","",IF(DAY(A144)&lt;=2,1,IF(DAY(A144)&lt;=9,2,IF(DAY(A144)&lt;=16,3,IF(DAY(A144)&lt;=23,4,5)))))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IF(A145="","",IF(DAY(A145)&lt;=2,1,IF(DAY(A145)&lt;=9,2,IF(DAY(A145)&lt;=16,3,IF(DAY(A145)&lt;=23,4,5)))))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IF(A146="","",IF(DAY(A146)&lt;=2,1,IF(DAY(A146)&lt;=9,2,IF(DAY(A146)&lt;=16,3,IF(DAY(A146)&lt;=23,4,5)))))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IF(A147="","",IF(DAY(A147)&lt;=2,1,IF(DAY(A147)&lt;=9,2,IF(DAY(A147)&lt;=16,3,IF(DAY(A147)&lt;=23,4,5)))))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IF(A148="","",IF(DAY(A148)&lt;=2,1,IF(DAY(A148)&lt;=9,2,IF(DAY(A148)&lt;=16,3,IF(DAY(A148)&lt;=23,4,5)))))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IF(A149="","",IF(DAY(A149)&lt;=2,1,IF(DAY(A149)&lt;=9,2,IF(DAY(A149)&lt;=16,3,IF(DAY(A149)&lt;=23,4,5)))))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IF(A150="","",IF(DAY(A150)&lt;=2,1,IF(DAY(A150)&lt;=9,2,IF(DAY(A150)&lt;=16,3,IF(DAY(A150)&lt;=23,4,5)))))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IF(A151="","",IF(DAY(A151)&lt;=2,1,IF(DAY(A151)&lt;=9,2,IF(DAY(A151)&lt;=16,3,IF(DAY(A151)&lt;=23,4,5)))))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IF(A152="","",IF(DAY(A152)&lt;=2,1,IF(DAY(A152)&lt;=9,2,IF(DAY(A152)&lt;=16,3,IF(DAY(A152)&lt;=23,4,5)))))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IF(A153="","",IF(DAY(A153)&lt;=2,1,IF(DAY(A153)&lt;=9,2,IF(DAY(A153)&lt;=16,3,IF(DAY(A153)&lt;=23,4,5)))))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IF(A154="","",IF(DAY(A154)&lt;=2,1,IF(DAY(A154)&lt;=9,2,IF(DAY(A154)&lt;=16,3,IF(DAY(A154)&lt;=23,4,5)))))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IF(A155="","",IF(DAY(A155)&lt;=2,1,IF(DAY(A155)&lt;=9,2,IF(DAY(A155)&lt;=16,3,IF(DAY(A155)&lt;=23,4,5)))))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IF(A156="","",IF(DAY(A156)&lt;=2,1,IF(DAY(A156)&lt;=9,2,IF(DAY(A156)&lt;=16,3,IF(DAY(A156)&lt;=23,4,5)))))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IF(A157="","",IF(DAY(A157)&lt;=2,1,IF(DAY(A157)&lt;=9,2,IF(DAY(A157)&lt;=16,3,IF(DAY(A157)&lt;=23,4,5)))))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IF(A158="","",IF(DAY(A158)&lt;=2,1,IF(DAY(A158)&lt;=9,2,IF(DAY(A158)&lt;=16,3,IF(DAY(A158)&lt;=23,4,5)))))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IF(A159="","",IF(DAY(A159)&lt;=2,1,IF(DAY(A159)&lt;=9,2,IF(DAY(A159)&lt;=16,3,IF(DAY(A159)&lt;=23,4,5)))))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IF(A160="","",IF(DAY(A160)&lt;=2,1,IF(DAY(A160)&lt;=9,2,IF(DAY(A160)&lt;=16,3,IF(DAY(A160)&lt;=23,4,5)))))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IF(A161="","",IF(DAY(A161)&lt;=2,1,IF(DAY(A161)&lt;=9,2,IF(DAY(A161)&lt;=16,3,IF(DAY(A161)&lt;=23,4,5)))))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IF(A162="","",IF(DAY(A162)&lt;=2,1,IF(DAY(A162)&lt;=9,2,IF(DAY(A162)&lt;=16,3,IF(DAY(A162)&lt;=23,4,5)))))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IF(A163="","",IF(DAY(A163)&lt;=2,1,IF(DAY(A163)&lt;=9,2,IF(DAY(A163)&lt;=16,3,IF(DAY(A163)&lt;=23,4,5)))))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IF(A164="","",IF(DAY(A164)&lt;=2,1,IF(DAY(A164)&lt;=9,2,IF(DAY(A164)&lt;=16,3,IF(DAY(A164)&lt;=23,4,5)))))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IF(A165="","",IF(DAY(A165)&lt;=2,1,IF(DAY(A165)&lt;=9,2,IF(DAY(A165)&lt;=16,3,IF(DAY(A165)&lt;=23,4,5)))))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IF(A166="","",IF(DAY(A166)&lt;=2,1,IF(DAY(A166)&lt;=9,2,IF(DAY(A166)&lt;=16,3,IF(DAY(A166)&lt;=23,4,5)))))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IF(A167="","",IF(DAY(A167)&lt;=2,1,IF(DAY(A167)&lt;=9,2,IF(DAY(A167)&lt;=16,3,IF(DAY(A167)&lt;=23,4,5)))))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IF(A168="","",IF(DAY(A168)&lt;=2,1,IF(DAY(A168)&lt;=9,2,IF(DAY(A168)&lt;=16,3,IF(DAY(A168)&lt;=23,4,5)))))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IF(A169="","",IF(DAY(A169)&lt;=2,1,IF(DAY(A169)&lt;=9,2,IF(DAY(A169)&lt;=16,3,IF(DAY(A169)&lt;=23,4,5)))))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IF(A170="","",IF(DAY(A170)&lt;=2,1,IF(DAY(A170)&lt;=9,2,IF(DAY(A170)&lt;=16,3,IF(DAY(A170)&lt;=23,4,5)))))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IF(A171="","",IF(DAY(A171)&lt;=2,1,IF(DAY(A171)&lt;=9,2,IF(DAY(A171)&lt;=16,3,IF(DAY(A171)&lt;=23,4,5)))))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IF(A172="","",IF(DAY(A172)&lt;=2,1,IF(DAY(A172)&lt;=9,2,IF(DAY(A172)&lt;=16,3,IF(DAY(A172)&lt;=23,4,5)))))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IF(A173="","",IF(DAY(A173)&lt;=2,1,IF(DAY(A173)&lt;=9,2,IF(DAY(A173)&lt;=16,3,IF(DAY(A173)&lt;=23,4,5)))))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IF(A174="","",IF(DAY(A174)&lt;=2,1,IF(DAY(A174)&lt;=9,2,IF(DAY(A174)&lt;=16,3,IF(DAY(A174)&lt;=23,4,5)))))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IF(A175="","",IF(DAY(A175)&lt;=2,1,IF(DAY(A175)&lt;=9,2,IF(DAY(A175)&lt;=16,3,IF(DAY(A175)&lt;=23,4,5)))))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IF(A176="","",IF(DAY(A176)&lt;=2,1,IF(DAY(A176)&lt;=9,2,IF(DAY(A176)&lt;=16,3,IF(DAY(A176)&lt;=23,4,5)))))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IF(A177="","",IF(DAY(A177)&lt;=2,1,IF(DAY(A177)&lt;=9,2,IF(DAY(A177)&lt;=16,3,IF(DAY(A177)&lt;=23,4,5)))))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IF(A178="","",IF(DAY(A178)&lt;=2,1,IF(DAY(A178)&lt;=9,2,IF(DAY(A178)&lt;=16,3,IF(DAY(A178)&lt;=23,4,5)))))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IF(A179="","",IF(DAY(A179)&lt;=2,1,IF(DAY(A179)&lt;=9,2,IF(DAY(A179)&lt;=16,3,IF(DAY(A179)&lt;=23,4,5)))))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IF(A180="","",IF(DAY(A180)&lt;=2,1,IF(DAY(A180)&lt;=9,2,IF(DAY(A180)&lt;=16,3,IF(DAY(A180)&lt;=23,4,5)))))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IF(A181="","",IF(DAY(A181)&lt;=2,1,IF(DAY(A181)&lt;=9,2,IF(DAY(A181)&lt;=16,3,IF(DAY(A181)&lt;=23,4,5)))))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IF(A182="","",IF(DAY(A182)&lt;=2,1,IF(DAY(A182)&lt;=9,2,IF(DAY(A182)&lt;=16,3,IF(DAY(A182)&lt;=23,4,5)))))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IF(A183="","",IF(DAY(A183)&lt;=2,1,IF(DAY(A183)&lt;=9,2,IF(DAY(A183)&lt;=16,3,IF(DAY(A183)&lt;=23,4,5)))))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IF(A184="","",IF(DAY(A184)&lt;=2,1,IF(DAY(A184)&lt;=9,2,IF(DAY(A184)&lt;=16,3,IF(DAY(A184)&lt;=23,4,5)))))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IF(A185="","",IF(DAY(A185)&lt;=2,1,IF(DAY(A185)&lt;=9,2,IF(DAY(A185)&lt;=16,3,IF(DAY(A185)&lt;=23,4,5)))))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IF(A186="","",IF(DAY(A186)&lt;=2,1,IF(DAY(A186)&lt;=9,2,IF(DAY(A186)&lt;=16,3,IF(DAY(A186)&lt;=23,4,5)))))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IF(A187="","",IF(DAY(A187)&lt;=2,1,IF(DAY(A187)&lt;=9,2,IF(DAY(A187)&lt;=16,3,IF(DAY(A187)&lt;=23,4,5)))))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IF(A188="","",IF(DAY(A188)&lt;=2,1,IF(DAY(A188)&lt;=9,2,IF(DAY(A188)&lt;=16,3,IF(DAY(A188)&lt;=23,4,5)))))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IF(A189="","",IF(DAY(A189)&lt;=2,1,IF(DAY(A189)&lt;=9,2,IF(DAY(A189)&lt;=16,3,IF(DAY(A189)&lt;=23,4,5)))))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IF(A190="","",IF(DAY(A190)&lt;=2,1,IF(DAY(A190)&lt;=9,2,IF(DAY(A190)&lt;=16,3,IF(DAY(A190)&lt;=23,4,5)))))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IF(A191="","",IF(DAY(A191)&lt;=2,1,IF(DAY(A191)&lt;=9,2,IF(DAY(A191)&lt;=16,3,IF(DAY(A191)&lt;=23,4,5)))))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IF(A192="","",IF(DAY(A192)&lt;=2,1,IF(DAY(A192)&lt;=9,2,IF(DAY(A192)&lt;=16,3,IF(DAY(A192)&lt;=23,4,5)))))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IF(A193="","",IF(DAY(A193)&lt;=2,1,IF(DAY(A193)&lt;=9,2,IF(DAY(A193)&lt;=16,3,IF(DAY(A193)&lt;=23,4,5)))))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IF(A194="","",IF(DAY(A194)&lt;=2,1,IF(DAY(A194)&lt;=9,2,IF(DAY(A194)&lt;=16,3,IF(DAY(A194)&lt;=23,4,5)))))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IF(A195="","",IF(DAY(A195)&lt;=2,1,IF(DAY(A195)&lt;=9,2,IF(DAY(A195)&lt;=16,3,IF(DAY(A195)&lt;=23,4,5)))))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IF(A196="","",IF(DAY(A196)&lt;=2,1,IF(DAY(A196)&lt;=9,2,IF(DAY(A196)&lt;=16,3,IF(DAY(A196)&lt;=23,4,5)))))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IF(A197="","",IF(DAY(A197)&lt;=2,1,IF(DAY(A197)&lt;=9,2,IF(DAY(A197)&lt;=16,3,IF(DAY(A197)&lt;=23,4,5)))))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IF(A198="","",IF(DAY(A198)&lt;=2,1,IF(DAY(A198)&lt;=9,2,IF(DAY(A198)&lt;=16,3,IF(DAY(A198)&lt;=23,4,5)))))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IF(A199="","",IF(DAY(A199)&lt;=2,1,IF(DAY(A199)&lt;=9,2,IF(DAY(A199)&lt;=16,3,IF(DAY(A199)&lt;=23,4,5)))))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IF(A200="","",IF(DAY(A200)&lt;=2,1,IF(DAY(A200)&lt;=9,2,IF(DAY(A200)&lt;=16,3,IF(DAY(A200)&lt;=23,4,5)))))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IF(A201="","",IF(DAY(A201)&lt;=2,1,IF(DAY(A201)&lt;=9,2,IF(DAY(A201)&lt;=16,3,IF(DAY(A201)&lt;=23,4,5)))))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IF(A202="","",IF(DAY(A202)&lt;=2,1,IF(DAY(A202)&lt;=9,2,IF(DAY(A202)&lt;=16,3,IF(DAY(A202)&lt;=23,4,5)))))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IF(A203="","",IF(DAY(A203)&lt;=2,1,IF(DAY(A203)&lt;=9,2,IF(DAY(A203)&lt;=16,3,IF(DAY(A203)&lt;=23,4,5)))))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IF(A204="","",IF(DAY(A204)&lt;=2,1,IF(DAY(A204)&lt;=9,2,IF(DAY(A204)&lt;=16,3,IF(DAY(A204)&lt;=23,4,5)))))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IF(A205="","",IF(DAY(A205)&lt;=2,1,IF(DAY(A205)&lt;=9,2,IF(DAY(A205)&lt;=16,3,IF(DAY(A205)&lt;=23,4,5)))))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IF(A206="","",IF(DAY(A206)&lt;=2,1,IF(DAY(A206)&lt;=9,2,IF(DAY(A206)&lt;=16,3,IF(DAY(A206)&lt;=23,4,5)))))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IF(A207="","",IF(DAY(A207)&lt;=2,1,IF(DAY(A207)&lt;=9,2,IF(DAY(A207)&lt;=16,3,IF(DAY(A207)&lt;=23,4,5)))))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IF(A208="","",IF(DAY(A208)&lt;=2,1,IF(DAY(A208)&lt;=9,2,IF(DAY(A208)&lt;=16,3,IF(DAY(A208)&lt;=23,4,5)))))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IF(A209="","",IF(DAY(A209)&lt;=2,1,IF(DAY(A209)&lt;=9,2,IF(DAY(A209)&lt;=16,3,IF(DAY(A209)&lt;=23,4,5)))))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IF(A210="","",IF(DAY(A210)&lt;=2,1,IF(DAY(A210)&lt;=9,2,IF(DAY(A210)&lt;=16,3,IF(DAY(A210)&lt;=23,4,5)))))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IF(A211="","",IF(DAY(A211)&lt;=2,1,IF(DAY(A211)&lt;=9,2,IF(DAY(A211)&lt;=16,3,IF(DAY(A211)&lt;=23,4,5)))))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IF(A212="","",IF(DAY(A212)&lt;=2,1,IF(DAY(A212)&lt;=9,2,IF(DAY(A212)&lt;=16,3,IF(DAY(A212)&lt;=23,4,5)))))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IF(A213="","",IF(DAY(A213)&lt;=2,1,IF(DAY(A213)&lt;=9,2,IF(DAY(A213)&lt;=16,3,IF(DAY(A213)&lt;=23,4,5)))))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IF(A214="","",IF(DAY(A214)&lt;=2,1,IF(DAY(A214)&lt;=9,2,IF(DAY(A214)&lt;=16,3,IF(DAY(A214)&lt;=23,4,5)))))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IF(A215="","",IF(DAY(A215)&lt;=2,1,IF(DAY(A215)&lt;=9,2,IF(DAY(A215)&lt;=16,3,IF(DAY(A215)&lt;=23,4,5)))))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IF(A216="","",IF(DAY(A216)&lt;=2,1,IF(DAY(A216)&lt;=9,2,IF(DAY(A216)&lt;=16,3,IF(DAY(A216)&lt;=23,4,5)))))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IF(A217="","",IF(DAY(A217)&lt;=2,1,IF(DAY(A217)&lt;=9,2,IF(DAY(A217)&lt;=16,3,IF(DAY(A217)&lt;=23,4,5)))))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IF(A218="","",IF(DAY(A218)&lt;=2,1,IF(DAY(A218)&lt;=9,2,IF(DAY(A218)&lt;=16,3,IF(DAY(A218)&lt;=23,4,5)))))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IF(A219="","",IF(DAY(A219)&lt;=2,1,IF(DAY(A219)&lt;=9,2,IF(DAY(A219)&lt;=16,3,IF(DAY(A219)&lt;=23,4,5)))))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IF(A220="","",IF(DAY(A220)&lt;=2,1,IF(DAY(A220)&lt;=9,2,IF(DAY(A220)&lt;=16,3,IF(DAY(A220)&lt;=23,4,5)))))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IF(A221="","",IF(DAY(A221)&lt;=2,1,IF(DAY(A221)&lt;=9,2,IF(DAY(A221)&lt;=16,3,IF(DAY(A221)&lt;=23,4,5)))))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IF(A222="","",IF(DAY(A222)&lt;=2,1,IF(DAY(A222)&lt;=9,2,IF(DAY(A222)&lt;=16,3,IF(DAY(A222)&lt;=23,4,5)))))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IF(A223="","",IF(DAY(A223)&lt;=2,1,IF(DAY(A223)&lt;=9,2,IF(DAY(A223)&lt;=16,3,IF(DAY(A223)&lt;=23,4,5)))))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IF(A224="","",IF(DAY(A224)&lt;=2,1,IF(DAY(A224)&lt;=9,2,IF(DAY(A224)&lt;=16,3,IF(DAY(A224)&lt;=23,4,5)))))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IF(A225="","",IF(DAY(A225)&lt;=2,1,IF(DAY(A225)&lt;=9,2,IF(DAY(A225)&lt;=16,3,IF(DAY(A225)&lt;=23,4,5)))))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IF(A226="","",IF(DAY(A226)&lt;=2,1,IF(DAY(A226)&lt;=9,2,IF(DAY(A226)&lt;=16,3,IF(DAY(A226)&lt;=23,4,5)))))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IF(A227="","",IF(DAY(A227)&lt;=2,1,IF(DAY(A227)&lt;=9,2,IF(DAY(A227)&lt;=16,3,IF(DAY(A227)&lt;=23,4,5)))))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IF(A228="","",IF(DAY(A228)&lt;=2,1,IF(DAY(A228)&lt;=9,2,IF(DAY(A228)&lt;=16,3,IF(DAY(A228)&lt;=23,4,5)))))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IF(A229="","",IF(DAY(A229)&lt;=2,1,IF(DAY(A229)&lt;=9,2,IF(DAY(A229)&lt;=16,3,IF(DAY(A229)&lt;=23,4,5)))))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IF(A230="","",IF(DAY(A230)&lt;=2,1,IF(DAY(A230)&lt;=9,2,IF(DAY(A230)&lt;=16,3,IF(DAY(A230)&lt;=23,4,5)))))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IF(A231="","",IF(DAY(A231)&lt;=2,1,IF(DAY(A231)&lt;=9,2,IF(DAY(A231)&lt;=16,3,IF(DAY(A231)&lt;=23,4,5)))))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IF(A232="","",IF(DAY(A232)&lt;=2,1,IF(DAY(A232)&lt;=9,2,IF(DAY(A232)&lt;=16,3,IF(DAY(A232)&lt;=23,4,5)))))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IF(A233="","",IF(DAY(A233)&lt;=2,1,IF(DAY(A233)&lt;=9,2,IF(DAY(A233)&lt;=16,3,IF(DAY(A233)&lt;=23,4,5)))))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IF(A234="","",IF(DAY(A234)&lt;=2,1,IF(DAY(A234)&lt;=9,2,IF(DAY(A234)&lt;=16,3,IF(DAY(A234)&lt;=23,4,5)))))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IF(A235="","",IF(DAY(A235)&lt;=2,1,IF(DAY(A235)&lt;=9,2,IF(DAY(A235)&lt;=16,3,IF(DAY(A235)&lt;=23,4,5)))))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IF(A236="","",IF(DAY(A236)&lt;=2,1,IF(DAY(A236)&lt;=9,2,IF(DAY(A236)&lt;=16,3,IF(DAY(A236)&lt;=23,4,5)))))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IF(A237="","",IF(DAY(A237)&lt;=2,1,IF(DAY(A237)&lt;=9,2,IF(DAY(A237)&lt;=16,3,IF(DAY(A237)&lt;=23,4,5)))))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IF(A238="","",IF(DAY(A238)&lt;=2,1,IF(DAY(A238)&lt;=9,2,IF(DAY(A238)&lt;=16,3,IF(DAY(A238)&lt;=23,4,5)))))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IF(A239="","",IF(DAY(A239)&lt;=2,1,IF(DAY(A239)&lt;=9,2,IF(DAY(A239)&lt;=16,3,IF(DAY(A239)&lt;=23,4,5)))))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IF(A240="","",IF(DAY(A240)&lt;=2,1,IF(DAY(A240)&lt;=9,2,IF(DAY(A240)&lt;=16,3,IF(DAY(A240)&lt;=23,4,5)))))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IF(A241="","",IF(DAY(A241)&lt;=2,1,IF(DAY(A241)&lt;=9,2,IF(DAY(A241)&lt;=16,3,IF(DAY(A241)&lt;=23,4,5)))))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IF(A242="","",IF(DAY(A242)&lt;=2,1,IF(DAY(A242)&lt;=9,2,IF(DAY(A242)&lt;=16,3,IF(DAY(A242)&lt;=23,4,5)))))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IF(A243="","",IF(DAY(A243)&lt;=2,1,IF(DAY(A243)&lt;=9,2,IF(DAY(A243)&lt;=16,3,IF(DAY(A243)&lt;=23,4,5)))))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IF(A244="","",IF(DAY(A244)&lt;=2,1,IF(DAY(A244)&lt;=9,2,IF(DAY(A244)&lt;=16,3,IF(DAY(A244)&lt;=23,4,5)))))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IF(A245="","",IF(DAY(A245)&lt;=2,1,IF(DAY(A245)&lt;=9,2,IF(DAY(A245)&lt;=16,3,IF(DAY(A245)&lt;=23,4,5)))))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IF(A246="","",IF(DAY(A246)&lt;=2,1,IF(DAY(A246)&lt;=9,2,IF(DAY(A246)&lt;=16,3,IF(DAY(A246)&lt;=23,4,5)))))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IF(A247="","",IF(DAY(A247)&lt;=2,1,IF(DAY(A247)&lt;=9,2,IF(DAY(A247)&lt;=16,3,IF(DAY(A247)&lt;=23,4,5)))))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IF(A248="","",IF(DAY(A248)&lt;=2,1,IF(DAY(A248)&lt;=9,2,IF(DAY(A248)&lt;=16,3,IF(DAY(A248)&lt;=23,4,5)))))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IF(A249="","",IF(DAY(A249)&lt;=2,1,IF(DAY(A249)&lt;=9,2,IF(DAY(A249)&lt;=16,3,IF(DAY(A249)&lt;=23,4,5)))))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IF(A250="","",IF(DAY(A250)&lt;=2,1,IF(DAY(A250)&lt;=9,2,IF(DAY(A250)&lt;=16,3,IF(DAY(A250)&lt;=23,4,5)))))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IF(A251="","",IF(DAY(A251)&lt;=2,1,IF(DAY(A251)&lt;=9,2,IF(DAY(A251)&lt;=16,3,IF(DAY(A251)&lt;=23,4,5)))))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IF(A252="","",IF(DAY(A252)&lt;=2,1,IF(DAY(A252)&lt;=9,2,IF(DAY(A252)&lt;=16,3,IF(DAY(A252)&lt;=23,4,5)))))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IF(A253="","",IF(DAY(A253)&lt;=2,1,IF(DAY(A253)&lt;=9,2,IF(DAY(A253)&lt;=16,3,IF(DAY(A253)&lt;=23,4,5)))))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IF(A254="","",IF(DAY(A254)&lt;=2,1,IF(DAY(A254)&lt;=9,2,IF(DAY(A254)&lt;=16,3,IF(DAY(A254)&lt;=23,4,5)))))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IF(A255="","",IF(DAY(A255)&lt;=2,1,IF(DAY(A255)&lt;=9,2,IF(DAY(A255)&lt;=16,3,IF(DAY(A255)&lt;=23,4,5)))))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IF(A256="","",IF(DAY(A256)&lt;=2,1,IF(DAY(A256)&lt;=9,2,IF(DAY(A256)&lt;=16,3,IF(DAY(A256)&lt;=23,4,5)))))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IF(A257="","",IF(DAY(A257)&lt;=2,1,IF(DAY(A257)&lt;=9,2,IF(DAY(A257)&lt;=16,3,IF(DAY(A257)&lt;=23,4,5)))))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IF(A258="","",IF(DAY(A258)&lt;=2,1,IF(DAY(A258)&lt;=9,2,IF(DAY(A258)&lt;=16,3,IF(DAY(A258)&lt;=23,4,5)))))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IF(A259="","",IF(DAY(A259)&lt;=2,1,IF(DAY(A259)&lt;=9,2,IF(DAY(A259)&lt;=16,3,IF(DAY(A259)&lt;=23,4,5)))))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IF(A260="","",IF(DAY(A260)&lt;=2,1,IF(DAY(A260)&lt;=9,2,IF(DAY(A260)&lt;=16,3,IF(DAY(A260)&lt;=23,4,5)))))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IF(A261="","",IF(DAY(A261)&lt;=2,1,IF(DAY(A261)&lt;=9,2,IF(DAY(A261)&lt;=16,3,IF(DAY(A261)&lt;=23,4,5)))))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IF(A262="","",IF(DAY(A262)&lt;=2,1,IF(DAY(A262)&lt;=9,2,IF(DAY(A262)&lt;=16,3,IF(DAY(A262)&lt;=23,4,5)))))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IF(A263="","",IF(DAY(A263)&lt;=2,1,IF(DAY(A263)&lt;=9,2,IF(DAY(A263)&lt;=16,3,IF(DAY(A263)&lt;=23,4,5)))))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IF(A264="","",IF(DAY(A264)&lt;=2,1,IF(DAY(A264)&lt;=9,2,IF(DAY(A264)&lt;=16,3,IF(DAY(A264)&lt;=23,4,5)))))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IF(A265="","",IF(DAY(A265)&lt;=2,1,IF(DAY(A265)&lt;=9,2,IF(DAY(A265)&lt;=16,3,IF(DAY(A265)&lt;=23,4,5)))))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IF(A266="","",IF(DAY(A266)&lt;=2,1,IF(DAY(A266)&lt;=9,2,IF(DAY(A266)&lt;=16,3,IF(DAY(A266)&lt;=23,4,5)))))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IF(A267="","",IF(DAY(A267)&lt;=2,1,IF(DAY(A267)&lt;=9,2,IF(DAY(A267)&lt;=16,3,IF(DAY(A267)&lt;=23,4,5)))))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IF(A268="","",IF(DAY(A268)&lt;=2,1,IF(DAY(A268)&lt;=9,2,IF(DAY(A268)&lt;=16,3,IF(DAY(A268)&lt;=23,4,5)))))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IF(A269="","",IF(DAY(A269)&lt;=2,1,IF(DAY(A269)&lt;=9,2,IF(DAY(A269)&lt;=16,3,IF(DAY(A269)&lt;=23,4,5)))))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IF(A270="","",IF(DAY(A270)&lt;=2,1,IF(DAY(A270)&lt;=9,2,IF(DAY(A270)&lt;=16,3,IF(DAY(A270)&lt;=23,4,5)))))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IF(A271="","",IF(DAY(A271)&lt;=2,1,IF(DAY(A271)&lt;=9,2,IF(DAY(A271)&lt;=16,3,IF(DAY(A271)&lt;=23,4,5)))))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IF(A272="","",IF(DAY(A272)&lt;=2,1,IF(DAY(A272)&lt;=9,2,IF(DAY(A272)&lt;=16,3,IF(DAY(A272)&lt;=23,4,5)))))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IF(A273="","",IF(DAY(A273)&lt;=2,1,IF(DAY(A273)&lt;=9,2,IF(DAY(A273)&lt;=16,3,IF(DAY(A273)&lt;=23,4,5)))))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IF(A274="","",IF(DAY(A274)&lt;=2,1,IF(DAY(A274)&lt;=9,2,IF(DAY(A274)&lt;=16,3,IF(DAY(A274)&lt;=23,4,5)))))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IF(A275="","",IF(DAY(A275)&lt;=2,1,IF(DAY(A275)&lt;=9,2,IF(DAY(A275)&lt;=16,3,IF(DAY(A275)&lt;=23,4,5)))))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IF(A276="","",IF(DAY(A276)&lt;=2,1,IF(DAY(A276)&lt;=9,2,IF(DAY(A276)&lt;=16,3,IF(DAY(A276)&lt;=23,4,5)))))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IF(A277="","",IF(DAY(A277)&lt;=2,1,IF(DAY(A277)&lt;=9,2,IF(DAY(A277)&lt;=16,3,IF(DAY(A277)&lt;=23,4,5)))))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IF(A278="","",IF(DAY(A278)&lt;=2,1,IF(DAY(A278)&lt;=9,2,IF(DAY(A278)&lt;=16,3,IF(DAY(A278)&lt;=23,4,5)))))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IF(A279="","",IF(DAY(A279)&lt;=2,1,IF(DAY(A279)&lt;=9,2,IF(DAY(A279)&lt;=16,3,IF(DAY(A279)&lt;=23,4,5)))))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IF(A280="","",IF(DAY(A280)&lt;=2,1,IF(DAY(A280)&lt;=9,2,IF(DAY(A280)&lt;=16,3,IF(DAY(A280)&lt;=23,4,5)))))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IF(A281="","",IF(DAY(A281)&lt;=2,1,IF(DAY(A281)&lt;=9,2,IF(DAY(A281)&lt;=16,3,IF(DAY(A281)&lt;=23,4,5)))))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IF(A282="","",IF(DAY(A282)&lt;=2,1,IF(DAY(A282)&lt;=9,2,IF(DAY(A282)&lt;=16,3,IF(DAY(A282)&lt;=23,4,5)))))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IF(A283="","",IF(DAY(A283)&lt;=2,1,IF(DAY(A283)&lt;=9,2,IF(DAY(A283)&lt;=16,3,IF(DAY(A283)&lt;=23,4,5)))))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IF(A284="","",IF(DAY(A284)&lt;=2,1,IF(DAY(A284)&lt;=9,2,IF(DAY(A284)&lt;=16,3,IF(DAY(A284)&lt;=23,4,5)))))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IF(A285="","",IF(DAY(A285)&lt;=2,1,IF(DAY(A285)&lt;=9,2,IF(DAY(A285)&lt;=16,3,IF(DAY(A285)&lt;=23,4,5)))))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IF(A286="","",IF(DAY(A286)&lt;=2,1,IF(DAY(A286)&lt;=9,2,IF(DAY(A286)&lt;=16,3,IF(DAY(A286)&lt;=23,4,5)))))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IF(A287="","",IF(DAY(A287)&lt;=2,1,IF(DAY(A287)&lt;=9,2,IF(DAY(A287)&lt;=16,3,IF(DAY(A287)&lt;=23,4,5)))))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IF(A288="","",IF(DAY(A288)&lt;=2,1,IF(DAY(A288)&lt;=9,2,IF(DAY(A288)&lt;=16,3,IF(DAY(A288)&lt;=23,4,5)))))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IF(A289="","",IF(DAY(A289)&lt;=2,1,IF(DAY(A289)&lt;=9,2,IF(DAY(A289)&lt;=16,3,IF(DAY(A289)&lt;=23,4,5)))))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IF(A290="","",IF(DAY(A290)&lt;=2,1,IF(DAY(A290)&lt;=9,2,IF(DAY(A290)&lt;=16,3,IF(DAY(A290)&lt;=23,4,5)))))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IF(A291="","",IF(DAY(A291)&lt;=2,1,IF(DAY(A291)&lt;=9,2,IF(DAY(A291)&lt;=16,3,IF(DAY(A291)&lt;=23,4,5)))))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IF(A292="","",IF(DAY(A292)&lt;=2,1,IF(DAY(A292)&lt;=9,2,IF(DAY(A292)&lt;=16,3,IF(DAY(A292)&lt;=23,4,5)))))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IF(A293="","",IF(DAY(A293)&lt;=2,1,IF(DAY(A293)&lt;=9,2,IF(DAY(A293)&lt;=16,3,IF(DAY(A293)&lt;=23,4,5)))))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IF(A294="","",IF(DAY(A294)&lt;=2,1,IF(DAY(A294)&lt;=9,2,IF(DAY(A294)&lt;=16,3,IF(DAY(A294)&lt;=23,4,5)))))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IF(A295="","",IF(DAY(A295)&lt;=2,1,IF(DAY(A295)&lt;=9,2,IF(DAY(A295)&lt;=16,3,IF(DAY(A295)&lt;=23,4,5)))))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IF(A296="","",IF(DAY(A296)&lt;=2,1,IF(DAY(A296)&lt;=9,2,IF(DAY(A296)&lt;=16,3,IF(DAY(A296)&lt;=23,4,5)))))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IF(A297="","",IF(DAY(A297)&lt;=2,1,IF(DAY(A297)&lt;=9,2,IF(DAY(A297)&lt;=16,3,IF(DAY(A297)&lt;=23,4,5)))))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IF(A298="","",IF(DAY(A298)&lt;=2,1,IF(DAY(A298)&lt;=9,2,IF(DAY(A298)&lt;=16,3,IF(DAY(A298)&lt;=23,4,5)))))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IF(A299="","",IF(DAY(A299)&lt;=2,1,IF(DAY(A299)&lt;=9,2,IF(DAY(A299)&lt;=16,3,IF(DAY(A299)&lt;=23,4,5)))))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IF(A300="","",IF(DAY(A300)&lt;=2,1,IF(DAY(A300)&lt;=9,2,IF(DAY(A300)&lt;=16,3,IF(DAY(A300)&lt;=23,4,5)))))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IF(A301="","",IF(DAY(A301)&lt;=2,1,IF(DAY(A301)&lt;=9,2,IF(DAY(A301)&lt;=16,3,IF(DAY(A301)&lt;=23,4,5)))))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IF(A302="","",IF(DAY(A302)&lt;=2,1,IF(DAY(A302)&lt;=9,2,IF(DAY(A302)&lt;=16,3,IF(DAY(A302)&lt;=23,4,5)))))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IF(A303="","",IF(DAY(A303)&lt;=2,1,IF(DAY(A303)&lt;=9,2,IF(DAY(A303)&lt;=16,3,IF(DAY(A303)&lt;=23,4,5)))))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IF(A304="","",IF(DAY(A304)&lt;=2,1,IF(DAY(A304)&lt;=9,2,IF(DAY(A304)&lt;=16,3,IF(DAY(A304)&lt;=23,4,5)))))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IF(A305="","",IF(DAY(A305)&lt;=2,1,IF(DAY(A305)&lt;=9,2,IF(DAY(A305)&lt;=16,3,IF(DAY(A305)&lt;=23,4,5)))))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IF(A306="","",IF(DAY(A306)&lt;=2,1,IF(DAY(A306)&lt;=9,2,IF(DAY(A306)&lt;=16,3,IF(DAY(A306)&lt;=23,4,5)))))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IF(A307="","",IF(DAY(A307)&lt;=2,1,IF(DAY(A307)&lt;=9,2,IF(DAY(A307)&lt;=16,3,IF(DAY(A307)&lt;=23,4,5)))))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IF(A308="","",IF(DAY(A308)&lt;=2,1,IF(DAY(A308)&lt;=9,2,IF(DAY(A308)&lt;=16,3,IF(DAY(A308)&lt;=23,4,5)))))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IF(A309="","",IF(DAY(A309)&lt;=2,1,IF(DAY(A309)&lt;=9,2,IF(DAY(A309)&lt;=16,3,IF(DAY(A309)&lt;=23,4,5)))))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IF(A310="","",IF(DAY(A310)&lt;=2,1,IF(DAY(A310)&lt;=9,2,IF(DAY(A310)&lt;=16,3,IF(DAY(A310)&lt;=23,4,5)))))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IF(A311="","",IF(DAY(A311)&lt;=2,1,IF(DAY(A311)&lt;=9,2,IF(DAY(A311)&lt;=16,3,IF(DAY(A311)&lt;=23,4,5)))))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IF(A312="","",IF(DAY(A312)&lt;=2,1,IF(DAY(A312)&lt;=9,2,IF(DAY(A312)&lt;=16,3,IF(DAY(A312)&lt;=23,4,5)))))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IF(A313="","",IF(DAY(A313)&lt;=2,1,IF(DAY(A313)&lt;=9,2,IF(DAY(A313)&lt;=16,3,IF(DAY(A313)&lt;=23,4,5)))))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IF(A314="","",IF(DAY(A314)&lt;=2,1,IF(DAY(A314)&lt;=9,2,IF(DAY(A314)&lt;=16,3,IF(DAY(A314)&lt;=23,4,5)))))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IF(A315="","",IF(DAY(A315)&lt;=2,1,IF(DAY(A315)&lt;=9,2,IF(DAY(A315)&lt;=16,3,IF(DAY(A315)&lt;=23,4,5)))))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IF(A316="","",IF(DAY(A316)&lt;=2,1,IF(DAY(A316)&lt;=9,2,IF(DAY(A316)&lt;=16,3,IF(DAY(A316)&lt;=23,4,5)))))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IF(A317="","",IF(DAY(A317)&lt;=2,1,IF(DAY(A317)&lt;=9,2,IF(DAY(A317)&lt;=16,3,IF(DAY(A317)&lt;=23,4,5)))))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IF(A318="","",IF(DAY(A318)&lt;=2,1,IF(DAY(A318)&lt;=9,2,IF(DAY(A318)&lt;=16,3,IF(DAY(A318)&lt;=23,4,5)))))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IF(A319="","",IF(DAY(A319)&lt;=2,1,IF(DAY(A319)&lt;=9,2,IF(DAY(A319)&lt;=16,3,IF(DAY(A319)&lt;=23,4,5)))))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IF(A320="","",IF(DAY(A320)&lt;=2,1,IF(DAY(A320)&lt;=9,2,IF(DAY(A320)&lt;=16,3,IF(DAY(A320)&lt;=23,4,5)))))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IF(A321="","",IF(DAY(A321)&lt;=2,1,IF(DAY(A321)&lt;=9,2,IF(DAY(A321)&lt;=16,3,IF(DAY(A321)&lt;=23,4,5)))))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IF(A322="","",IF(DAY(A322)&lt;=2,1,IF(DAY(A322)&lt;=9,2,IF(DAY(A322)&lt;=16,3,IF(DAY(A322)&lt;=23,4,5)))))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IF(A323="","",IF(DAY(A323)&lt;=2,1,IF(DAY(A323)&lt;=9,2,IF(DAY(A323)&lt;=16,3,IF(DAY(A323)&lt;=23,4,5)))))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IF(A324="","",IF(DAY(A324)&lt;=2,1,IF(DAY(A324)&lt;=9,2,IF(DAY(A324)&lt;=16,3,IF(DAY(A324)&lt;=23,4,5)))))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IF(A325="","",IF(DAY(A325)&lt;=2,1,IF(DAY(A325)&lt;=9,2,IF(DAY(A325)&lt;=16,3,IF(DAY(A325)&lt;=23,4,5)))))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IF(A326="","",IF(DAY(A326)&lt;=2,1,IF(DAY(A326)&lt;=9,2,IF(DAY(A326)&lt;=16,3,IF(DAY(A326)&lt;=23,4,5)))))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IF(A327="","",IF(DAY(A327)&lt;=2,1,IF(DAY(A327)&lt;=9,2,IF(DAY(A327)&lt;=16,3,IF(DAY(A327)&lt;=23,4,5)))))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IF(A328="","",IF(DAY(A328)&lt;=2,1,IF(DAY(A328)&lt;=9,2,IF(DAY(A328)&lt;=16,3,IF(DAY(A328)&lt;=23,4,5)))))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IF(A329="","",IF(DAY(A329)&lt;=2,1,IF(DAY(A329)&lt;=9,2,IF(DAY(A329)&lt;=16,3,IF(DAY(A329)&lt;=23,4,5)))))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IF(A330="","",IF(DAY(A330)&lt;=2,1,IF(DAY(A330)&lt;=9,2,IF(DAY(A330)&lt;=16,3,IF(DAY(A330)&lt;=23,4,5)))))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IF(A331="","",IF(DAY(A331)&lt;=2,1,IF(DAY(A331)&lt;=9,2,IF(DAY(A331)&lt;=16,3,IF(DAY(A331)&lt;=23,4,5)))))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IF(A332="","",IF(DAY(A332)&lt;=2,1,IF(DAY(A332)&lt;=9,2,IF(DAY(A332)&lt;=16,3,IF(DAY(A332)&lt;=23,4,5)))))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IF(A333="","",IF(DAY(A333)&lt;=2,1,IF(DAY(A333)&lt;=9,2,IF(DAY(A333)&lt;=16,3,IF(DAY(A333)&lt;=23,4,5)))))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IF(A334="","",IF(DAY(A334)&lt;=2,1,IF(DAY(A334)&lt;=9,2,IF(DAY(A334)&lt;=16,3,IF(DAY(A334)&lt;=23,4,5)))))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IF(A335="","",IF(DAY(A335)&lt;=2,1,IF(DAY(A335)&lt;=9,2,IF(DAY(A335)&lt;=16,3,IF(DAY(A335)&lt;=23,4,5)))))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IF(A336="","",IF(DAY(A336)&lt;=2,1,IF(DAY(A336)&lt;=9,2,IF(DAY(A336)&lt;=16,3,IF(DAY(A336)&lt;=23,4,5)))))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IF(A337="","",IF(DAY(A337)&lt;=2,1,IF(DAY(A337)&lt;=9,2,IF(DAY(A337)&lt;=16,3,IF(DAY(A337)&lt;=23,4,5)))))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IF(A338="","",IF(DAY(A338)&lt;=2,1,IF(DAY(A338)&lt;=9,2,IF(DAY(A338)&lt;=16,3,IF(DAY(A338)&lt;=23,4,5)))))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IF(A339="","",IF(DAY(A339)&lt;=2,1,IF(DAY(A339)&lt;=9,2,IF(DAY(A339)&lt;=16,3,IF(DAY(A339)&lt;=23,4,5)))))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IF(A340="","",IF(DAY(A340)&lt;=2,1,IF(DAY(A340)&lt;=9,2,IF(DAY(A340)&lt;=16,3,IF(DAY(A340)&lt;=23,4,5)))))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IF(A341="","",IF(DAY(A341)&lt;=2,1,IF(DAY(A341)&lt;=9,2,IF(DAY(A341)&lt;=16,3,IF(DAY(A341)&lt;=23,4,5)))))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IF(A342="","",IF(DAY(A342)&lt;=2,1,IF(DAY(A342)&lt;=9,2,IF(DAY(A342)&lt;=16,3,IF(DAY(A342)&lt;=23,4,5)))))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IF(A343="","",IF(DAY(A343)&lt;=2,1,IF(DAY(A343)&lt;=9,2,IF(DAY(A343)&lt;=16,3,IF(DAY(A343)&lt;=23,4,5)))))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IF(A344="","",IF(DAY(A344)&lt;=2,1,IF(DAY(A344)&lt;=9,2,IF(DAY(A344)&lt;=16,3,IF(DAY(A344)&lt;=23,4,5)))))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IF(A345="","",IF(DAY(A345)&lt;=2,1,IF(DAY(A345)&lt;=9,2,IF(DAY(A345)&lt;=16,3,IF(DAY(A345)&lt;=23,4,5)))))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IF(A346="","",IF(DAY(A346)&lt;=2,1,IF(DAY(A346)&lt;=9,2,IF(DAY(A346)&lt;=16,3,IF(DAY(A346)&lt;=23,4,5)))))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IF(A347="","",IF(DAY(A347)&lt;=2,1,IF(DAY(A347)&lt;=9,2,IF(DAY(A347)&lt;=16,3,IF(DAY(A347)&lt;=23,4,5)))))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IF(A348="","",IF(DAY(A348)&lt;=2,1,IF(DAY(A348)&lt;=9,2,IF(DAY(A348)&lt;=16,3,IF(DAY(A348)&lt;=23,4,5)))))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IF(A349="","",IF(DAY(A349)&lt;=2,1,IF(DAY(A349)&lt;=9,2,IF(DAY(A349)&lt;=16,3,IF(DAY(A349)&lt;=23,4,5)))))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IF(A350="","",IF(DAY(A350)&lt;=2,1,IF(DAY(A350)&lt;=9,2,IF(DAY(A350)&lt;=16,3,IF(DAY(A350)&lt;=23,4,5)))))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IF(A351="","",IF(DAY(A351)&lt;=2,1,IF(DAY(A351)&lt;=9,2,IF(DAY(A351)&lt;=16,3,IF(DAY(A351)&lt;=23,4,5)))))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IF(A352="","",IF(DAY(A352)&lt;=2,1,IF(DAY(A352)&lt;=9,2,IF(DAY(A352)&lt;=16,3,IF(DAY(A352)&lt;=23,4,5)))))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IF(A353="","",IF(DAY(A353)&lt;=2,1,IF(DAY(A353)&lt;=9,2,IF(DAY(A353)&lt;=16,3,IF(DAY(A353)&lt;=23,4,5)))))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IF(A354="","",IF(DAY(A354)&lt;=2,1,IF(DAY(A354)&lt;=9,2,IF(DAY(A354)&lt;=16,3,IF(DAY(A354)&lt;=23,4,5)))))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IF(A355="","",IF(DAY(A355)&lt;=2,1,IF(DAY(A355)&lt;=9,2,IF(DAY(A355)&lt;=16,3,IF(DAY(A355)&lt;=23,4,5)))))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IF(A356="","",IF(DAY(A356)&lt;=2,1,IF(DAY(A356)&lt;=9,2,IF(DAY(A356)&lt;=16,3,IF(DAY(A356)&lt;=23,4,5)))))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IF(A357="","",IF(DAY(A357)&lt;=2,1,IF(DAY(A357)&lt;=9,2,IF(DAY(A357)&lt;=16,3,IF(DAY(A357)&lt;=23,4,5)))))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IF(A358="","",IF(DAY(A358)&lt;=2,1,IF(DAY(A358)&lt;=9,2,IF(DAY(A358)&lt;=16,3,IF(DAY(A358)&lt;=23,4,5)))))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IF(A359="","",IF(DAY(A359)&lt;=2,1,IF(DAY(A359)&lt;=9,2,IF(DAY(A359)&lt;=16,3,IF(DAY(A359)&lt;=23,4,5)))))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IF(A360="","",IF(DAY(A360)&lt;=2,1,IF(DAY(A360)&lt;=9,2,IF(DAY(A360)&lt;=16,3,IF(DAY(A360)&lt;=23,4,5)))))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IF(A361="","",IF(DAY(A361)&lt;=2,1,IF(DAY(A361)&lt;=9,2,IF(DAY(A361)&lt;=16,3,IF(DAY(A361)&lt;=23,4,5)))))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IF(A362="","",IF(DAY(A362)&lt;=2,1,IF(DAY(A362)&lt;=9,2,IF(DAY(A362)&lt;=16,3,IF(DAY(A362)&lt;=23,4,5)))))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IF(A363="","",IF(DAY(A363)&lt;=2,1,IF(DAY(A363)&lt;=9,2,IF(DAY(A363)&lt;=16,3,IF(DAY(A363)&lt;=23,4,5)))))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IF(A364="","",IF(DAY(A364)&lt;=2,1,IF(DAY(A364)&lt;=9,2,IF(DAY(A364)&lt;=16,3,IF(DAY(A364)&lt;=23,4,5)))))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IF(A365="","",IF(DAY(A365)&lt;=2,1,IF(DAY(A365)&lt;=9,2,IF(DAY(A365)&lt;=16,3,IF(DAY(A365)&lt;=23,4,5)))))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IF(A366="","",IF(DAY(A366)&lt;=2,1,IF(DAY(A366)&lt;=9,2,IF(DAY(A366)&lt;=16,3,IF(DAY(A366)&lt;=23,4,5)))))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IF(A367="","",IF(DAY(A367)&lt;=2,1,IF(DAY(A367)&lt;=9,2,IF(DAY(A367)&lt;=16,3,IF(DAY(A367)&lt;=23,4,5)))))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IF(A368="","",IF(DAY(A368)&lt;=2,1,IF(DAY(A368)&lt;=9,2,IF(DAY(A368)&lt;=16,3,IF(DAY(A368)&lt;=23,4,5)))))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IF(A369="","",IF(DAY(A369)&lt;=2,1,IF(DAY(A369)&lt;=9,2,IF(DAY(A369)&lt;=16,3,IF(DAY(A369)&lt;=23,4,5)))))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IF(A370="","",IF(DAY(A370)&lt;=2,1,IF(DAY(A370)&lt;=9,2,IF(DAY(A370)&lt;=16,3,IF(DAY(A370)&lt;=23,4,5)))))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IF(A371="","",IF(DAY(A371)&lt;=2,1,IF(DAY(A371)&lt;=9,2,IF(DAY(A371)&lt;=16,3,IF(DAY(A371)&lt;=23,4,5)))))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IF(A372="","",IF(DAY(A372)&lt;=2,1,IF(DAY(A372)&lt;=9,2,IF(DAY(A372)&lt;=16,3,IF(DAY(A372)&lt;=23,4,5)))))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IF(A373="","",IF(DAY(A373)&lt;=2,1,IF(DAY(A373)&lt;=9,2,IF(DAY(A373)&lt;=16,3,IF(DAY(A373)&lt;=23,4,5)))))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IF(A374="","",IF(DAY(A374)&lt;=2,1,IF(DAY(A374)&lt;=9,2,IF(DAY(A374)&lt;=16,3,IF(DAY(A374)&lt;=23,4,5)))))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IF(A375="","",IF(DAY(A375)&lt;=2,1,IF(DAY(A375)&lt;=9,2,IF(DAY(A375)&lt;=16,3,IF(DAY(A375)&lt;=23,4,5)))))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IF(A376="","",IF(DAY(A376)&lt;=2,1,IF(DAY(A376)&lt;=9,2,IF(DAY(A376)&lt;=16,3,IF(DAY(A376)&lt;=23,4,5)))))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IF(A377="","",IF(DAY(A377)&lt;=2,1,IF(DAY(A377)&lt;=9,2,IF(DAY(A377)&lt;=16,3,IF(DAY(A377)&lt;=23,4,5)))))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IF(A378="","",IF(DAY(A378)&lt;=2,1,IF(DAY(A378)&lt;=9,2,IF(DAY(A378)&lt;=16,3,IF(DAY(A378)&lt;=23,4,5)))))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IF(A379="","",IF(DAY(A379)&lt;=2,1,IF(DAY(A379)&lt;=9,2,IF(DAY(A379)&lt;=16,3,IF(DAY(A379)&lt;=23,4,5)))))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IF(A380="","",IF(DAY(A380)&lt;=2,1,IF(DAY(A380)&lt;=9,2,IF(DAY(A380)&lt;=16,3,IF(DAY(A380)&lt;=23,4,5)))))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IF(A381="","",IF(DAY(A381)&lt;=2,1,IF(DAY(A381)&lt;=9,2,IF(DAY(A381)&lt;=16,3,IF(DAY(A381)&lt;=23,4,5)))))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IF(A382="","",IF(DAY(A382)&lt;=2,1,IF(DAY(A382)&lt;=9,2,IF(DAY(A382)&lt;=16,3,IF(DAY(A382)&lt;=23,4,5)))))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IF(A383="","",IF(DAY(A383)&lt;=2,1,IF(DAY(A383)&lt;=9,2,IF(DAY(A383)&lt;=16,3,IF(DAY(A383)&lt;=23,4,5)))))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IF(A384="","",IF(DAY(A384)&lt;=2,1,IF(DAY(A384)&lt;=9,2,IF(DAY(A384)&lt;=16,3,IF(DAY(A384)&lt;=23,4,5)))))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IF(A385="","",IF(DAY(A385)&lt;=2,1,IF(DAY(A385)&lt;=9,2,IF(DAY(A385)&lt;=16,3,IF(DAY(A385)&lt;=23,4,5)))))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IF(A386="","",IF(DAY(A386)&lt;=2,1,IF(DAY(A386)&lt;=9,2,IF(DAY(A386)&lt;=16,3,IF(DAY(A386)&lt;=23,4,5)))))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IF(A387="","",IF(DAY(A387)&lt;=2,1,IF(DAY(A387)&lt;=9,2,IF(DAY(A387)&lt;=16,3,IF(DAY(A387)&lt;=23,4,5)))))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IF(A388="","",IF(DAY(A388)&lt;=2,1,IF(DAY(A388)&lt;=9,2,IF(DAY(A388)&lt;=16,3,IF(DAY(A388)&lt;=23,4,5)))))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IF(A389="","",IF(DAY(A389)&lt;=2,1,IF(DAY(A389)&lt;=9,2,IF(DAY(A389)&lt;=16,3,IF(DAY(A389)&lt;=23,4,5)))))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IF(A390="","",IF(DAY(A390)&lt;=2,1,IF(DAY(A390)&lt;=9,2,IF(DAY(A390)&lt;=16,3,IF(DAY(A390)&lt;=23,4,5)))))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IF(A391="","",IF(DAY(A391)&lt;=2,1,IF(DAY(A391)&lt;=9,2,IF(DAY(A391)&lt;=16,3,IF(DAY(A391)&lt;=23,4,5)))))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IF(A392="","",IF(DAY(A392)&lt;=2,1,IF(DAY(A392)&lt;=9,2,IF(DAY(A392)&lt;=16,3,IF(DAY(A392)&lt;=23,4,5)))))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IF(A393="","",IF(DAY(A393)&lt;=2,1,IF(DAY(A393)&lt;=9,2,IF(DAY(A393)&lt;=16,3,IF(DAY(A393)&lt;=23,4,5)))))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IF(A394="","",IF(DAY(A394)&lt;=2,1,IF(DAY(A394)&lt;=9,2,IF(DAY(A394)&lt;=16,3,IF(DAY(A394)&lt;=23,4,5)))))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IF(A395="","",IF(DAY(A395)&lt;=2,1,IF(DAY(A395)&lt;=9,2,IF(DAY(A395)&lt;=16,3,IF(DAY(A395)&lt;=23,4,5)))))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IF(A396="","",IF(DAY(A396)&lt;=2,1,IF(DAY(A396)&lt;=9,2,IF(DAY(A396)&lt;=16,3,IF(DAY(A396)&lt;=23,4,5)))))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IF(A397="","",IF(DAY(A397)&lt;=2,1,IF(DAY(A397)&lt;=9,2,IF(DAY(A397)&lt;=16,3,IF(DAY(A397)&lt;=23,4,5)))))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IF(A398="","",IF(DAY(A398)&lt;=2,1,IF(DAY(A398)&lt;=9,2,IF(DAY(A398)&lt;=16,3,IF(DAY(A398)&lt;=23,4,5)))))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IF(A399="","",IF(DAY(A399)&lt;=2,1,IF(DAY(A399)&lt;=9,2,IF(DAY(A399)&lt;=16,3,IF(DAY(A399)&lt;=23,4,5)))))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IF(A400="","",IF(DAY(A400)&lt;=2,1,IF(DAY(A400)&lt;=9,2,IF(DAY(A400)&lt;=16,3,IF(DAY(A400)&lt;=23,4,5)))))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IF(A401="","",IF(DAY(A401)&lt;=2,1,IF(DAY(A401)&lt;=9,2,IF(DAY(A401)&lt;=16,3,IF(DAY(A401)&lt;=23,4,5)))))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IF(A402="","",IF(DAY(A402)&lt;=2,1,IF(DAY(A402)&lt;=9,2,IF(DAY(A402)&lt;=16,3,IF(DAY(A402)&lt;=23,4,5)))))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IF(A403="","",IF(DAY(A403)&lt;=2,1,IF(DAY(A403)&lt;=9,2,IF(DAY(A403)&lt;=16,3,IF(DAY(A403)&lt;=23,4,5)))))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IF(A404="","",IF(DAY(A404)&lt;=2,1,IF(DAY(A404)&lt;=9,2,IF(DAY(A404)&lt;=16,3,IF(DAY(A404)&lt;=23,4,5)))))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IF(A405="","",IF(DAY(A405)&lt;=2,1,IF(DAY(A405)&lt;=9,2,IF(DAY(A405)&lt;=16,3,IF(DAY(A405)&lt;=23,4,5)))))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IF(A406="","",IF(DAY(A406)&lt;=2,1,IF(DAY(A406)&lt;=9,2,IF(DAY(A406)&lt;=16,3,IF(DAY(A406)&lt;=23,4,5)))))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IF(A407="","",IF(DAY(A407)&lt;=2,1,IF(DAY(A407)&lt;=9,2,IF(DAY(A407)&lt;=16,3,IF(DAY(A407)&lt;=23,4,5)))))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IF(A408="","",IF(DAY(A408)&lt;=2,1,IF(DAY(A408)&lt;=9,2,IF(DAY(A408)&lt;=16,3,IF(DAY(A408)&lt;=23,4,5)))))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IF(A409="","",IF(DAY(A409)&lt;=2,1,IF(DAY(A409)&lt;=9,2,IF(DAY(A409)&lt;=16,3,IF(DAY(A409)&lt;=23,4,5)))))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IF(A410="","",IF(DAY(A410)&lt;=2,1,IF(DAY(A410)&lt;=9,2,IF(DAY(A410)&lt;=16,3,IF(DAY(A410)&lt;=23,4,5)))))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IF(A411="","",IF(DAY(A411)&lt;=2,1,IF(DAY(A411)&lt;=9,2,IF(DAY(A411)&lt;=16,3,IF(DAY(A411)&lt;=23,4,5)))))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IF(A412="","",IF(DAY(A412)&lt;=2,1,IF(DAY(A412)&lt;=9,2,IF(DAY(A412)&lt;=16,3,IF(DAY(A412)&lt;=23,4,5)))))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IF(A413="","",IF(DAY(A413)&lt;=2,1,IF(DAY(A413)&lt;=9,2,IF(DAY(A413)&lt;=16,3,IF(DAY(A413)&lt;=23,4,5)))))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IF(A414="","",IF(DAY(A414)&lt;=2,1,IF(DAY(A414)&lt;=9,2,IF(DAY(A414)&lt;=16,3,IF(DAY(A414)&lt;=23,4,5)))))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IF(A415="","",IF(DAY(A415)&lt;=2,1,IF(DAY(A415)&lt;=9,2,IF(DAY(A415)&lt;=16,3,IF(DAY(A415)&lt;=23,4,5)))))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IF(A416="","",IF(DAY(A416)&lt;=2,1,IF(DAY(A416)&lt;=9,2,IF(DAY(A416)&lt;=16,3,IF(DAY(A416)&lt;=23,4,5)))))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IF(A417="","",IF(DAY(A417)&lt;=2,1,IF(DAY(A417)&lt;=9,2,IF(DAY(A417)&lt;=16,3,IF(DAY(A417)&lt;=23,4,5)))))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IF(A418="","",IF(DAY(A418)&lt;=2,1,IF(DAY(A418)&lt;=9,2,IF(DAY(A418)&lt;=16,3,IF(DAY(A418)&lt;=23,4,5)))))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IF(A419="","",IF(DAY(A419)&lt;=2,1,IF(DAY(A419)&lt;=9,2,IF(DAY(A419)&lt;=16,3,IF(DAY(A419)&lt;=23,4,5)))))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IF(A420="","",IF(DAY(A420)&lt;=2,1,IF(DAY(A420)&lt;=9,2,IF(DAY(A420)&lt;=16,3,IF(DAY(A420)&lt;=23,4,5)))))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IF(A421="","",IF(DAY(A421)&lt;=2,1,IF(DAY(A421)&lt;=9,2,IF(DAY(A421)&lt;=16,3,IF(DAY(A421)&lt;=23,4,5)))))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IF(A422="","",IF(DAY(A422)&lt;=2,1,IF(DAY(A422)&lt;=9,2,IF(DAY(A422)&lt;=16,3,IF(DAY(A422)&lt;=23,4,5)))))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IF(A423="","",IF(DAY(A423)&lt;=2,1,IF(DAY(A423)&lt;=9,2,IF(DAY(A423)&lt;=16,3,IF(DAY(A423)&lt;=23,4,5)))))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IF(A424="","",IF(DAY(A424)&lt;=2,1,IF(DAY(A424)&lt;=9,2,IF(DAY(A424)&lt;=16,3,IF(DAY(A424)&lt;=23,4,5)))))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IF(A425="","",IF(DAY(A425)&lt;=2,1,IF(DAY(A425)&lt;=9,2,IF(DAY(A425)&lt;=16,3,IF(DAY(A425)&lt;=23,4,5)))))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IF(A426="","",IF(DAY(A426)&lt;=2,1,IF(DAY(A426)&lt;=9,2,IF(DAY(A426)&lt;=16,3,IF(DAY(A426)&lt;=23,4,5)))))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IF(A427="","",IF(DAY(A427)&lt;=2,1,IF(DAY(A427)&lt;=9,2,IF(DAY(A427)&lt;=16,3,IF(DAY(A427)&lt;=23,4,5)))))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IF(A428="","",IF(DAY(A428)&lt;=2,1,IF(DAY(A428)&lt;=9,2,IF(DAY(A428)&lt;=16,3,IF(DAY(A428)&lt;=23,4,5)))))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IF(A429="","",IF(DAY(A429)&lt;=2,1,IF(DAY(A429)&lt;=9,2,IF(DAY(A429)&lt;=16,3,IF(DAY(A429)&lt;=23,4,5)))))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IF(A430="","",IF(DAY(A430)&lt;=2,1,IF(DAY(A430)&lt;=9,2,IF(DAY(A430)&lt;=16,3,IF(DAY(A430)&lt;=23,4,5)))))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IF(A431="","",IF(DAY(A431)&lt;=2,1,IF(DAY(A431)&lt;=9,2,IF(DAY(A431)&lt;=16,3,IF(DAY(A431)&lt;=23,4,5)))))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IF(A432="","",IF(DAY(A432)&lt;=2,1,IF(DAY(A432)&lt;=9,2,IF(DAY(A432)&lt;=16,3,IF(DAY(A432)&lt;=23,4,5)))))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IF(A433="","",IF(DAY(A433)&lt;=2,1,IF(DAY(A433)&lt;=9,2,IF(DAY(A433)&lt;=16,3,IF(DAY(A433)&lt;=23,4,5)))))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IF(A434="","",IF(DAY(A434)&lt;=2,1,IF(DAY(A434)&lt;=9,2,IF(DAY(A434)&lt;=16,3,IF(DAY(A434)&lt;=23,4,5)))))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IF(A435="","",IF(DAY(A435)&lt;=2,1,IF(DAY(A435)&lt;=9,2,IF(DAY(A435)&lt;=16,3,IF(DAY(A435)&lt;=23,4,5)))))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IF(A436="","",IF(DAY(A436)&lt;=2,1,IF(DAY(A436)&lt;=9,2,IF(DAY(A436)&lt;=16,3,IF(DAY(A436)&lt;=23,4,5)))))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IF(A437="","",IF(DAY(A437)&lt;=2,1,IF(DAY(A437)&lt;=9,2,IF(DAY(A437)&lt;=16,3,IF(DAY(A437)&lt;=23,4,5)))))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IF(A438="","",IF(DAY(A438)&lt;=2,1,IF(DAY(A438)&lt;=9,2,IF(DAY(A438)&lt;=16,3,IF(DAY(A438)&lt;=23,4,5)))))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IF(A439="","",IF(DAY(A439)&lt;=2,1,IF(DAY(A439)&lt;=9,2,IF(DAY(A439)&lt;=16,3,IF(DAY(A439)&lt;=23,4,5)))))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IF(A440="","",IF(DAY(A440)&lt;=2,1,IF(DAY(A440)&lt;=9,2,IF(DAY(A440)&lt;=16,3,IF(DAY(A440)&lt;=23,4,5)))))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IF(A441="","",IF(DAY(A441)&lt;=2,1,IF(DAY(A441)&lt;=9,2,IF(DAY(A441)&lt;=16,3,IF(DAY(A441)&lt;=23,4,5)))))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IF(A442="","",IF(DAY(A442)&lt;=2,1,IF(DAY(A442)&lt;=9,2,IF(DAY(A442)&lt;=16,3,IF(DAY(A442)&lt;=23,4,5)))))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IF(A443="","",IF(DAY(A443)&lt;=2,1,IF(DAY(A443)&lt;=9,2,IF(DAY(A443)&lt;=16,3,IF(DAY(A443)&lt;=23,4,5)))))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IF(A444="","",IF(DAY(A444)&lt;=2,1,IF(DAY(A444)&lt;=9,2,IF(DAY(A444)&lt;=16,3,IF(DAY(A444)&lt;=23,4,5)))))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IF(A445="","",IF(DAY(A445)&lt;=2,1,IF(DAY(A445)&lt;=9,2,IF(DAY(A445)&lt;=16,3,IF(DAY(A445)&lt;=23,4,5)))))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IF(A446="","",IF(DAY(A446)&lt;=2,1,IF(DAY(A446)&lt;=9,2,IF(DAY(A446)&lt;=16,3,IF(DAY(A446)&lt;=23,4,5)))))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IF(A447="","",IF(DAY(A447)&lt;=2,1,IF(DAY(A447)&lt;=9,2,IF(DAY(A447)&lt;=16,3,IF(DAY(A447)&lt;=23,4,5)))))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IF(A448="","",IF(DAY(A448)&lt;=2,1,IF(DAY(A448)&lt;=9,2,IF(DAY(A448)&lt;=16,3,IF(DAY(A448)&lt;=23,4,5)))))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IF(A449="","",IF(DAY(A449)&lt;=2,1,IF(DAY(A449)&lt;=9,2,IF(DAY(A449)&lt;=16,3,IF(DAY(A449)&lt;=23,4,5)))))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IF(A450="","",IF(DAY(A450)&lt;=2,1,IF(DAY(A450)&lt;=9,2,IF(DAY(A450)&lt;=16,3,IF(DAY(A450)&lt;=23,4,5)))))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IF(A451="","",IF(DAY(A451)&lt;=2,1,IF(DAY(A451)&lt;=9,2,IF(DAY(A451)&lt;=16,3,IF(DAY(A451)&lt;=23,4,5)))))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IF(A452="","",IF(DAY(A452)&lt;=2,1,IF(DAY(A452)&lt;=9,2,IF(DAY(A452)&lt;=16,3,IF(DAY(A452)&lt;=23,4,5)))))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IF(A453="","",IF(DAY(A453)&lt;=2,1,IF(DAY(A453)&lt;=9,2,IF(DAY(A453)&lt;=16,3,IF(DAY(A453)&lt;=23,4,5)))))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IF(A454="","",IF(DAY(A454)&lt;=2,1,IF(DAY(A454)&lt;=9,2,IF(DAY(A454)&lt;=16,3,IF(DAY(A454)&lt;=23,4,5)))))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IF(A455="","",IF(DAY(A455)&lt;=2,1,IF(DAY(A455)&lt;=9,2,IF(DAY(A455)&lt;=16,3,IF(DAY(A455)&lt;=23,4,5)))))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IF(A456="","",IF(DAY(A456)&lt;=2,1,IF(DAY(A456)&lt;=9,2,IF(DAY(A456)&lt;=16,3,IF(DAY(A456)&lt;=23,4,5)))))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IF(A457="","",IF(DAY(A457)&lt;=2,1,IF(DAY(A457)&lt;=9,2,IF(DAY(A457)&lt;=16,3,IF(DAY(A457)&lt;=23,4,5)))))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IF(A458="","",IF(DAY(A458)&lt;=2,1,IF(DAY(A458)&lt;=9,2,IF(DAY(A458)&lt;=16,3,IF(DAY(A458)&lt;=23,4,5)))))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IF(A459="","",IF(DAY(A459)&lt;=2,1,IF(DAY(A459)&lt;=9,2,IF(DAY(A459)&lt;=16,3,IF(DAY(A459)&lt;=23,4,5)))))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IF(A460="","",IF(DAY(A460)&lt;=2,1,IF(DAY(A460)&lt;=9,2,IF(DAY(A460)&lt;=16,3,IF(DAY(A460)&lt;=23,4,5)))))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IF(A461="","",IF(DAY(A461)&lt;=2,1,IF(DAY(A461)&lt;=9,2,IF(DAY(A461)&lt;=16,3,IF(DAY(A461)&lt;=23,4,5)))))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IF(A462="","",IF(DAY(A462)&lt;=2,1,IF(DAY(A462)&lt;=9,2,IF(DAY(A462)&lt;=16,3,IF(DAY(A462)&lt;=23,4,5)))))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IF(A463="","",IF(DAY(A463)&lt;=2,1,IF(DAY(A463)&lt;=9,2,IF(DAY(A463)&lt;=16,3,IF(DAY(A463)&lt;=23,4,5)))))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IF(A464="","",IF(DAY(A464)&lt;=2,1,IF(DAY(A464)&lt;=9,2,IF(DAY(A464)&lt;=16,3,IF(DAY(A464)&lt;=23,4,5)))))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IF(A465="","",IF(DAY(A465)&lt;=2,1,IF(DAY(A465)&lt;=9,2,IF(DAY(A465)&lt;=16,3,IF(DAY(A465)&lt;=23,4,5)))))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IF(A466="","",IF(DAY(A466)&lt;=2,1,IF(DAY(A466)&lt;=9,2,IF(DAY(A466)&lt;=16,3,IF(DAY(A466)&lt;=23,4,5)))))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IF(A467="","",IF(DAY(A467)&lt;=2,1,IF(DAY(A467)&lt;=9,2,IF(DAY(A467)&lt;=16,3,IF(DAY(A467)&lt;=23,4,5)))))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IF(A468="","",IF(DAY(A468)&lt;=2,1,IF(DAY(A468)&lt;=9,2,IF(DAY(A468)&lt;=16,3,IF(DAY(A468)&lt;=23,4,5)))))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IF(A469="","",IF(DAY(A469)&lt;=2,1,IF(DAY(A469)&lt;=9,2,IF(DAY(A469)&lt;=16,3,IF(DAY(A469)&lt;=23,4,5)))))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IF(A470="","",IF(DAY(A470)&lt;=2,1,IF(DAY(A470)&lt;=9,2,IF(DAY(A470)&lt;=16,3,IF(DAY(A470)&lt;=23,4,5)))))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IF(A471="","",IF(DAY(A471)&lt;=2,1,IF(DAY(A471)&lt;=9,2,IF(DAY(A471)&lt;=16,3,IF(DAY(A471)&lt;=23,4,5)))))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IF(A472="","",IF(DAY(A472)&lt;=2,1,IF(DAY(A472)&lt;=9,2,IF(DAY(A472)&lt;=16,3,IF(DAY(A472)&lt;=23,4,5)))))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IF(A473="","",IF(DAY(A473)&lt;=2,1,IF(DAY(A473)&lt;=9,2,IF(DAY(A473)&lt;=16,3,IF(DAY(A473)&lt;=23,4,5)))))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IF(A474="","",IF(DAY(A474)&lt;=2,1,IF(DAY(A474)&lt;=9,2,IF(DAY(A474)&lt;=16,3,IF(DAY(A474)&lt;=23,4,5)))))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IF(A475="","",IF(DAY(A475)&lt;=2,1,IF(DAY(A475)&lt;=9,2,IF(DAY(A475)&lt;=16,3,IF(DAY(A475)&lt;=23,4,5)))))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IF(A476="","",IF(DAY(A476)&lt;=2,1,IF(DAY(A476)&lt;=9,2,IF(DAY(A476)&lt;=16,3,IF(DAY(A476)&lt;=23,4,5)))))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IF(A477="","",IF(DAY(A477)&lt;=2,1,IF(DAY(A477)&lt;=9,2,IF(DAY(A477)&lt;=16,3,IF(DAY(A477)&lt;=23,4,5)))))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IF(A478="","",IF(DAY(A478)&lt;=2,1,IF(DAY(A478)&lt;=9,2,IF(DAY(A478)&lt;=16,3,IF(DAY(A478)&lt;=23,4,5)))))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IF(A479="","",IF(DAY(A479)&lt;=2,1,IF(DAY(A479)&lt;=9,2,IF(DAY(A479)&lt;=16,3,IF(DAY(A479)&lt;=23,4,5)))))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IF(A480="","",IF(DAY(A480)&lt;=2,1,IF(DAY(A480)&lt;=9,2,IF(DAY(A480)&lt;=16,3,IF(DAY(A480)&lt;=23,4,5)))))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IF(A481="","",IF(DAY(A481)&lt;=2,1,IF(DAY(A481)&lt;=9,2,IF(DAY(A481)&lt;=16,3,IF(DAY(A481)&lt;=23,4,5)))))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IF(A482="","",IF(DAY(A482)&lt;=2,1,IF(DAY(A482)&lt;=9,2,IF(DAY(A482)&lt;=16,3,IF(DAY(A482)&lt;=23,4,5)))))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IF(A483="","",IF(DAY(A483)&lt;=2,1,IF(DAY(A483)&lt;=9,2,IF(DAY(A483)&lt;=16,3,IF(DAY(A483)&lt;=23,4,5)))))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IF(A484="","",IF(DAY(A484)&lt;=2,1,IF(DAY(A484)&lt;=9,2,IF(DAY(A484)&lt;=16,3,IF(DAY(A484)&lt;=23,4,5)))))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IF(A485="","",IF(DAY(A485)&lt;=2,1,IF(DAY(A485)&lt;=9,2,IF(DAY(A485)&lt;=16,3,IF(DAY(A485)&lt;=23,4,5)))))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IF(A486="","",IF(DAY(A486)&lt;=2,1,IF(DAY(A486)&lt;=9,2,IF(DAY(A486)&lt;=16,3,IF(DAY(A486)&lt;=23,4,5)))))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IF(A487="","",IF(DAY(A487)&lt;=2,1,IF(DAY(A487)&lt;=9,2,IF(DAY(A487)&lt;=16,3,IF(DAY(A487)&lt;=23,4,5)))))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IF(A488="","",IF(DAY(A488)&lt;=2,1,IF(DAY(A488)&lt;=9,2,IF(DAY(A488)&lt;=16,3,IF(DAY(A488)&lt;=23,4,5)))))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IF(A489="","",IF(DAY(A489)&lt;=2,1,IF(DAY(A489)&lt;=9,2,IF(DAY(A489)&lt;=16,3,IF(DAY(A489)&lt;=23,4,5)))))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IF(A490="","",IF(DAY(A490)&lt;=2,1,IF(DAY(A490)&lt;=9,2,IF(DAY(A490)&lt;=16,3,IF(DAY(A490)&lt;=23,4,5)))))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IF(A491="","",IF(DAY(A491)&lt;=2,1,IF(DAY(A491)&lt;=9,2,IF(DAY(A491)&lt;=16,3,IF(DAY(A491)&lt;=23,4,5)))))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IF(A492="","",IF(DAY(A492)&lt;=2,1,IF(DAY(A492)&lt;=9,2,IF(DAY(A492)&lt;=16,3,IF(DAY(A492)&lt;=23,4,5)))))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IF(A493="","",IF(DAY(A493)&lt;=2,1,IF(DAY(A493)&lt;=9,2,IF(DAY(A493)&lt;=16,3,IF(DAY(A493)&lt;=23,4,5)))))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IF(A494="","",IF(DAY(A494)&lt;=2,1,IF(DAY(A494)&lt;=9,2,IF(DAY(A494)&lt;=16,3,IF(DAY(A494)&lt;=23,4,5)))))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IF(A495="","",IF(DAY(A495)&lt;=2,1,IF(DAY(A495)&lt;=9,2,IF(DAY(A495)&lt;=16,3,IF(DAY(A495)&lt;=23,4,5)))))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IF(A496="","",IF(DAY(A496)&lt;=2,1,IF(DAY(A496)&lt;=9,2,IF(DAY(A496)&lt;=16,3,IF(DAY(A496)&lt;=23,4,5)))))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IF(A497="","",IF(DAY(A497)&lt;=2,1,IF(DAY(A497)&lt;=9,2,IF(DAY(A497)&lt;=16,3,IF(DAY(A497)&lt;=23,4,5)))))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IF(A498="","",IF(DAY(A498)&lt;=2,1,IF(DAY(A498)&lt;=9,2,IF(DAY(A498)&lt;=16,3,IF(DAY(A498)&lt;=23,4,5)))))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IF(A499="","",IF(DAY(A499)&lt;=2,1,IF(DAY(A499)&lt;=9,2,IF(DAY(A499)&lt;=16,3,IF(DAY(A499)&lt;=23,4,5)))))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IF(A500="","",IF(DAY(A500)&lt;=2,1,IF(DAY(A500)&lt;=9,2,IF(DAY(A500)&lt;=16,3,IF(DAY(A500)&lt;=23,4,5)))))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IF(A501="","",IF(DAY(A501)&lt;=2,1,IF(DAY(A501)&lt;=9,2,IF(DAY(A501)&lt;=16,3,IF(DAY(A501)&lt;=23,4,5)))))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IF(A502="","",IF(DAY(A502)&lt;=2,1,IF(DAY(A502)&lt;=9,2,IF(DAY(A502)&lt;=16,3,IF(DAY(A502)&lt;=23,4,5)))))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IF(A503="","",IF(DAY(A503)&lt;=2,1,IF(DAY(A503)&lt;=9,2,IF(DAY(A503)&lt;=16,3,IF(DAY(A503)&lt;=23,4,5)))))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IF(A504="","",IF(DAY(A504)&lt;=2,1,IF(DAY(A504)&lt;=9,2,IF(DAY(A504)&lt;=16,3,IF(DAY(A504)&lt;=23,4,5)))))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IF(A505="","",IF(DAY(A505)&lt;=2,1,IF(DAY(A505)&lt;=9,2,IF(DAY(A505)&lt;=16,3,IF(DAY(A505)&lt;=23,4,5)))))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IF(A506="","",IF(DAY(A506)&lt;=2,1,IF(DAY(A506)&lt;=9,2,IF(DAY(A506)&lt;=16,3,IF(DAY(A506)&lt;=23,4,5)))))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IF(A507="","",IF(DAY(A507)&lt;=2,1,IF(DAY(A507)&lt;=9,2,IF(DAY(A507)&lt;=16,3,IF(DAY(A507)&lt;=23,4,5)))))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IF(A508="","",IF(DAY(A508)&lt;=2,1,IF(DAY(A508)&lt;=9,2,IF(DAY(A508)&lt;=16,3,IF(DAY(A508)&lt;=23,4,5)))))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IF(A509="","",IF(DAY(A509)&lt;=2,1,IF(DAY(A509)&lt;=9,2,IF(DAY(A509)&lt;=16,3,IF(DAY(A509)&lt;=23,4,5)))))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IF(A510="","",IF(DAY(A510)&lt;=2,1,IF(DAY(A510)&lt;=9,2,IF(DAY(A510)&lt;=16,3,IF(DAY(A510)&lt;=23,4,5)))))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IF(A511="","",IF(DAY(A511)&lt;=2,1,IF(DAY(A511)&lt;=9,2,IF(DAY(A511)&lt;=16,3,IF(DAY(A511)&lt;=23,4,5)))))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IF(A512="","",IF(DAY(A512)&lt;=2,1,IF(DAY(A512)&lt;=9,2,IF(DAY(A512)&lt;=16,3,IF(DAY(A512)&lt;=23,4,5)))))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IF(A513="","",IF(DAY(A513)&lt;=2,1,IF(DAY(A513)&lt;=9,2,IF(DAY(A513)&lt;=16,3,IF(DAY(A513)&lt;=23,4,5)))))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IF(A514="","",IF(DAY(A514)&lt;=2,1,IF(DAY(A514)&lt;=9,2,IF(DAY(A514)&lt;=16,3,IF(DAY(A514)&lt;=23,4,5)))))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IF(A515="","",IF(DAY(A515)&lt;=2,1,IF(DAY(A515)&lt;=9,2,IF(DAY(A515)&lt;=16,3,IF(DAY(A515)&lt;=23,4,5)))))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IF(A516="","",IF(DAY(A516)&lt;=2,1,IF(DAY(A516)&lt;=9,2,IF(DAY(A516)&lt;=16,3,IF(DAY(A516)&lt;=23,4,5)))))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IF(A517="","",IF(DAY(A517)&lt;=2,1,IF(DAY(A517)&lt;=9,2,IF(DAY(A517)&lt;=16,3,IF(DAY(A517)&lt;=23,4,5)))))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IF(A518="","",IF(DAY(A518)&lt;=2,1,IF(DAY(A518)&lt;=9,2,IF(DAY(A518)&lt;=16,3,IF(DAY(A518)&lt;=23,4,5)))))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IF(A519="","",IF(DAY(A519)&lt;=2,1,IF(DAY(A519)&lt;=9,2,IF(DAY(A519)&lt;=16,3,IF(DAY(A519)&lt;=23,4,5)))))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IF(A520="","",IF(DAY(A520)&lt;=2,1,IF(DAY(A520)&lt;=9,2,IF(DAY(A520)&lt;=16,3,IF(DAY(A520)&lt;=23,4,5)))))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IF(A521="","",IF(DAY(A521)&lt;=2,1,IF(DAY(A521)&lt;=9,2,IF(DAY(A521)&lt;=16,3,IF(DAY(A521)&lt;=23,4,5)))))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IF(A522="","",IF(DAY(A522)&lt;=2,1,IF(DAY(A522)&lt;=9,2,IF(DAY(A522)&lt;=16,3,IF(DAY(A522)&lt;=23,4,5)))))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IF(A523="","",IF(DAY(A523)&lt;=2,1,IF(DAY(A523)&lt;=9,2,IF(DAY(A523)&lt;=16,3,IF(DAY(A523)&lt;=23,4,5)))))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IF(A524="","",IF(DAY(A524)&lt;=2,1,IF(DAY(A524)&lt;=9,2,IF(DAY(A524)&lt;=16,3,IF(DAY(A524)&lt;=23,4,5)))))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IF(A525="","",IF(DAY(A525)&lt;=2,1,IF(DAY(A525)&lt;=9,2,IF(DAY(A525)&lt;=16,3,IF(DAY(A525)&lt;=23,4,5)))))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IF(A526="","",IF(DAY(A526)&lt;=2,1,IF(DAY(A526)&lt;=9,2,IF(DAY(A526)&lt;=16,3,IF(DAY(A526)&lt;=23,4,5)))))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IF(A527="","",IF(DAY(A527)&lt;=2,1,IF(DAY(A527)&lt;=9,2,IF(DAY(A527)&lt;=16,3,IF(DAY(A527)&lt;=23,4,5)))))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IF(A528="","",IF(DAY(A528)&lt;=2,1,IF(DAY(A528)&lt;=9,2,IF(DAY(A528)&lt;=16,3,IF(DAY(A528)&lt;=23,4,5)))))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September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>
        <v>46266</v>
      </c>
      <c r="B29" s="9">
        <f>IF(A29="","",INT((DAY(A29)-1)/7)+1)</f>
        <v/>
      </c>
      <c r="C29" s="9" t="inlineStr">
        <is>
          <t>Zelle payment to Joshua 30637153868</t>
        </is>
      </c>
      <c r="D29" s="9" t="inlineStr">
        <is>
          <t>Joshua</t>
        </is>
      </c>
      <c r="E29" s="9" t="inlineStr">
        <is>
          <t>Housing</t>
        </is>
      </c>
      <c r="F29" s="9" t="inlineStr">
        <is>
          <t>Rent</t>
        </is>
      </c>
      <c r="G29" s="9" t="inlineStr">
        <is>
          <t>Checking</t>
        </is>
      </c>
      <c r="H29" s="9" t="inlineStr">
        <is>
          <t>Zelle debit</t>
        </is>
      </c>
      <c r="I29" s="9" t="inlineStr">
        <is>
          <t>Expense</t>
        </is>
      </c>
      <c r="J29" s="3" t="n">
        <v>500</v>
      </c>
      <c r="K29" s="9" t="inlineStr">
        <is>
          <t>9월 1주차; Chase Secure (...0119); Balance shown: $7,721.00; Rent</t>
        </is>
      </c>
    </row>
    <row r="30">
      <c r="A30" s="4" t="n">
        <v>46266</v>
      </c>
      <c r="B30" s="9">
        <f>IF(A30="","",INT((DAY(A30)-1)/7)+1)</f>
        <v/>
      </c>
      <c r="C30" s="9" t="inlineStr">
        <is>
          <t>MTA*NYCT PAYGO NEW YORK NY 08/31 (...0119)</t>
        </is>
      </c>
      <c r="D30" s="9" t="inlineStr">
        <is>
          <t>MTA NYCT Paygo</t>
        </is>
      </c>
      <c r="E30" s="9" t="inlineStr">
        <is>
          <t>Transportation</t>
        </is>
      </c>
      <c r="F30" s="9" t="inlineStr">
        <is>
          <t>Public transit</t>
        </is>
      </c>
      <c r="G30" s="9" t="inlineStr">
        <is>
          <t>Checking</t>
        </is>
      </c>
      <c r="H30" s="9" t="inlineStr">
        <is>
          <t>Debit Card</t>
        </is>
      </c>
      <c r="I30" s="9" t="inlineStr">
        <is>
          <t>Expense</t>
        </is>
      </c>
      <c r="J30" s="3" t="n">
        <v>3</v>
      </c>
      <c r="K30" s="9" t="inlineStr">
        <is>
          <t>9월 1주차; Chase Secure (...0119); Balance shown: $8,221.00</t>
        </is>
      </c>
    </row>
    <row r="31">
      <c r="A31" s="4" t="n">
        <v>46266</v>
      </c>
      <c r="B31" s="9">
        <f>IF(A31="","",INT((DAY(A31)-1)/7)+1)</f>
        <v/>
      </c>
      <c r="C31" s="9" t="inlineStr">
        <is>
          <t>MCDONALD'S F39704 NEW YORK NY 08/31 (...0119)</t>
        </is>
      </c>
      <c r="D31" s="9" t="inlineStr">
        <is>
          <t>McDonald's</t>
        </is>
      </c>
      <c r="E31" s="9" t="inlineStr">
        <is>
          <t>Dining</t>
        </is>
      </c>
      <c r="F31" s="9" t="inlineStr">
        <is>
          <t>Fast food</t>
        </is>
      </c>
      <c r="G31" s="9" t="inlineStr">
        <is>
          <t>Checking</t>
        </is>
      </c>
      <c r="H31" s="9" t="inlineStr">
        <is>
          <t>Debit Card</t>
        </is>
      </c>
      <c r="I31" s="9" t="inlineStr">
        <is>
          <t>Expense</t>
        </is>
      </c>
      <c r="J31" s="3" t="n">
        <v>7.62</v>
      </c>
      <c r="K31" s="9" t="inlineStr">
        <is>
          <t>9월 1주차; Chase Secure (...0119); Balance shown: $8,224.00</t>
        </is>
      </c>
    </row>
    <row r="32">
      <c r="A32" s="4" t="n">
        <v>46266</v>
      </c>
      <c r="B32" s="9">
        <f>IF(A32="","",INT((DAY(A32)-1)/7)+1)</f>
        <v/>
      </c>
      <c r="C32" s="9" t="inlineStr">
        <is>
          <t>FIVE BELOW 8008 NEW YORK NY 08/31 (...0119)</t>
        </is>
      </c>
      <c r="D32" s="9" t="inlineStr">
        <is>
          <t>Five Below</t>
        </is>
      </c>
      <c r="E32" s="9" t="inlineStr">
        <is>
          <t>Shopping</t>
        </is>
      </c>
      <c r="F32" s="9" t="inlineStr">
        <is>
          <t>Retail</t>
        </is>
      </c>
      <c r="G32" s="9" t="inlineStr">
        <is>
          <t>Checking</t>
        </is>
      </c>
      <c r="H32" s="9" t="inlineStr">
        <is>
          <t>Debit Card</t>
        </is>
      </c>
      <c r="I32" s="9" t="inlineStr">
        <is>
          <t>Expense</t>
        </is>
      </c>
      <c r="J32" s="3" t="n">
        <v>7.62</v>
      </c>
      <c r="K32" s="9" t="inlineStr">
        <is>
          <t>9월 1주차; Chase Secure (...0119); Balance shown: $8,231.62</t>
        </is>
      </c>
    </row>
    <row r="33">
      <c r="A33" s="4" t="n">
        <v>46266</v>
      </c>
      <c r="B33" s="9">
        <f>IF(A33="","",INT((DAY(A33)-1)/7)+1)</f>
        <v/>
      </c>
      <c r="C33" s="9" t="inlineStr">
        <is>
          <t>MTA*NYCT PAYGO NEW YORK NY 08/31 (...0119)</t>
        </is>
      </c>
      <c r="D33" s="9" t="inlineStr">
        <is>
          <t>MTA NYCT Paygo</t>
        </is>
      </c>
      <c r="E33" s="9" t="inlineStr">
        <is>
          <t>Transportation</t>
        </is>
      </c>
      <c r="F33" s="9" t="inlineStr">
        <is>
          <t>Public transit</t>
        </is>
      </c>
      <c r="G33" s="9" t="inlineStr">
        <is>
          <t>Checking</t>
        </is>
      </c>
      <c r="H33" s="9" t="inlineStr">
        <is>
          <t>Debit Card</t>
        </is>
      </c>
      <c r="I33" s="9" t="inlineStr">
        <is>
          <t>Expense</t>
        </is>
      </c>
      <c r="J33" s="3" t="n">
        <v>3</v>
      </c>
      <c r="K33" s="9" t="inlineStr">
        <is>
          <t>9월 1주차; Chase Secure (...0119); Balance shown: $8,239.24</t>
        </is>
      </c>
    </row>
    <row r="34">
      <c r="A34" s="4" t="n">
        <v>46266</v>
      </c>
      <c r="B34" s="9">
        <f>IF(A34="","",INT((DAY(A34)-1)/7)+1)</f>
        <v/>
      </c>
      <c r="C34" s="9" t="inlineStr">
        <is>
          <t>Additional rent paid in cash</t>
        </is>
      </c>
      <c r="D34" s="9" t="inlineStr">
        <is>
          <t>Housing</t>
        </is>
      </c>
      <c r="E34" s="9" t="inlineStr">
        <is>
          <t>Housing</t>
        </is>
      </c>
      <c r="F34" s="9" t="inlineStr">
        <is>
          <t>Rent</t>
        </is>
      </c>
      <c r="G34" s="9" t="inlineStr">
        <is>
          <t>Cash</t>
        </is>
      </c>
      <c r="H34" s="9" t="inlineStr">
        <is>
          <t>Cash</t>
        </is>
      </c>
      <c r="I34" s="9" t="inlineStr">
        <is>
          <t>Expense</t>
        </is>
      </c>
      <c r="J34" s="3" t="n">
        <v>600</v>
      </c>
      <c r="K34" s="9" t="inlineStr">
        <is>
          <t>9월 1주차; Additional rent paid in cash on 2026-09-01</t>
        </is>
      </c>
    </row>
    <row r="35">
      <c r="A35" s="4" t="n">
        <v>46267</v>
      </c>
      <c r="B35" s="9">
        <f>IF(A35="","",INT((DAY(A35)-1)/7)+1)</f>
        <v/>
      </c>
      <c r="C35" s="9" t="inlineStr">
        <is>
          <t>MTA*NYCT PAYGO NEW YORK NY 09/01 (...0119)</t>
        </is>
      </c>
      <c r="D35" s="9" t="inlineStr">
        <is>
          <t>MTA NYCT Paygo</t>
        </is>
      </c>
      <c r="E35" s="9" t="inlineStr">
        <is>
          <t>Transportation</t>
        </is>
      </c>
      <c r="F35" s="9" t="inlineStr">
        <is>
          <t>Public transit</t>
        </is>
      </c>
      <c r="G35" s="9" t="inlineStr">
        <is>
          <t>Checking</t>
        </is>
      </c>
      <c r="H35" s="9" t="inlineStr">
        <is>
          <t>Debit Card</t>
        </is>
      </c>
      <c r="I35" s="9" t="inlineStr">
        <is>
          <t>Expense</t>
        </is>
      </c>
      <c r="J35" s="3" t="n">
        <v>3</v>
      </c>
      <c r="K35" s="9" t="inlineStr">
        <is>
          <t>9월 1주차; Chase Secure (...0119); Balance shown: $7,514.31</t>
        </is>
      </c>
    </row>
    <row r="36">
      <c r="A36" s="4" t="n">
        <v>46267</v>
      </c>
      <c r="B36" s="9">
        <f>IF(A36="","",INT((DAY(A36)-1)/7)+1)</f>
        <v/>
      </c>
      <c r="C36" s="9" t="inlineStr">
        <is>
          <t>SONY ELECTRONICS 800-249-7669 CA 09/02 (...0119)</t>
        </is>
      </c>
      <c r="D36" s="9" t="inlineStr">
        <is>
          <t>Sony Electronics</t>
        </is>
      </c>
      <c r="E36" s="9" t="inlineStr">
        <is>
          <t>Shopping</t>
        </is>
      </c>
      <c r="F36" s="9" t="inlineStr">
        <is>
          <t>Electronics</t>
        </is>
      </c>
      <c r="G36" s="9" t="inlineStr">
        <is>
          <t>Checking</t>
        </is>
      </c>
      <c r="H36" s="9" t="inlineStr">
        <is>
          <t>Debit Card</t>
        </is>
      </c>
      <c r="I36" s="9" t="inlineStr">
        <is>
          <t>Expense</t>
        </is>
      </c>
      <c r="J36" s="3" t="n">
        <v>194.02</v>
      </c>
      <c r="K36" s="9" t="inlineStr">
        <is>
          <t>9월 1주차; Chase Secure (...0119); Balance shown: $7,517.31</t>
        </is>
      </c>
    </row>
    <row r="37">
      <c r="A37" s="4" t="n">
        <v>46267</v>
      </c>
      <c r="B37" s="9">
        <f>IF(A37="","",INT((DAY(A37)-1)/7)+1)</f>
        <v/>
      </c>
      <c r="C37" s="9" t="inlineStr">
        <is>
          <t>MTA*NYCT PAYGO NEW YORK NY 09/01 (...0119)</t>
        </is>
      </c>
      <c r="D37" s="9" t="inlineStr">
        <is>
          <t>MTA NYCT Paygo</t>
        </is>
      </c>
      <c r="E37" s="9" t="inlineStr">
        <is>
          <t>Transportation</t>
        </is>
      </c>
      <c r="F37" s="9" t="inlineStr">
        <is>
          <t>Public transit</t>
        </is>
      </c>
      <c r="G37" s="9" t="inlineStr">
        <is>
          <t>Checking</t>
        </is>
      </c>
      <c r="H37" s="9" t="inlineStr">
        <is>
          <t>Debit Card</t>
        </is>
      </c>
      <c r="I37" s="9" t="inlineStr">
        <is>
          <t>Expense</t>
        </is>
      </c>
      <c r="J37" s="3" t="n">
        <v>3</v>
      </c>
      <c r="K37" s="9" t="inlineStr">
        <is>
          <t>9월 1주차; Chase Secure (...0119); Balance shown: $7,711.33</t>
        </is>
      </c>
    </row>
    <row r="38">
      <c r="A38" s="4" t="n">
        <v>46267</v>
      </c>
      <c r="B38" s="9">
        <f>IF(A38="","",INT((DAY(A38)-1)/7)+1)</f>
        <v/>
      </c>
      <c r="C38" s="9" t="inlineStr">
        <is>
          <t>SQ *SUPREME NY PIZZA I BROOKLYN NY 09/01 (...0119)</t>
        </is>
      </c>
      <c r="D38" s="9" t="inlineStr">
        <is>
          <t>Supreme NY Pizza</t>
        </is>
      </c>
      <c r="E38" s="9" t="inlineStr">
        <is>
          <t>Dining</t>
        </is>
      </c>
      <c r="F38" s="9" t="inlineStr">
        <is>
          <t>Restaurant/Pizza</t>
        </is>
      </c>
      <c r="G38" s="9" t="inlineStr">
        <is>
          <t>Checking</t>
        </is>
      </c>
      <c r="H38" s="9" t="inlineStr">
        <is>
          <t>Debit Card</t>
        </is>
      </c>
      <c r="I38" s="9" t="inlineStr">
        <is>
          <t>Expense</t>
        </is>
      </c>
      <c r="J38" s="3" t="n">
        <v>3.67</v>
      </c>
      <c r="K38" s="9" t="inlineStr">
        <is>
          <t>9월 1주차; Chase Secure (...0119); Balance shown: $7,714.33</t>
        </is>
      </c>
    </row>
    <row r="39">
      <c r="A39" s="4" t="n">
        <v>46267</v>
      </c>
      <c r="B39" s="9">
        <f>IF(A39="","",INT((DAY(A39)-1)/7)+1)</f>
        <v/>
      </c>
      <c r="C39" s="9" t="inlineStr">
        <is>
          <t>MTA*NYCT PAYGO NEW YORK NY 09/01 (...0119)</t>
        </is>
      </c>
      <c r="D39" s="9" t="inlineStr">
        <is>
          <t>MTA NYCT Paygo</t>
        </is>
      </c>
      <c r="E39" s="9" t="inlineStr">
        <is>
          <t>Transportation</t>
        </is>
      </c>
      <c r="F39" s="9" t="inlineStr">
        <is>
          <t>Public transit</t>
        </is>
      </c>
      <c r="G39" s="9" t="inlineStr">
        <is>
          <t>Checking</t>
        </is>
      </c>
      <c r="H39" s="9" t="inlineStr">
        <is>
          <t>Debit Card</t>
        </is>
      </c>
      <c r="I39" s="9" t="inlineStr">
        <is>
          <t>Expense</t>
        </is>
      </c>
      <c r="J39" s="3" t="n">
        <v>3</v>
      </c>
      <c r="K39" s="9" t="inlineStr">
        <is>
          <t>9월 1주차; Chase Secure (...0119); Balance shown: $7,718.00</t>
        </is>
      </c>
    </row>
    <row r="40">
      <c r="A40" s="4" t="n">
        <v>46268</v>
      </c>
      <c r="B40" s="9">
        <f>IF(A40="","",INT((DAY(A40)-1)/7)+1)</f>
        <v/>
      </c>
      <c r="C40" s="9" t="inlineStr">
        <is>
          <t>JACKPOT DEALS BROOKLYN NY 493481 09/03 (...0119)</t>
        </is>
      </c>
      <c r="D40" s="9" t="inlineStr">
        <is>
          <t>Jackpot Deals</t>
        </is>
      </c>
      <c r="E40" s="9" t="inlineStr">
        <is>
          <t>Shopping</t>
        </is>
      </c>
      <c r="F40" s="9" t="inlineStr">
        <is>
          <t>Retail</t>
        </is>
      </c>
      <c r="G40" s="9" t="inlineStr">
        <is>
          <t>Checking</t>
        </is>
      </c>
      <c r="H40" s="9" t="inlineStr">
        <is>
          <t>Debit Card</t>
        </is>
      </c>
      <c r="I40" s="9" t="inlineStr">
        <is>
          <t>Expense</t>
        </is>
      </c>
      <c r="J40" s="3" t="n">
        <v>10.87</v>
      </c>
      <c r="K40" s="9" t="inlineStr">
        <is>
          <t>9월 1주차; Chase Secure (...0119); Balance shown: $7,465.42</t>
        </is>
      </c>
    </row>
    <row r="41">
      <c r="A41" s="4" t="n">
        <v>46268</v>
      </c>
      <c r="B41" s="9">
        <f>IF(A41="","",INT((DAY(A41)-1)/7)+1)</f>
        <v/>
      </c>
      <c r="C41" s="9" t="inlineStr">
        <is>
          <t>MTA*NYCT PAYGO NEW YORK NY 09/02 (...0119)</t>
        </is>
      </c>
      <c r="D41" s="9" t="inlineStr">
        <is>
          <t>MTA NYCT Paygo</t>
        </is>
      </c>
      <c r="E41" s="9" t="inlineStr">
        <is>
          <t>Transportation</t>
        </is>
      </c>
      <c r="F41" s="9" t="inlineStr">
        <is>
          <t>Public transit</t>
        </is>
      </c>
      <c r="G41" s="9" t="inlineStr">
        <is>
          <t>Checking</t>
        </is>
      </c>
      <c r="H41" s="9" t="inlineStr">
        <is>
          <t>Debit Card</t>
        </is>
      </c>
      <c r="I41" s="9" t="inlineStr">
        <is>
          <t>Expense</t>
        </is>
      </c>
      <c r="J41" s="3" t="n">
        <v>3</v>
      </c>
      <c r="K41" s="9" t="inlineStr">
        <is>
          <t>9월 1주차; Chase Secure (...0119); Balance shown: $7,476.29</t>
        </is>
      </c>
    </row>
    <row r="42">
      <c r="A42" s="4" t="n">
        <v>46268</v>
      </c>
      <c r="B42" s="9">
        <f>IF(A42="","",INT((DAY(A42)-1)/7)+1)</f>
        <v/>
      </c>
      <c r="C42" s="9" t="inlineStr">
        <is>
          <t>TST* CHA CHA MATCHA - M NEW YORK NY 09/03 (...0119)</t>
        </is>
      </c>
      <c r="D42" s="9" t="inlineStr">
        <is>
          <t>Cha Cha Matcha</t>
        </is>
      </c>
      <c r="E42" s="9" t="inlineStr">
        <is>
          <t>Dining</t>
        </is>
      </c>
      <c r="F42" s="9" t="inlineStr">
        <is>
          <t>Cafe</t>
        </is>
      </c>
      <c r="G42" s="9" t="inlineStr">
        <is>
          <t>Checking</t>
        </is>
      </c>
      <c r="H42" s="9" t="inlineStr">
        <is>
          <t>Debit Card</t>
        </is>
      </c>
      <c r="I42" s="9" t="inlineStr">
        <is>
          <t>Expense</t>
        </is>
      </c>
      <c r="J42" s="3" t="n">
        <v>7.63</v>
      </c>
      <c r="K42" s="9" t="inlineStr">
        <is>
          <t>9월 1주차; Chase Secure (...0119); Balance shown: $7,479.29</t>
        </is>
      </c>
    </row>
    <row r="43">
      <c r="A43" s="4" t="n">
        <v>46268</v>
      </c>
      <c r="B43" s="9">
        <f>IF(A43="","",INT((DAY(A43)-1)/7)+1)</f>
        <v/>
      </c>
      <c r="C43" s="9" t="inlineStr">
        <is>
          <t>ERY Vessel, LLC New York NY 09/02 (...0119)</t>
        </is>
      </c>
      <c r="D43" s="9" t="inlineStr">
        <is>
          <t>Vessel</t>
        </is>
      </c>
      <c r="E43" s="9" t="inlineStr">
        <is>
          <t>Entertainment</t>
        </is>
      </c>
      <c r="F43" s="9" t="inlineStr">
        <is>
          <t>Attraction</t>
        </is>
      </c>
      <c r="G43" s="9" t="inlineStr">
        <is>
          <t>Checking</t>
        </is>
      </c>
      <c r="H43" s="9" t="inlineStr">
        <is>
          <t>Debit Card</t>
        </is>
      </c>
      <c r="I43" s="9" t="inlineStr">
        <is>
          <t>Expense</t>
        </is>
      </c>
      <c r="J43" s="3" t="n">
        <v>15.24</v>
      </c>
      <c r="K43" s="9" t="inlineStr">
        <is>
          <t>9월 1주차; Chase Secure (...0119); Balance shown: $7,486.92</t>
        </is>
      </c>
    </row>
    <row r="44">
      <c r="A44" s="4" t="n">
        <v>46268</v>
      </c>
      <c r="B44" s="9">
        <f>IF(A44="","",INT((DAY(A44)-1)/7)+1)</f>
        <v/>
      </c>
      <c r="C44" s="9" t="inlineStr">
        <is>
          <t>TST*LOS TACOS NO. 1 HUD New York NY 09/02 (...0119)</t>
        </is>
      </c>
      <c r="D44" s="9" t="inlineStr">
        <is>
          <t>Los Tacos No. 1</t>
        </is>
      </c>
      <c r="E44" s="9" t="inlineStr">
        <is>
          <t>Dining</t>
        </is>
      </c>
      <c r="F44" s="9" t="inlineStr">
        <is>
          <t>Restaurant</t>
        </is>
      </c>
      <c r="G44" s="9" t="inlineStr">
        <is>
          <t>Checking</t>
        </is>
      </c>
      <c r="H44" s="9" t="inlineStr">
        <is>
          <t>Debit Card</t>
        </is>
      </c>
      <c r="I44" s="9" t="inlineStr">
        <is>
          <t>Expense</t>
        </is>
      </c>
      <c r="J44" s="3" t="n">
        <v>6.15</v>
      </c>
      <c r="K44" s="9" t="inlineStr">
        <is>
          <t>9월 1주차; Chase Secure (...0119); Balance shown: $7,502.16</t>
        </is>
      </c>
    </row>
    <row r="45">
      <c r="A45" s="4" t="n">
        <v>46268</v>
      </c>
      <c r="B45" s="9">
        <f>IF(A45="","",INT((DAY(A45)-1)/7)+1)</f>
        <v/>
      </c>
      <c r="C45" s="9" t="inlineStr">
        <is>
          <t>MTA*NYCT PAYGO NEW YORK NY 09/02 (...0119)</t>
        </is>
      </c>
      <c r="D45" s="9" t="inlineStr">
        <is>
          <t>MTA NYCT Paygo</t>
        </is>
      </c>
      <c r="E45" s="9" t="inlineStr">
        <is>
          <t>Transportation</t>
        </is>
      </c>
      <c r="F45" s="9" t="inlineStr">
        <is>
          <t>Public transit</t>
        </is>
      </c>
      <c r="G45" s="9" t="inlineStr">
        <is>
          <t>Checking</t>
        </is>
      </c>
      <c r="H45" s="9" t="inlineStr">
        <is>
          <t>Debit Card</t>
        </is>
      </c>
      <c r="I45" s="9" t="inlineStr">
        <is>
          <t>Expense</t>
        </is>
      </c>
      <c r="J45" s="3" t="n">
        <v>3</v>
      </c>
      <c r="K45" s="9" t="inlineStr">
        <is>
          <t>9월 1주차; Chase Secure (...0119); Balance shown: $7,508.31</t>
        </is>
      </c>
    </row>
    <row r="46">
      <c r="A46" s="4" t="n">
        <v>46268</v>
      </c>
      <c r="B46" s="9">
        <f>IF(A46="","",INT((DAY(A46)-1)/7)+1)</f>
        <v/>
      </c>
      <c r="C46" s="9" t="inlineStr">
        <is>
          <t>MTA*NYCT PAYGO NEW YORK NY 09/02 (...0119)</t>
        </is>
      </c>
      <c r="D46" s="9" t="inlineStr">
        <is>
          <t>MTA NYCT Paygo</t>
        </is>
      </c>
      <c r="E46" s="9" t="inlineStr">
        <is>
          <t>Transportation</t>
        </is>
      </c>
      <c r="F46" s="9" t="inlineStr">
        <is>
          <t>Public transit</t>
        </is>
      </c>
      <c r="G46" s="9" t="inlineStr">
        <is>
          <t>Checking</t>
        </is>
      </c>
      <c r="H46" s="9" t="inlineStr">
        <is>
          <t>Debit Card</t>
        </is>
      </c>
      <c r="I46" s="9" t="inlineStr">
        <is>
          <t>Expense</t>
        </is>
      </c>
      <c r="J46" s="3" t="n">
        <v>3</v>
      </c>
      <c r="K46" s="9" t="inlineStr">
        <is>
          <t>9월 1주차; Chase Secure (...0119); Balance shown: $7,511.31</t>
        </is>
      </c>
    </row>
    <row r="47">
      <c r="A47" s="4" t="n">
        <v>46269</v>
      </c>
      <c r="B47" s="9">
        <f>IF(A47="","",INT((DAY(A47)-1)/7)+1)</f>
        <v/>
      </c>
      <c r="C47" s="9" t="inlineStr">
        <is>
          <t>TRADER JOE S #54 445 G NEW YORK NY 054905 09/04 (...0119)</t>
        </is>
      </c>
      <c r="D47" s="9" t="inlineStr">
        <is>
          <t>Trader Joe's</t>
        </is>
      </c>
      <c r="E47" s="9" t="inlineStr">
        <is>
          <t>Groceries</t>
        </is>
      </c>
      <c r="F47" s="9" t="inlineStr">
        <is>
          <t>Groceries</t>
        </is>
      </c>
      <c r="G47" s="9" t="inlineStr">
        <is>
          <t>Checking</t>
        </is>
      </c>
      <c r="H47" s="9" t="inlineStr">
        <is>
          <t>Debit Card</t>
        </is>
      </c>
      <c r="I47" s="9" t="inlineStr">
        <is>
          <t>Expense</t>
        </is>
      </c>
      <c r="J47" s="3" t="n">
        <v>27.56</v>
      </c>
      <c r="K47" s="9" t="inlineStr">
        <is>
          <t>9월 1주차; Chase Secure (...0119); Balance shown: $7,431.86</t>
        </is>
      </c>
    </row>
    <row r="48">
      <c r="A48" s="4" t="n">
        <v>46269</v>
      </c>
      <c r="B48" s="9">
        <f>IF(A48="","",INT((DAY(A48)-1)/7)+1)</f>
        <v/>
      </c>
      <c r="C48" s="9" t="inlineStr">
        <is>
          <t>MTA*NYCT PAYGO NEW YORK NY 09/03 (...0119)</t>
        </is>
      </c>
      <c r="D48" s="9" t="inlineStr">
        <is>
          <t>MTA NYCT Paygo</t>
        </is>
      </c>
      <c r="E48" s="9" t="inlineStr">
        <is>
          <t>Transportation</t>
        </is>
      </c>
      <c r="F48" s="9" t="inlineStr">
        <is>
          <t>Public transit</t>
        </is>
      </c>
      <c r="G48" s="9" t="inlineStr">
        <is>
          <t>Checking</t>
        </is>
      </c>
      <c r="H48" s="9" t="inlineStr">
        <is>
          <t>Debit Card</t>
        </is>
      </c>
      <c r="I48" s="9" t="inlineStr">
        <is>
          <t>Expense</t>
        </is>
      </c>
      <c r="J48" s="3" t="n">
        <v>3.00</v>
      </c>
      <c r="K48" s="9" t="inlineStr">
        <is>
          <t>9월 1주차; Chase Secure (...0119); Balance shown: $7,459.42</t>
        </is>
      </c>
    </row>
    <row r="49">
      <c r="A49" s="4" t="n">
        <v>46269</v>
      </c>
      <c r="B49" s="9">
        <f>IF(A49="","",INT((DAY(A49)-1)/7)+1)</f>
        <v/>
      </c>
      <c r="C49" s="9" t="inlineStr">
        <is>
          <t>MTA*NYCT PAYGO NEW YORK NY 09/03 (...0119)</t>
        </is>
      </c>
      <c r="D49" s="9" t="inlineStr">
        <is>
          <t>MTA NYCT Paygo</t>
        </is>
      </c>
      <c r="E49" s="9" t="inlineStr">
        <is>
          <t>Transportation</t>
        </is>
      </c>
      <c r="F49" s="9" t="inlineStr">
        <is>
          <t>Public transit</t>
        </is>
      </c>
      <c r="G49" s="9" t="inlineStr">
        <is>
          <t>Checking</t>
        </is>
      </c>
      <c r="H49" s="9" t="inlineStr">
        <is>
          <t>Debit Card</t>
        </is>
      </c>
      <c r="I49" s="9" t="inlineStr">
        <is>
          <t>Expense</t>
        </is>
      </c>
      <c r="J49" s="3" t="n">
        <v>3.00</v>
      </c>
      <c r="K49" s="9" t="inlineStr">
        <is>
          <t>9월 1주차; Chase Secure (...0119); Balance shown: $7,462.42</t>
        </is>
      </c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October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>
        <v>46296</v>
      </c>
      <c r="B29" s="9" t="n">
        <v>1</v>
      </c>
      <c r="C29" s="9" t="inlineStr">
        <is>
          <t>Monthly housing cost</t>
        </is>
      </c>
      <c r="D29" s="9" t="inlineStr">
        <is>
          <t>Housing</t>
        </is>
      </c>
      <c r="E29" s="9" t="inlineStr">
        <is>
          <t>Housing</t>
        </is>
      </c>
      <c r="F29" s="9" t="inlineStr">
        <is>
          <t>Rent</t>
        </is>
      </c>
      <c r="G29" s="9" t="inlineStr">
        <is>
          <t>Checking</t>
        </is>
      </c>
      <c r="H29" s="9" t="inlineStr">
        <is>
          <t>Bank Transfer</t>
        </is>
      </c>
      <c r="I29" s="9" t="inlineStr">
        <is>
          <t>Expense</t>
        </is>
      </c>
      <c r="J29" s="3" t="n">
        <v>1100</v>
      </c>
      <c r="K29" s="9" t="inlineStr">
        <is>
          <t>Recurring monthly housing cost through Dec 2026</t>
        </is>
      </c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November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>
        <v>46327</v>
      </c>
      <c r="B29" s="9" t="n">
        <v>1</v>
      </c>
      <c r="C29" s="9" t="inlineStr">
        <is>
          <t>Monthly housing cost</t>
        </is>
      </c>
      <c r="D29" s="9" t="inlineStr">
        <is>
          <t>Housing</t>
        </is>
      </c>
      <c r="E29" s="9" t="inlineStr">
        <is>
          <t>Housing</t>
        </is>
      </c>
      <c r="F29" s="9" t="inlineStr">
        <is>
          <t>Rent</t>
        </is>
      </c>
      <c r="G29" s="9" t="inlineStr">
        <is>
          <t>Checking</t>
        </is>
      </c>
      <c r="H29" s="9" t="inlineStr">
        <is>
          <t>Bank Transfer</t>
        </is>
      </c>
      <c r="I29" s="9" t="inlineStr">
        <is>
          <t>Expense</t>
        </is>
      </c>
      <c r="J29" s="3" t="n">
        <v>1100</v>
      </c>
      <c r="K29" s="9" t="inlineStr">
        <is>
          <t>Recurring monthly housing cost through Dec 2026</t>
        </is>
      </c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December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>
        <v>46357</v>
      </c>
      <c r="B29" s="9" t="n">
        <v>1</v>
      </c>
      <c r="C29" s="9" t="inlineStr">
        <is>
          <t>Monthly housing cost</t>
        </is>
      </c>
      <c r="D29" s="9" t="inlineStr">
        <is>
          <t>Housing</t>
        </is>
      </c>
      <c r="E29" s="9" t="inlineStr">
        <is>
          <t>Housing</t>
        </is>
      </c>
      <c r="F29" s="9" t="inlineStr">
        <is>
          <t>Rent</t>
        </is>
      </c>
      <c r="G29" s="9" t="inlineStr">
        <is>
          <t>Checking</t>
        </is>
      </c>
      <c r="H29" s="9" t="inlineStr">
        <is>
          <t>Bank Transfer</t>
        </is>
      </c>
      <c r="I29" s="9" t="inlineStr">
        <is>
          <t>Expense</t>
        </is>
      </c>
      <c r="J29" s="3" t="n">
        <v>1100</v>
      </c>
      <c r="K29" s="9" t="inlineStr">
        <is>
          <t>Recurring monthly housing cost through Dec 2026</t>
        </is>
      </c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4" customWidth="1" style="10" min="1" max="4"/>
  </cols>
  <sheetData>
    <row r="1">
      <c r="A1" s="2" t="inlineStr">
        <is>
          <t>Categories</t>
        </is>
      </c>
      <c r="B1" s="2" t="inlineStr">
        <is>
          <t>Types</t>
        </is>
      </c>
      <c r="C1" s="2" t="inlineStr">
        <is>
          <t>Payment Methods</t>
        </is>
      </c>
      <c r="D1" s="2" t="inlineStr">
        <is>
          <t>Accounts</t>
        </is>
      </c>
    </row>
    <row r="2">
      <c r="A2" s="9" t="inlineStr">
        <is>
          <t>Housing</t>
        </is>
      </c>
      <c r="B2" s="9" t="inlineStr">
        <is>
          <t>Expense</t>
        </is>
      </c>
      <c r="C2" s="9" t="inlineStr">
        <is>
          <t>Credit Card</t>
        </is>
      </c>
      <c r="D2" s="9" t="inlineStr">
        <is>
          <t>Checking</t>
        </is>
      </c>
    </row>
    <row r="3">
      <c r="A3" s="9" t="inlineStr">
        <is>
          <t>Utilities</t>
        </is>
      </c>
      <c r="B3" s="9" t="inlineStr">
        <is>
          <t>Income</t>
        </is>
      </c>
      <c r="C3" s="9" t="inlineStr">
        <is>
          <t>Debit Card</t>
        </is>
      </c>
      <c r="D3" s="9" t="inlineStr">
        <is>
          <t>Savings</t>
        </is>
      </c>
    </row>
    <row r="4">
      <c r="A4" s="9" t="inlineStr">
        <is>
          <t>Groceries</t>
        </is>
      </c>
      <c r="B4" s="9" t="inlineStr">
        <is>
          <t>Transfer</t>
        </is>
      </c>
      <c r="C4" s="9" t="inlineStr">
        <is>
          <t>Bank Transfer</t>
        </is>
      </c>
      <c r="D4" s="9" t="inlineStr">
        <is>
          <t>Credit Card</t>
        </is>
      </c>
    </row>
    <row r="5">
      <c r="A5" s="9" t="inlineStr">
        <is>
          <t>Dining</t>
        </is>
      </c>
      <c r="B5" s="9" t="inlineStr">
        <is>
          <t>Opening Balance</t>
        </is>
      </c>
      <c r="C5" s="9" t="inlineStr">
        <is>
          <t>ACH</t>
        </is>
      </c>
      <c r="D5" s="9" t="inlineStr">
        <is>
          <t>Cash</t>
        </is>
      </c>
    </row>
    <row r="6">
      <c r="A6" s="9" t="inlineStr">
        <is>
          <t>Transportation</t>
        </is>
      </c>
      <c r="B6" s="9" t="n"/>
      <c r="C6" s="9" t="inlineStr">
        <is>
          <t>Cash</t>
        </is>
      </c>
      <c r="D6" s="9" t="inlineStr">
        <is>
          <t>Investment</t>
        </is>
      </c>
    </row>
    <row r="7">
      <c r="A7" s="9" t="inlineStr">
        <is>
          <t>Health &amp; Medical</t>
        </is>
      </c>
      <c r="B7" s="9" t="n"/>
      <c r="C7" s="9" t="inlineStr">
        <is>
          <t>Check</t>
        </is>
      </c>
      <c r="D7" s="9" t="inlineStr">
        <is>
          <t>Loan</t>
        </is>
      </c>
    </row>
    <row r="8">
      <c r="A8" s="9" t="inlineStr">
        <is>
          <t>Insurance</t>
        </is>
      </c>
      <c r="B8" s="9" t="n"/>
      <c r="C8" s="9" t="inlineStr">
        <is>
          <t>Venmo/Zelle/PayPal</t>
        </is>
      </c>
      <c r="D8" s="9" t="inlineStr">
        <is>
          <t>Other</t>
        </is>
      </c>
    </row>
    <row r="9">
      <c r="A9" s="9" t="inlineStr">
        <is>
          <t>Debt Payments</t>
        </is>
      </c>
      <c r="B9" s="9" t="n"/>
      <c r="C9" s="9" t="inlineStr">
        <is>
          <t>Other</t>
        </is>
      </c>
      <c r="D9" s="9" t="n"/>
    </row>
    <row r="10">
      <c r="A10" s="9" t="inlineStr">
        <is>
          <t>Savings &amp; Investments</t>
        </is>
      </c>
      <c r="B10" s="9" t="n"/>
      <c r="C10" s="9" t="n"/>
      <c r="D10" s="9" t="n"/>
    </row>
    <row r="11">
      <c r="A11" s="9" t="inlineStr">
        <is>
          <t>Personal Care</t>
        </is>
      </c>
      <c r="B11" s="9" t="n"/>
      <c r="C11" s="9" t="n"/>
      <c r="D11" s="9" t="n"/>
    </row>
    <row r="12">
      <c r="A12" s="9" t="inlineStr">
        <is>
          <t>Shopping</t>
        </is>
      </c>
      <c r="B12" s="9" t="n"/>
      <c r="C12" s="9" t="n"/>
      <c r="D12" s="9" t="n"/>
    </row>
    <row r="13">
      <c r="A13" s="9" t="inlineStr">
        <is>
          <t>Entertainment</t>
        </is>
      </c>
      <c r="B13" s="9" t="n"/>
      <c r="C13" s="9" t="n"/>
      <c r="D13" s="9" t="n"/>
    </row>
    <row r="14">
      <c r="A14" s="9" t="inlineStr">
        <is>
          <t>Travel</t>
        </is>
      </c>
      <c r="B14" s="9" t="n"/>
      <c r="C14" s="9" t="n"/>
      <c r="D14" s="9" t="n"/>
    </row>
    <row r="15">
      <c r="A15" s="9" t="inlineStr">
        <is>
          <t>Education</t>
        </is>
      </c>
      <c r="B15" s="9" t="n"/>
      <c r="C15" s="9" t="n"/>
      <c r="D15" s="9" t="n"/>
    </row>
    <row r="16">
      <c r="A16" s="9" t="inlineStr">
        <is>
          <t>Gifts &amp; Donations</t>
        </is>
      </c>
      <c r="B16" s="9" t="n"/>
      <c r="C16" s="9" t="n"/>
      <c r="D16" s="9" t="n"/>
    </row>
    <row r="17">
      <c r="A17" s="9" t="inlineStr">
        <is>
          <t>Taxes</t>
        </is>
      </c>
      <c r="B17" s="9" t="n"/>
      <c r="C17" s="9" t="n"/>
      <c r="D17" s="9" t="n"/>
    </row>
    <row r="18">
      <c r="A18" s="9" t="inlineStr">
        <is>
          <t>Shipping</t>
        </is>
      </c>
      <c r="B18" s="9" t="n"/>
      <c r="C18" s="9" t="n"/>
      <c r="D18" s="9" t="n"/>
    </row>
    <row r="19">
      <c r="A19" s="9" t="inlineStr">
        <is>
          <t>Income</t>
        </is>
      </c>
      <c r="B19" s="9" t="n"/>
      <c r="C19" s="9" t="n"/>
      <c r="D19" s="9" t="n"/>
    </row>
    <row r="20">
      <c r="A20" s="9" t="inlineStr">
        <is>
          <t>Transfers</t>
        </is>
      </c>
      <c r="B20" s="9" t="n"/>
      <c r="C20" s="9" t="n"/>
      <c r="D20" s="9" t="n"/>
    </row>
    <row r="21">
      <c r="A21" s="9" t="inlineStr">
        <is>
          <t>Existing Savings</t>
        </is>
      </c>
      <c r="B21" s="9" t="n"/>
      <c r="C21" s="9" t="n"/>
      <c r="D21" s="9" t="n"/>
    </row>
    <row r="22">
      <c r="A22" s="9" t="inlineStr">
        <is>
          <t>Essentials</t>
        </is>
      </c>
      <c r="B22" s="9" t="n"/>
      <c r="C22" s="9" t="n"/>
      <c r="D22" s="9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Youngwoo Ledger Template</dc:creator>
  <dcterms:created xmlns:dcterms="http://purl.org/dc/terms/" xmlns:xsi="http://www.w3.org/2001/XMLSchema-instance" xsi:type="dcterms:W3CDTF">2026-08-16T22:59:43Z</dcterms:created>
  <dcterms:modified xmlns:dcterms="http://purl.org/dc/terms/" xmlns:xsi="http://www.w3.org/2001/XMLSchema-instance" xsi:type="dcterms:W3CDTF">2026-08-22T23:50:35Z</dcterms:modified>
  <cp:lastModifiedBy>Youngwoo Ledger Template</cp:lastModifiedBy>
</cp:coreProperties>
</file>