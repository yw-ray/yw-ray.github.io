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Savings &amp; Investments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Net</t>
        </is>
      </c>
    </row>
    <row r="22">
      <c r="A22" s="5" t="inlineStr">
        <is>
          <t>Housing</t>
        </is>
      </c>
      <c r="B22" s="3">
        <f>SUMIFS('Jan 2026'!$J$18:$J$517,'Jan 2026'!$E$18:$E$517,$A22,'Jan 2026'!$I$18:$I$517,"Expense")+SUMIFS('Feb 2026'!$J$18:$J$517,'Feb 2026'!$E$18:$E$517,$A22,'Feb 2026'!$I$18:$I$517,"Expense")+SUMIFS('Mar 2026'!$J$18:$J$517,'Mar 2026'!$E$18:$E$517,$A22,'Mar 2026'!$I$18:$I$517,"Expense")+SUMIFS('Apr 2026'!$J$18:$J$517,'Apr 2026'!$E$18:$E$517,$A22,'Apr 2026'!$I$18:$I$517,"Expense")+SUMIFS('May 2026'!$J$18:$J$517,'May 2026'!$E$18:$E$517,$A22,'May 2026'!$I$18:$I$517,"Expense")+SUMIFS('Jun 2026'!$J$18:$J$517,'Jun 2026'!$E$18:$E$517,$A22,'Jun 2026'!$I$18:$I$517,"Expense")+SUMIFS('Jul 2026'!$J$18:$J$517,'Jul 2026'!$E$18:$E$517,$A22,'Jul 2026'!$I$18:$I$517,"Expense")+SUMIFS('Aug 2026'!$J$18:$J$517,'Aug 2026'!$E$18:$E$517,$A22,'Aug 2026'!$I$18:$I$517,"Expense")+SUMIFS('Sep 2026'!$J$18:$J$517,'Sep 2026'!$E$18:$E$517,$A22,'Sep 2026'!$I$18:$I$517,"Expense")+SUMIFS('Oct 2026'!$J$18:$J$517,'Oct 2026'!$E$18:$E$517,$A22,'Oct 2026'!$I$18:$I$517,"Expense")+SUMIFS('Nov 2026'!$J$18:$J$517,'Nov 2026'!$E$18:$E$517,$A22,'Nov 2026'!$I$18:$I$517,"Expense")+SUMIFS('Dec 2026'!$J$18:$J$517,'Dec 2026'!$E$18:$E$517,$A22,'Dec 2026'!$I$18:$I$517,"Expense")</f>
      </c>
      <c r="C22" s="3">
        <f>SUMIFS('Jan 2026'!$J$18:$J$517,'Jan 2026'!$E$18:$E$517,$A22,'Jan 2026'!$I$18:$I$517,"Income")+SUMIFS('Feb 2026'!$J$18:$J$517,'Feb 2026'!$E$18:$E$517,$A22,'Feb 2026'!$I$18:$I$517,"Income")+SUMIFS('Mar 2026'!$J$18:$J$517,'Mar 2026'!$E$18:$E$517,$A22,'Mar 2026'!$I$18:$I$517,"Income")+SUMIFS('Apr 2026'!$J$18:$J$517,'Apr 2026'!$E$18:$E$517,$A22,'Apr 2026'!$I$18:$I$517,"Income")+SUMIFS('May 2026'!$J$18:$J$517,'May 2026'!$E$18:$E$517,$A22,'May 2026'!$I$18:$I$517,"Income")+SUMIFS('Jun 2026'!$J$18:$J$517,'Jun 2026'!$E$18:$E$517,$A22,'Jun 2026'!$I$18:$I$517,"Income")+SUMIFS('Jul 2026'!$J$18:$J$517,'Jul 2026'!$E$18:$E$517,$A22,'Jul 2026'!$I$18:$I$517,"Income")+SUMIFS('Aug 2026'!$J$18:$J$517,'Aug 2026'!$E$18:$E$517,$A22,'Aug 2026'!$I$18:$I$517,"Income")+SUMIFS('Sep 2026'!$J$18:$J$517,'Sep 2026'!$E$18:$E$517,$A22,'Sep 2026'!$I$18:$I$517,"Income")+SUMIFS('Oct 2026'!$J$18:$J$517,'Oct 2026'!$E$18:$E$517,$A22,'Oct 2026'!$I$18:$I$517,"Income")+SUMIFS('Nov 2026'!$J$18:$J$517,'Nov 2026'!$E$18:$E$517,$A22,'Nov 2026'!$I$18:$I$517,"Income")+SUMIFS('Dec 2026'!$J$18:$J$517,'Dec 2026'!$E$18:$E$517,$A22,'Dec 2026'!$I$18:$I$517,"Income")</f>
      </c>
      <c r="D22" s="3">
        <f>C22-B22</f>
      </c>
    </row>
    <row r="23">
      <c r="A23" s="5" t="inlineStr">
        <is>
          <t>Utilities</t>
        </is>
      </c>
      <c r="B23" s="3">
        <f>SUMIFS('Jan 2026'!$J$18:$J$517,'Jan 2026'!$E$18:$E$517,$A23,'Jan 2026'!$I$18:$I$517,"Expense")+SUMIFS('Feb 2026'!$J$18:$J$517,'Feb 2026'!$E$18:$E$517,$A23,'Feb 2026'!$I$18:$I$517,"Expense")+SUMIFS('Mar 2026'!$J$18:$J$517,'Mar 2026'!$E$18:$E$517,$A23,'Mar 2026'!$I$18:$I$517,"Expense")+SUMIFS('Apr 2026'!$J$18:$J$517,'Apr 2026'!$E$18:$E$517,$A23,'Apr 2026'!$I$18:$I$517,"Expense")+SUMIFS('May 2026'!$J$18:$J$517,'May 2026'!$E$18:$E$517,$A23,'May 2026'!$I$18:$I$517,"Expense")+SUMIFS('Jun 2026'!$J$18:$J$517,'Jun 2026'!$E$18:$E$517,$A23,'Jun 2026'!$I$18:$I$517,"Expense")+SUMIFS('Jul 2026'!$J$18:$J$517,'Jul 2026'!$E$18:$E$517,$A23,'Jul 2026'!$I$18:$I$517,"Expense")+SUMIFS('Aug 2026'!$J$18:$J$517,'Aug 2026'!$E$18:$E$517,$A23,'Aug 2026'!$I$18:$I$517,"Expense")+SUMIFS('Sep 2026'!$J$18:$J$517,'Sep 2026'!$E$18:$E$517,$A23,'Sep 2026'!$I$18:$I$517,"Expense")+SUMIFS('Oct 2026'!$J$18:$J$517,'Oct 2026'!$E$18:$E$517,$A23,'Oct 2026'!$I$18:$I$517,"Expense")+SUMIFS('Nov 2026'!$J$18:$J$517,'Nov 2026'!$E$18:$E$517,$A23,'Nov 2026'!$I$18:$I$517,"Expense")+SUMIFS('Dec 2026'!$J$18:$J$517,'Dec 2026'!$E$18:$E$517,$A23,'Dec 2026'!$I$18:$I$517,"Expense")</f>
      </c>
      <c r="C23" s="3">
        <f>SUMIFS('Jan 2026'!$J$18:$J$517,'Jan 2026'!$E$18:$E$517,$A23,'Jan 2026'!$I$18:$I$517,"Income")+SUMIFS('Feb 2026'!$J$18:$J$517,'Feb 2026'!$E$18:$E$517,$A23,'Feb 2026'!$I$18:$I$517,"Income")+SUMIFS('Mar 2026'!$J$18:$J$517,'Mar 2026'!$E$18:$E$517,$A23,'Mar 2026'!$I$18:$I$517,"Income")+SUMIFS('Apr 2026'!$J$18:$J$517,'Apr 2026'!$E$18:$E$517,$A23,'Apr 2026'!$I$18:$I$517,"Income")+SUMIFS('May 2026'!$J$18:$J$517,'May 2026'!$E$18:$E$517,$A23,'May 2026'!$I$18:$I$517,"Income")+SUMIFS('Jun 2026'!$J$18:$J$517,'Jun 2026'!$E$18:$E$517,$A23,'Jun 2026'!$I$18:$I$517,"Income")+SUMIFS('Jul 2026'!$J$18:$J$517,'Jul 2026'!$E$18:$E$517,$A23,'Jul 2026'!$I$18:$I$517,"Income")+SUMIFS('Aug 2026'!$J$18:$J$517,'Aug 2026'!$E$18:$E$517,$A23,'Aug 2026'!$I$18:$I$517,"Income")+SUMIFS('Sep 2026'!$J$18:$J$517,'Sep 2026'!$E$18:$E$517,$A23,'Sep 2026'!$I$18:$I$517,"Income")+SUMIFS('Oct 2026'!$J$18:$J$517,'Oct 2026'!$E$18:$E$517,$A23,'Oct 2026'!$I$18:$I$517,"Income")+SUMIFS('Nov 2026'!$J$18:$J$517,'Nov 2026'!$E$18:$E$517,$A23,'Nov 2026'!$I$18:$I$517,"Income")+SUMIFS('Dec 2026'!$J$18:$J$517,'Dec 2026'!$E$18:$E$517,$A23,'Dec 2026'!$I$18:$I$517,"Income")</f>
      </c>
      <c r="D23" s="3">
        <f>C23-B23</f>
      </c>
    </row>
    <row r="24">
      <c r="A24" s="5" t="inlineStr">
        <is>
          <t>Groceries</t>
        </is>
      </c>
      <c r="B24" s="3">
        <f>SUMIFS('Jan 2026'!$J$18:$J$517,'Jan 2026'!$E$18:$E$517,$A24,'Jan 2026'!$I$18:$I$517,"Expense")+SUMIFS('Feb 2026'!$J$18:$J$517,'Feb 2026'!$E$18:$E$517,$A24,'Feb 2026'!$I$18:$I$517,"Expense")+SUMIFS('Mar 2026'!$J$18:$J$517,'Mar 2026'!$E$18:$E$517,$A24,'Mar 2026'!$I$18:$I$517,"Expense")+SUMIFS('Apr 2026'!$J$18:$J$517,'Apr 2026'!$E$18:$E$517,$A24,'Apr 2026'!$I$18:$I$517,"Expense")+SUMIFS('May 2026'!$J$18:$J$517,'May 2026'!$E$18:$E$517,$A24,'May 2026'!$I$18:$I$517,"Expense")+SUMIFS('Jun 2026'!$J$18:$J$517,'Jun 2026'!$E$18:$E$517,$A24,'Jun 2026'!$I$18:$I$517,"Expense")+SUMIFS('Jul 2026'!$J$18:$J$517,'Jul 2026'!$E$18:$E$517,$A24,'Jul 2026'!$I$18:$I$517,"Expense")+SUMIFS('Aug 2026'!$J$18:$J$517,'Aug 2026'!$E$18:$E$517,$A24,'Aug 2026'!$I$18:$I$517,"Expense")+SUMIFS('Sep 2026'!$J$18:$J$517,'Sep 2026'!$E$18:$E$517,$A24,'Sep 2026'!$I$18:$I$517,"Expense")+SUMIFS('Oct 2026'!$J$18:$J$517,'Oct 2026'!$E$18:$E$517,$A24,'Oct 2026'!$I$18:$I$517,"Expense")+SUMIFS('Nov 2026'!$J$18:$J$517,'Nov 2026'!$E$18:$E$517,$A24,'Nov 2026'!$I$18:$I$517,"Expense")+SUMIFS('Dec 2026'!$J$18:$J$517,'Dec 2026'!$E$18:$E$517,$A24,'Dec 2026'!$I$18:$I$517,"Expense")</f>
      </c>
      <c r="C24" s="3">
        <f>SUMIFS('Jan 2026'!$J$18:$J$517,'Jan 2026'!$E$18:$E$517,$A24,'Jan 2026'!$I$18:$I$517,"Income")+SUMIFS('Feb 2026'!$J$18:$J$517,'Feb 2026'!$E$18:$E$517,$A24,'Feb 2026'!$I$18:$I$517,"Income")+SUMIFS('Mar 2026'!$J$18:$J$517,'Mar 2026'!$E$18:$E$517,$A24,'Mar 2026'!$I$18:$I$517,"Income")+SUMIFS('Apr 2026'!$J$18:$J$517,'Apr 2026'!$E$18:$E$517,$A24,'Apr 2026'!$I$18:$I$517,"Income")+SUMIFS('May 2026'!$J$18:$J$517,'May 2026'!$E$18:$E$517,$A24,'May 2026'!$I$18:$I$517,"Income")+SUMIFS('Jun 2026'!$J$18:$J$517,'Jun 2026'!$E$18:$E$517,$A24,'Jun 2026'!$I$18:$I$517,"Income")+SUMIFS('Jul 2026'!$J$18:$J$517,'Jul 2026'!$E$18:$E$517,$A24,'Jul 2026'!$I$18:$I$517,"Income")+SUMIFS('Aug 2026'!$J$18:$J$517,'Aug 2026'!$E$18:$E$517,$A24,'Aug 2026'!$I$18:$I$517,"Income")+SUMIFS('Sep 2026'!$J$18:$J$517,'Sep 2026'!$E$18:$E$517,$A24,'Sep 2026'!$I$18:$I$517,"Income")+SUMIFS('Oct 2026'!$J$18:$J$517,'Oct 2026'!$E$18:$E$517,$A24,'Oct 2026'!$I$18:$I$517,"Income")+SUMIFS('Nov 2026'!$J$18:$J$517,'Nov 2026'!$E$18:$E$517,$A24,'Nov 2026'!$I$18:$I$517,"Income")+SUMIFS('Dec 2026'!$J$18:$J$517,'Dec 2026'!$E$18:$E$517,$A24,'Dec 2026'!$I$18:$I$517,"Income")</f>
      </c>
      <c r="D24" s="3">
        <f>C24-B24</f>
      </c>
    </row>
    <row r="25">
      <c r="A25" s="5" t="inlineStr">
        <is>
          <t>Dining</t>
        </is>
      </c>
      <c r="B25" s="3">
        <f>SUMIFS('Jan 2026'!$J$18:$J$517,'Jan 2026'!$E$18:$E$517,$A25,'Jan 2026'!$I$18:$I$517,"Expense")+SUMIFS('Feb 2026'!$J$18:$J$517,'Feb 2026'!$E$18:$E$517,$A25,'Feb 2026'!$I$18:$I$517,"Expense")+SUMIFS('Mar 2026'!$J$18:$J$517,'Mar 2026'!$E$18:$E$517,$A25,'Mar 2026'!$I$18:$I$517,"Expense")+SUMIFS('Apr 2026'!$J$18:$J$517,'Apr 2026'!$E$18:$E$517,$A25,'Apr 2026'!$I$18:$I$517,"Expense")+SUMIFS('May 2026'!$J$18:$J$517,'May 2026'!$E$18:$E$517,$A25,'May 2026'!$I$18:$I$517,"Expense")+SUMIFS('Jun 2026'!$J$18:$J$517,'Jun 2026'!$E$18:$E$517,$A25,'Jun 2026'!$I$18:$I$517,"Expense")+SUMIFS('Jul 2026'!$J$18:$J$517,'Jul 2026'!$E$18:$E$517,$A25,'Jul 2026'!$I$18:$I$517,"Expense")+SUMIFS('Aug 2026'!$J$18:$J$517,'Aug 2026'!$E$18:$E$517,$A25,'Aug 2026'!$I$18:$I$517,"Expense")+SUMIFS('Sep 2026'!$J$18:$J$517,'Sep 2026'!$E$18:$E$517,$A25,'Sep 2026'!$I$18:$I$517,"Expense")+SUMIFS('Oct 2026'!$J$18:$J$517,'Oct 2026'!$E$18:$E$517,$A25,'Oct 2026'!$I$18:$I$517,"Expense")+SUMIFS('Nov 2026'!$J$18:$J$517,'Nov 2026'!$E$18:$E$517,$A25,'Nov 2026'!$I$18:$I$517,"Expense")+SUMIFS('Dec 2026'!$J$18:$J$517,'Dec 2026'!$E$18:$E$517,$A25,'Dec 2026'!$I$18:$I$517,"Expense")</f>
      </c>
      <c r="C25" s="3">
        <f>SUMIFS('Jan 2026'!$J$18:$J$517,'Jan 2026'!$E$18:$E$517,$A25,'Jan 2026'!$I$18:$I$517,"Income")+SUMIFS('Feb 2026'!$J$18:$J$517,'Feb 2026'!$E$18:$E$517,$A25,'Feb 2026'!$I$18:$I$517,"Income")+SUMIFS('Mar 2026'!$J$18:$J$517,'Mar 2026'!$E$18:$E$517,$A25,'Mar 2026'!$I$18:$I$517,"Income")+SUMIFS('Apr 2026'!$J$18:$J$517,'Apr 2026'!$E$18:$E$517,$A25,'Apr 2026'!$I$18:$I$517,"Income")+SUMIFS('May 2026'!$J$18:$J$517,'May 2026'!$E$18:$E$517,$A25,'May 2026'!$I$18:$I$517,"Income")+SUMIFS('Jun 2026'!$J$18:$J$517,'Jun 2026'!$E$18:$E$517,$A25,'Jun 2026'!$I$18:$I$517,"Income")+SUMIFS('Jul 2026'!$J$18:$J$517,'Jul 2026'!$E$18:$E$517,$A25,'Jul 2026'!$I$18:$I$517,"Income")+SUMIFS('Aug 2026'!$J$18:$J$517,'Aug 2026'!$E$18:$E$517,$A25,'Aug 2026'!$I$18:$I$517,"Income")+SUMIFS('Sep 2026'!$J$18:$J$517,'Sep 2026'!$E$18:$E$517,$A25,'Sep 2026'!$I$18:$I$517,"Income")+SUMIFS('Oct 2026'!$J$18:$J$517,'Oct 2026'!$E$18:$E$517,$A25,'Oct 2026'!$I$18:$I$517,"Income")+SUMIFS('Nov 2026'!$J$18:$J$517,'Nov 2026'!$E$18:$E$517,$A25,'Nov 2026'!$I$18:$I$517,"Income")+SUMIFS('Dec 2026'!$J$18:$J$517,'Dec 2026'!$E$18:$E$517,$A25,'Dec 2026'!$I$18:$I$517,"Income")</f>
      </c>
      <c r="D25" s="3">
        <f>C25-B25</f>
      </c>
    </row>
    <row r="26">
      <c r="A26" s="5" t="inlineStr">
        <is>
          <t>Transportation</t>
        </is>
      </c>
      <c r="B26" s="3">
        <f>SUMIFS('Jan 2026'!$J$18:$J$517,'Jan 2026'!$E$18:$E$517,$A26,'Jan 2026'!$I$18:$I$517,"Expense")+SUMIFS('Feb 2026'!$J$18:$J$517,'Feb 2026'!$E$18:$E$517,$A26,'Feb 2026'!$I$18:$I$517,"Expense")+SUMIFS('Mar 2026'!$J$18:$J$517,'Mar 2026'!$E$18:$E$517,$A26,'Mar 2026'!$I$18:$I$517,"Expense")+SUMIFS('Apr 2026'!$J$18:$J$517,'Apr 2026'!$E$18:$E$517,$A26,'Apr 2026'!$I$18:$I$517,"Expense")+SUMIFS('May 2026'!$J$18:$J$517,'May 2026'!$E$18:$E$517,$A26,'May 2026'!$I$18:$I$517,"Expense")+SUMIFS('Jun 2026'!$J$18:$J$517,'Jun 2026'!$E$18:$E$517,$A26,'Jun 2026'!$I$18:$I$517,"Expense")+SUMIFS('Jul 2026'!$J$18:$J$517,'Jul 2026'!$E$18:$E$517,$A26,'Jul 2026'!$I$18:$I$517,"Expense")+SUMIFS('Aug 2026'!$J$18:$J$517,'Aug 2026'!$E$18:$E$517,$A26,'Aug 2026'!$I$18:$I$517,"Expense")+SUMIFS('Sep 2026'!$J$18:$J$517,'Sep 2026'!$E$18:$E$517,$A26,'Sep 2026'!$I$18:$I$517,"Expense")+SUMIFS('Oct 2026'!$J$18:$J$517,'Oct 2026'!$E$18:$E$517,$A26,'Oct 2026'!$I$18:$I$517,"Expense")+SUMIFS('Nov 2026'!$J$18:$J$517,'Nov 2026'!$E$18:$E$517,$A26,'Nov 2026'!$I$18:$I$517,"Expense")+SUMIFS('Dec 2026'!$J$18:$J$517,'Dec 2026'!$E$18:$E$517,$A26,'Dec 2026'!$I$18:$I$517,"Expense")</f>
      </c>
      <c r="C26" s="3">
        <f>SUMIFS('Jan 2026'!$J$18:$J$517,'Jan 2026'!$E$18:$E$517,$A26,'Jan 2026'!$I$18:$I$517,"Income")+SUMIFS('Feb 2026'!$J$18:$J$517,'Feb 2026'!$E$18:$E$517,$A26,'Feb 2026'!$I$18:$I$517,"Income")+SUMIFS('Mar 2026'!$J$18:$J$517,'Mar 2026'!$E$18:$E$517,$A26,'Mar 2026'!$I$18:$I$517,"Income")+SUMIFS('Apr 2026'!$J$18:$J$517,'Apr 2026'!$E$18:$E$517,$A26,'Apr 2026'!$I$18:$I$517,"Income")+SUMIFS('May 2026'!$J$18:$J$517,'May 2026'!$E$18:$E$517,$A26,'May 2026'!$I$18:$I$517,"Income")+SUMIFS('Jun 2026'!$J$18:$J$517,'Jun 2026'!$E$18:$E$517,$A26,'Jun 2026'!$I$18:$I$517,"Income")+SUMIFS('Jul 2026'!$J$18:$J$517,'Jul 2026'!$E$18:$E$517,$A26,'Jul 2026'!$I$18:$I$517,"Income")+SUMIFS('Aug 2026'!$J$18:$J$517,'Aug 2026'!$E$18:$E$517,$A26,'Aug 2026'!$I$18:$I$517,"Income")+SUMIFS('Sep 2026'!$J$18:$J$517,'Sep 2026'!$E$18:$E$517,$A26,'Sep 2026'!$I$18:$I$517,"Income")+SUMIFS('Oct 2026'!$J$18:$J$517,'Oct 2026'!$E$18:$E$517,$A26,'Oct 2026'!$I$18:$I$517,"Income")+SUMIFS('Nov 2026'!$J$18:$J$517,'Nov 2026'!$E$18:$E$517,$A26,'Nov 2026'!$I$18:$I$517,"Income")+SUMIFS('Dec 2026'!$J$18:$J$517,'Dec 2026'!$E$18:$E$517,$A26,'Dec 2026'!$I$18:$I$517,"Income")</f>
      </c>
      <c r="D26" s="3">
        <f>C26-B26</f>
      </c>
    </row>
    <row r="27">
      <c r="A27" s="5" t="inlineStr">
        <is>
          <t>Health &amp; Medical</t>
        </is>
      </c>
      <c r="B27" s="3">
        <f>SUMIFS('Jan 2026'!$J$18:$J$517,'Jan 2026'!$E$18:$E$517,$A27,'Jan 2026'!$I$18:$I$517,"Expense")+SUMIFS('Feb 2026'!$J$18:$J$517,'Feb 2026'!$E$18:$E$517,$A27,'Feb 2026'!$I$18:$I$517,"Expense")+SUMIFS('Mar 2026'!$J$18:$J$517,'Mar 2026'!$E$18:$E$517,$A27,'Mar 2026'!$I$18:$I$517,"Expense")+SUMIFS('Apr 2026'!$J$18:$J$517,'Apr 2026'!$E$18:$E$517,$A27,'Apr 2026'!$I$18:$I$517,"Expense")+SUMIFS('May 2026'!$J$18:$J$517,'May 2026'!$E$18:$E$517,$A27,'May 2026'!$I$18:$I$517,"Expense")+SUMIFS('Jun 2026'!$J$18:$J$517,'Jun 2026'!$E$18:$E$517,$A27,'Jun 2026'!$I$18:$I$517,"Expense")+SUMIFS('Jul 2026'!$J$18:$J$517,'Jul 2026'!$E$18:$E$517,$A27,'Jul 2026'!$I$18:$I$517,"Expense")+SUMIFS('Aug 2026'!$J$18:$J$517,'Aug 2026'!$E$18:$E$517,$A27,'Aug 2026'!$I$18:$I$517,"Expense")+SUMIFS('Sep 2026'!$J$18:$J$517,'Sep 2026'!$E$18:$E$517,$A27,'Sep 2026'!$I$18:$I$517,"Expense")+SUMIFS('Oct 2026'!$J$18:$J$517,'Oct 2026'!$E$18:$E$517,$A27,'Oct 2026'!$I$18:$I$517,"Expense")+SUMIFS('Nov 2026'!$J$18:$J$517,'Nov 2026'!$E$18:$E$517,$A27,'Nov 2026'!$I$18:$I$517,"Expense")+SUMIFS('Dec 2026'!$J$18:$J$517,'Dec 2026'!$E$18:$E$517,$A27,'Dec 2026'!$I$18:$I$517,"Expense")</f>
      </c>
      <c r="C27" s="3">
        <f>SUMIFS('Jan 2026'!$J$18:$J$517,'Jan 2026'!$E$18:$E$517,$A27,'Jan 2026'!$I$18:$I$517,"Income")+SUMIFS('Feb 2026'!$J$18:$J$517,'Feb 2026'!$E$18:$E$517,$A27,'Feb 2026'!$I$18:$I$517,"Income")+SUMIFS('Mar 2026'!$J$18:$J$517,'Mar 2026'!$E$18:$E$517,$A27,'Mar 2026'!$I$18:$I$517,"Income")+SUMIFS('Apr 2026'!$J$18:$J$517,'Apr 2026'!$E$18:$E$517,$A27,'Apr 2026'!$I$18:$I$517,"Income")+SUMIFS('May 2026'!$J$18:$J$517,'May 2026'!$E$18:$E$517,$A27,'May 2026'!$I$18:$I$517,"Income")+SUMIFS('Jun 2026'!$J$18:$J$517,'Jun 2026'!$E$18:$E$517,$A27,'Jun 2026'!$I$18:$I$517,"Income")+SUMIFS('Jul 2026'!$J$18:$J$517,'Jul 2026'!$E$18:$E$517,$A27,'Jul 2026'!$I$18:$I$517,"Income")+SUMIFS('Aug 2026'!$J$18:$J$517,'Aug 2026'!$E$18:$E$517,$A27,'Aug 2026'!$I$18:$I$517,"Income")+SUMIFS('Sep 2026'!$J$18:$J$517,'Sep 2026'!$E$18:$E$517,$A27,'Sep 2026'!$I$18:$I$517,"Income")+SUMIFS('Oct 2026'!$J$18:$J$517,'Oct 2026'!$E$18:$E$517,$A27,'Oct 2026'!$I$18:$I$517,"Income")+SUMIFS('Nov 2026'!$J$18:$J$517,'Nov 2026'!$E$18:$E$517,$A27,'Nov 2026'!$I$18:$I$517,"Income")+SUMIFS('Dec 2026'!$J$18:$J$517,'Dec 2026'!$E$18:$E$517,$A27,'Dec 2026'!$I$18:$I$517,"Income")</f>
      </c>
      <c r="D27" s="3">
        <f>C27-B27</f>
      </c>
    </row>
    <row r="28">
      <c r="A28" s="5" t="inlineStr">
        <is>
          <t>Insurance</t>
        </is>
      </c>
      <c r="B28" s="3">
        <f>SUMIFS('Jan 2026'!$J$18:$J$517,'Jan 2026'!$E$18:$E$517,$A28,'Jan 2026'!$I$18:$I$517,"Expense")+SUMIFS('Feb 2026'!$J$18:$J$517,'Feb 2026'!$E$18:$E$517,$A28,'Feb 2026'!$I$18:$I$517,"Expense")+SUMIFS('Mar 2026'!$J$18:$J$517,'Mar 2026'!$E$18:$E$517,$A28,'Mar 2026'!$I$18:$I$517,"Expense")+SUMIFS('Apr 2026'!$J$18:$J$517,'Apr 2026'!$E$18:$E$517,$A28,'Apr 2026'!$I$18:$I$517,"Expense")+SUMIFS('May 2026'!$J$18:$J$517,'May 2026'!$E$18:$E$517,$A28,'May 2026'!$I$18:$I$517,"Expense")+SUMIFS('Jun 2026'!$J$18:$J$517,'Jun 2026'!$E$18:$E$517,$A28,'Jun 2026'!$I$18:$I$517,"Expense")+SUMIFS('Jul 2026'!$J$18:$J$517,'Jul 2026'!$E$18:$E$517,$A28,'Jul 2026'!$I$18:$I$517,"Expense")+SUMIFS('Aug 2026'!$J$18:$J$517,'Aug 2026'!$E$18:$E$517,$A28,'Aug 2026'!$I$18:$I$517,"Expense")+SUMIFS('Sep 2026'!$J$18:$J$517,'Sep 2026'!$E$18:$E$517,$A28,'Sep 2026'!$I$18:$I$517,"Expense")+SUMIFS('Oct 2026'!$J$18:$J$517,'Oct 2026'!$E$18:$E$517,$A28,'Oct 2026'!$I$18:$I$517,"Expense")+SUMIFS('Nov 2026'!$J$18:$J$517,'Nov 2026'!$E$18:$E$517,$A28,'Nov 2026'!$I$18:$I$517,"Expense")+SUMIFS('Dec 2026'!$J$18:$J$517,'Dec 2026'!$E$18:$E$517,$A28,'Dec 2026'!$I$18:$I$517,"Expense")</f>
      </c>
      <c r="C28" s="3">
        <f>SUMIFS('Jan 2026'!$J$18:$J$517,'Jan 2026'!$E$18:$E$517,$A28,'Jan 2026'!$I$18:$I$517,"Income")+SUMIFS('Feb 2026'!$J$18:$J$517,'Feb 2026'!$E$18:$E$517,$A28,'Feb 2026'!$I$18:$I$517,"Income")+SUMIFS('Mar 2026'!$J$18:$J$517,'Mar 2026'!$E$18:$E$517,$A28,'Mar 2026'!$I$18:$I$517,"Income")+SUMIFS('Apr 2026'!$J$18:$J$517,'Apr 2026'!$E$18:$E$517,$A28,'Apr 2026'!$I$18:$I$517,"Income")+SUMIFS('May 2026'!$J$18:$J$517,'May 2026'!$E$18:$E$517,$A28,'May 2026'!$I$18:$I$517,"Income")+SUMIFS('Jun 2026'!$J$18:$J$517,'Jun 2026'!$E$18:$E$517,$A28,'Jun 2026'!$I$18:$I$517,"Income")+SUMIFS('Jul 2026'!$J$18:$J$517,'Jul 2026'!$E$18:$E$517,$A28,'Jul 2026'!$I$18:$I$517,"Income")+SUMIFS('Aug 2026'!$J$18:$J$517,'Aug 2026'!$E$18:$E$517,$A28,'Aug 2026'!$I$18:$I$517,"Income")+SUMIFS('Sep 2026'!$J$18:$J$517,'Sep 2026'!$E$18:$E$517,$A28,'Sep 2026'!$I$18:$I$517,"Income")+SUMIFS('Oct 2026'!$J$18:$J$517,'Oct 2026'!$E$18:$E$517,$A28,'Oct 2026'!$I$18:$I$517,"Income")+SUMIFS('Nov 2026'!$J$18:$J$517,'Nov 2026'!$E$18:$E$517,$A28,'Nov 2026'!$I$18:$I$517,"Income")+SUMIFS('Dec 2026'!$J$18:$J$517,'Dec 2026'!$E$18:$E$517,$A28,'Dec 2026'!$I$18:$I$517,"Income")</f>
      </c>
      <c r="D28" s="3">
        <f>C28-B28</f>
      </c>
    </row>
    <row r="29">
      <c r="A29" s="5" t="inlineStr">
        <is>
          <t>Debt Payments</t>
        </is>
      </c>
      <c r="B29" s="3">
        <f>SUMIFS('Jan 2026'!$J$18:$J$517,'Jan 2026'!$E$18:$E$517,$A29,'Jan 2026'!$I$18:$I$517,"Expense")+SUMIFS('Feb 2026'!$J$18:$J$517,'Feb 2026'!$E$18:$E$517,$A29,'Feb 2026'!$I$18:$I$517,"Expense")+SUMIFS('Mar 2026'!$J$18:$J$517,'Mar 2026'!$E$18:$E$517,$A29,'Mar 2026'!$I$18:$I$517,"Expense")+SUMIFS('Apr 2026'!$J$18:$J$517,'Apr 2026'!$E$18:$E$517,$A29,'Apr 2026'!$I$18:$I$517,"Expense")+SUMIFS('May 2026'!$J$18:$J$517,'May 2026'!$E$18:$E$517,$A29,'May 2026'!$I$18:$I$517,"Expense")+SUMIFS('Jun 2026'!$J$18:$J$517,'Jun 2026'!$E$18:$E$517,$A29,'Jun 2026'!$I$18:$I$517,"Expense")+SUMIFS('Jul 2026'!$J$18:$J$517,'Jul 2026'!$E$18:$E$517,$A29,'Jul 2026'!$I$18:$I$517,"Expense")+SUMIFS('Aug 2026'!$J$18:$J$517,'Aug 2026'!$E$18:$E$517,$A29,'Aug 2026'!$I$18:$I$517,"Expense")+SUMIFS('Sep 2026'!$J$18:$J$517,'Sep 2026'!$E$18:$E$517,$A29,'Sep 2026'!$I$18:$I$517,"Expense")+SUMIFS('Oct 2026'!$J$18:$J$517,'Oct 2026'!$E$18:$E$517,$A29,'Oct 2026'!$I$18:$I$517,"Expense")+SUMIFS('Nov 2026'!$J$18:$J$517,'Nov 2026'!$E$18:$E$517,$A29,'Nov 2026'!$I$18:$I$517,"Expense")+SUMIFS('Dec 2026'!$J$18:$J$517,'Dec 2026'!$E$18:$E$517,$A29,'Dec 2026'!$I$18:$I$517,"Expense")</f>
      </c>
      <c r="C29" s="3">
        <f>SUMIFS('Jan 2026'!$J$18:$J$517,'Jan 2026'!$E$18:$E$517,$A29,'Jan 2026'!$I$18:$I$517,"Income")+SUMIFS('Feb 2026'!$J$18:$J$517,'Feb 2026'!$E$18:$E$517,$A29,'Feb 2026'!$I$18:$I$517,"Income")+SUMIFS('Mar 2026'!$J$18:$J$517,'Mar 2026'!$E$18:$E$517,$A29,'Mar 2026'!$I$18:$I$517,"Income")+SUMIFS('Apr 2026'!$J$18:$J$517,'Apr 2026'!$E$18:$E$517,$A29,'Apr 2026'!$I$18:$I$517,"Income")+SUMIFS('May 2026'!$J$18:$J$517,'May 2026'!$E$18:$E$517,$A29,'May 2026'!$I$18:$I$517,"Income")+SUMIFS('Jun 2026'!$J$18:$J$517,'Jun 2026'!$E$18:$E$517,$A29,'Jun 2026'!$I$18:$I$517,"Income")+SUMIFS('Jul 2026'!$J$18:$J$517,'Jul 2026'!$E$18:$E$517,$A29,'Jul 2026'!$I$18:$I$517,"Income")+SUMIFS('Aug 2026'!$J$18:$J$517,'Aug 2026'!$E$18:$E$517,$A29,'Aug 2026'!$I$18:$I$517,"Income")+SUMIFS('Sep 2026'!$J$18:$J$517,'Sep 2026'!$E$18:$E$517,$A29,'Sep 2026'!$I$18:$I$517,"Income")+SUMIFS('Oct 2026'!$J$18:$J$517,'Oct 2026'!$E$18:$E$517,$A29,'Oct 2026'!$I$18:$I$517,"Income")+SUMIFS('Nov 2026'!$J$18:$J$517,'Nov 2026'!$E$18:$E$517,$A29,'Nov 2026'!$I$18:$I$517,"Income")+SUMIFS('Dec 2026'!$J$18:$J$517,'Dec 2026'!$E$18:$E$517,$A29,'Dec 2026'!$I$18:$I$517,"Income")</f>
      </c>
      <c r="D29" s="3">
        <f>C29-B29</f>
      </c>
    </row>
    <row r="30">
      <c r="A30" s="5" t="inlineStr">
        <is>
          <t>Savings &amp; Investments</t>
        </is>
      </c>
      <c r="B30" s="3">
        <f>SUMIFS('Jan 2026'!$J$18:$J$517,'Jan 2026'!$E$18:$E$517,$A30,'Jan 2026'!$I$18:$I$517,"Expense")+SUMIFS('Feb 2026'!$J$18:$J$517,'Feb 2026'!$E$18:$E$517,$A30,'Feb 2026'!$I$18:$I$517,"Expense")+SUMIFS('Mar 2026'!$J$18:$J$517,'Mar 2026'!$E$18:$E$517,$A30,'Mar 2026'!$I$18:$I$517,"Expense")+SUMIFS('Apr 2026'!$J$18:$J$517,'Apr 2026'!$E$18:$E$517,$A30,'Apr 2026'!$I$18:$I$517,"Expense")+SUMIFS('May 2026'!$J$18:$J$517,'May 2026'!$E$18:$E$517,$A30,'May 2026'!$I$18:$I$517,"Expense")+SUMIFS('Jun 2026'!$J$18:$J$517,'Jun 2026'!$E$18:$E$517,$A30,'Jun 2026'!$I$18:$I$517,"Expense")+SUMIFS('Jul 2026'!$J$18:$J$517,'Jul 2026'!$E$18:$E$517,$A30,'Jul 2026'!$I$18:$I$517,"Expense")+SUMIFS('Aug 2026'!$J$18:$J$517,'Aug 2026'!$E$18:$E$517,$A30,'Aug 2026'!$I$18:$I$517,"Expense")+SUMIFS('Sep 2026'!$J$18:$J$517,'Sep 2026'!$E$18:$E$517,$A30,'Sep 2026'!$I$18:$I$517,"Expense")+SUMIFS('Oct 2026'!$J$18:$J$517,'Oct 2026'!$E$18:$E$517,$A30,'Oct 2026'!$I$18:$I$517,"Expense")+SUMIFS('Nov 2026'!$J$18:$J$517,'Nov 2026'!$E$18:$E$517,$A30,'Nov 2026'!$I$18:$I$517,"Expense")+SUMIFS('Dec 2026'!$J$18:$J$517,'Dec 2026'!$E$18:$E$517,$A30,'Dec 2026'!$I$18:$I$517,"Expense")</f>
      </c>
      <c r="C30" s="3">
        <f>SUMIFS('Jan 2026'!$J$18:$J$517,'Jan 2026'!$E$18:$E$517,$A30,'Jan 2026'!$I$18:$I$517,"Income")+SUMIFS('Feb 2026'!$J$18:$J$517,'Feb 2026'!$E$18:$E$517,$A30,'Feb 2026'!$I$18:$I$517,"Income")+SUMIFS('Mar 2026'!$J$18:$J$517,'Mar 2026'!$E$18:$E$517,$A30,'Mar 2026'!$I$18:$I$517,"Income")+SUMIFS('Apr 2026'!$J$18:$J$517,'Apr 2026'!$E$18:$E$517,$A30,'Apr 2026'!$I$18:$I$517,"Income")+SUMIFS('May 2026'!$J$18:$J$517,'May 2026'!$E$18:$E$517,$A30,'May 2026'!$I$18:$I$517,"Income")+SUMIFS('Jun 2026'!$J$18:$J$517,'Jun 2026'!$E$18:$E$517,$A30,'Jun 2026'!$I$18:$I$517,"Income")+SUMIFS('Jul 2026'!$J$18:$J$517,'Jul 2026'!$E$18:$E$517,$A30,'Jul 2026'!$I$18:$I$517,"Income")+SUMIFS('Aug 2026'!$J$18:$J$517,'Aug 2026'!$E$18:$E$517,$A30,'Aug 2026'!$I$18:$I$517,"Income")+SUMIFS('Sep 2026'!$J$18:$J$517,'Sep 2026'!$E$18:$E$517,$A30,'Sep 2026'!$I$18:$I$517,"Income")+SUMIFS('Oct 2026'!$J$18:$J$517,'Oct 2026'!$E$18:$E$517,$A30,'Oct 2026'!$I$18:$I$517,"Income")+SUMIFS('Nov 2026'!$J$18:$J$517,'Nov 2026'!$E$18:$E$517,$A30,'Nov 2026'!$I$18:$I$517,"Income")+SUMIFS('Dec 2026'!$J$18:$J$517,'Dec 2026'!$E$18:$E$517,$A30,'Dec 2026'!$I$18:$I$517,"Income")</f>
      </c>
      <c r="D30" s="3">
        <f>C30-B30</f>
      </c>
    </row>
    <row r="31">
      <c r="A31" s="5" t="inlineStr">
        <is>
          <t>Personal Care</t>
        </is>
      </c>
      <c r="B31" s="3">
        <f>SUMIFS('Jan 2026'!$J$18:$J$517,'Jan 2026'!$E$18:$E$517,$A31,'Jan 2026'!$I$18:$I$517,"Expense")+SUMIFS('Feb 2026'!$J$18:$J$517,'Feb 2026'!$E$18:$E$517,$A31,'Feb 2026'!$I$18:$I$517,"Expense")+SUMIFS('Mar 2026'!$J$18:$J$517,'Mar 2026'!$E$18:$E$517,$A31,'Mar 2026'!$I$18:$I$517,"Expense")+SUMIFS('Apr 2026'!$J$18:$J$517,'Apr 2026'!$E$18:$E$517,$A31,'Apr 2026'!$I$18:$I$517,"Expense")+SUMIFS('May 2026'!$J$18:$J$517,'May 2026'!$E$18:$E$517,$A31,'May 2026'!$I$18:$I$517,"Expense")+SUMIFS('Jun 2026'!$J$18:$J$517,'Jun 2026'!$E$18:$E$517,$A31,'Jun 2026'!$I$18:$I$517,"Expense")+SUMIFS('Jul 2026'!$J$18:$J$517,'Jul 2026'!$E$18:$E$517,$A31,'Jul 2026'!$I$18:$I$517,"Expense")+SUMIFS('Aug 2026'!$J$18:$J$517,'Aug 2026'!$E$18:$E$517,$A31,'Aug 2026'!$I$18:$I$517,"Expense")+SUMIFS('Sep 2026'!$J$18:$J$517,'Sep 2026'!$E$18:$E$517,$A31,'Sep 2026'!$I$18:$I$517,"Expense")+SUMIFS('Oct 2026'!$J$18:$J$517,'Oct 2026'!$E$18:$E$517,$A31,'Oct 2026'!$I$18:$I$517,"Expense")+SUMIFS('Nov 2026'!$J$18:$J$517,'Nov 2026'!$E$18:$E$517,$A31,'Nov 2026'!$I$18:$I$517,"Expense")+SUMIFS('Dec 2026'!$J$18:$J$517,'Dec 2026'!$E$18:$E$517,$A31,'Dec 2026'!$I$18:$I$517,"Expense")</f>
      </c>
      <c r="C31" s="3">
        <f>SUMIFS('Jan 2026'!$J$18:$J$517,'Jan 2026'!$E$18:$E$517,$A31,'Jan 2026'!$I$18:$I$517,"Income")+SUMIFS('Feb 2026'!$J$18:$J$517,'Feb 2026'!$E$18:$E$517,$A31,'Feb 2026'!$I$18:$I$517,"Income")+SUMIFS('Mar 2026'!$J$18:$J$517,'Mar 2026'!$E$18:$E$517,$A31,'Mar 2026'!$I$18:$I$517,"Income")+SUMIFS('Apr 2026'!$J$18:$J$517,'Apr 2026'!$E$18:$E$517,$A31,'Apr 2026'!$I$18:$I$517,"Income")+SUMIFS('May 2026'!$J$18:$J$517,'May 2026'!$E$18:$E$517,$A31,'May 2026'!$I$18:$I$517,"Income")+SUMIFS('Jun 2026'!$J$18:$J$517,'Jun 2026'!$E$18:$E$517,$A31,'Jun 2026'!$I$18:$I$517,"Income")+SUMIFS('Jul 2026'!$J$18:$J$517,'Jul 2026'!$E$18:$E$517,$A31,'Jul 2026'!$I$18:$I$517,"Income")+SUMIFS('Aug 2026'!$J$18:$J$517,'Aug 2026'!$E$18:$E$517,$A31,'Aug 2026'!$I$18:$I$517,"Income")+SUMIFS('Sep 2026'!$J$18:$J$517,'Sep 2026'!$E$18:$E$517,$A31,'Sep 2026'!$I$18:$I$517,"Income")+SUMIFS('Oct 2026'!$J$18:$J$517,'Oct 2026'!$E$18:$E$517,$A31,'Oct 2026'!$I$18:$I$517,"Income")+SUMIFS('Nov 2026'!$J$18:$J$517,'Nov 2026'!$E$18:$E$517,$A31,'Nov 2026'!$I$18:$I$517,"Income")+SUMIFS('Dec 2026'!$J$18:$J$517,'Dec 2026'!$E$18:$E$517,$A31,'Dec 2026'!$I$18:$I$517,"Income")</f>
      </c>
      <c r="D31" s="3">
        <f>C31-B31</f>
      </c>
    </row>
    <row r="32">
      <c r="A32" s="5" t="inlineStr">
        <is>
          <t>Shopping</t>
        </is>
      </c>
      <c r="B32" s="3">
        <f>SUMIFS('Jan 2026'!$J$18:$J$517,'Jan 2026'!$E$18:$E$517,$A32,'Jan 2026'!$I$18:$I$517,"Expense")+SUMIFS('Feb 2026'!$J$18:$J$517,'Feb 2026'!$E$18:$E$517,$A32,'Feb 2026'!$I$18:$I$517,"Expense")+SUMIFS('Mar 2026'!$J$18:$J$517,'Mar 2026'!$E$18:$E$517,$A32,'Mar 2026'!$I$18:$I$517,"Expense")+SUMIFS('Apr 2026'!$J$18:$J$517,'Apr 2026'!$E$18:$E$517,$A32,'Apr 2026'!$I$18:$I$517,"Expense")+SUMIFS('May 2026'!$J$18:$J$517,'May 2026'!$E$18:$E$517,$A32,'May 2026'!$I$18:$I$517,"Expense")+SUMIFS('Jun 2026'!$J$18:$J$517,'Jun 2026'!$E$18:$E$517,$A32,'Jun 2026'!$I$18:$I$517,"Expense")+SUMIFS('Jul 2026'!$J$18:$J$517,'Jul 2026'!$E$18:$E$517,$A32,'Jul 2026'!$I$18:$I$517,"Expense")+SUMIFS('Aug 2026'!$J$18:$J$517,'Aug 2026'!$E$18:$E$517,$A32,'Aug 2026'!$I$18:$I$517,"Expense")+SUMIFS('Sep 2026'!$J$18:$J$517,'Sep 2026'!$E$18:$E$517,$A32,'Sep 2026'!$I$18:$I$517,"Expense")+SUMIFS('Oct 2026'!$J$18:$J$517,'Oct 2026'!$E$18:$E$517,$A32,'Oct 2026'!$I$18:$I$517,"Expense")+SUMIFS('Nov 2026'!$J$18:$J$517,'Nov 2026'!$E$18:$E$517,$A32,'Nov 2026'!$I$18:$I$517,"Expense")+SUMIFS('Dec 2026'!$J$18:$J$517,'Dec 2026'!$E$18:$E$517,$A32,'Dec 2026'!$I$18:$I$517,"Expense")</f>
      </c>
      <c r="C32" s="3">
        <f>SUMIFS('Jan 2026'!$J$18:$J$517,'Jan 2026'!$E$18:$E$517,$A32,'Jan 2026'!$I$18:$I$517,"Income")+SUMIFS('Feb 2026'!$J$18:$J$517,'Feb 2026'!$E$18:$E$517,$A32,'Feb 2026'!$I$18:$I$517,"Income")+SUMIFS('Mar 2026'!$J$18:$J$517,'Mar 2026'!$E$18:$E$517,$A32,'Mar 2026'!$I$18:$I$517,"Income")+SUMIFS('Apr 2026'!$J$18:$J$517,'Apr 2026'!$E$18:$E$517,$A32,'Apr 2026'!$I$18:$I$517,"Income")+SUMIFS('May 2026'!$J$18:$J$517,'May 2026'!$E$18:$E$517,$A32,'May 2026'!$I$18:$I$517,"Income")+SUMIFS('Jun 2026'!$J$18:$J$517,'Jun 2026'!$E$18:$E$517,$A32,'Jun 2026'!$I$18:$I$517,"Income")+SUMIFS('Jul 2026'!$J$18:$J$517,'Jul 2026'!$E$18:$E$517,$A32,'Jul 2026'!$I$18:$I$517,"Income")+SUMIFS('Aug 2026'!$J$18:$J$517,'Aug 2026'!$E$18:$E$517,$A32,'Aug 2026'!$I$18:$I$517,"Income")+SUMIFS('Sep 2026'!$J$18:$J$517,'Sep 2026'!$E$18:$E$517,$A32,'Sep 2026'!$I$18:$I$517,"Income")+SUMIFS('Oct 2026'!$J$18:$J$517,'Oct 2026'!$E$18:$E$517,$A32,'Oct 2026'!$I$18:$I$517,"Income")+SUMIFS('Nov 2026'!$J$18:$J$517,'Nov 2026'!$E$18:$E$517,$A32,'Nov 2026'!$I$18:$I$517,"Income")+SUMIFS('Dec 2026'!$J$18:$J$517,'Dec 2026'!$E$18:$E$517,$A32,'Dec 2026'!$I$18:$I$517,"Income")</f>
      </c>
      <c r="D32" s="3">
        <f>C32-B32</f>
      </c>
    </row>
    <row r="33">
      <c r="A33" s="5" t="inlineStr">
        <is>
          <t>Entertainment</t>
        </is>
      </c>
      <c r="B33" s="3">
        <f>SUMIFS('Jan 2026'!$J$18:$J$517,'Jan 2026'!$E$18:$E$517,$A33,'Jan 2026'!$I$18:$I$517,"Expense")+SUMIFS('Feb 2026'!$J$18:$J$517,'Feb 2026'!$E$18:$E$517,$A33,'Feb 2026'!$I$18:$I$517,"Expense")+SUMIFS('Mar 2026'!$J$18:$J$517,'Mar 2026'!$E$18:$E$517,$A33,'Mar 2026'!$I$18:$I$517,"Expense")+SUMIFS('Apr 2026'!$J$18:$J$517,'Apr 2026'!$E$18:$E$517,$A33,'Apr 2026'!$I$18:$I$517,"Expense")+SUMIFS('May 2026'!$J$18:$J$517,'May 2026'!$E$18:$E$517,$A33,'May 2026'!$I$18:$I$517,"Expense")+SUMIFS('Jun 2026'!$J$18:$J$517,'Jun 2026'!$E$18:$E$517,$A33,'Jun 2026'!$I$18:$I$517,"Expense")+SUMIFS('Jul 2026'!$J$18:$J$517,'Jul 2026'!$E$18:$E$517,$A33,'Jul 2026'!$I$18:$I$517,"Expense")+SUMIFS('Aug 2026'!$J$18:$J$517,'Aug 2026'!$E$18:$E$517,$A33,'Aug 2026'!$I$18:$I$517,"Expense")+SUMIFS('Sep 2026'!$J$18:$J$517,'Sep 2026'!$E$18:$E$517,$A33,'Sep 2026'!$I$18:$I$517,"Expense")+SUMIFS('Oct 2026'!$J$18:$J$517,'Oct 2026'!$E$18:$E$517,$A33,'Oct 2026'!$I$18:$I$517,"Expense")+SUMIFS('Nov 2026'!$J$18:$J$517,'Nov 2026'!$E$18:$E$517,$A33,'Nov 2026'!$I$18:$I$517,"Expense")+SUMIFS('Dec 2026'!$J$18:$J$517,'Dec 2026'!$E$18:$E$517,$A33,'Dec 2026'!$I$18:$I$517,"Expense")</f>
      </c>
      <c r="C33" s="3">
        <f>SUMIFS('Jan 2026'!$J$18:$J$517,'Jan 2026'!$E$18:$E$517,$A33,'Jan 2026'!$I$18:$I$517,"Income")+SUMIFS('Feb 2026'!$J$18:$J$517,'Feb 2026'!$E$18:$E$517,$A33,'Feb 2026'!$I$18:$I$517,"Income")+SUMIFS('Mar 2026'!$J$18:$J$517,'Mar 2026'!$E$18:$E$517,$A33,'Mar 2026'!$I$18:$I$517,"Income")+SUMIFS('Apr 2026'!$J$18:$J$517,'Apr 2026'!$E$18:$E$517,$A33,'Apr 2026'!$I$18:$I$517,"Income")+SUMIFS('May 2026'!$J$18:$J$517,'May 2026'!$E$18:$E$517,$A33,'May 2026'!$I$18:$I$517,"Income")+SUMIFS('Jun 2026'!$J$18:$J$517,'Jun 2026'!$E$18:$E$517,$A33,'Jun 2026'!$I$18:$I$517,"Income")+SUMIFS('Jul 2026'!$J$18:$J$517,'Jul 2026'!$E$18:$E$517,$A33,'Jul 2026'!$I$18:$I$517,"Income")+SUMIFS('Aug 2026'!$J$18:$J$517,'Aug 2026'!$E$18:$E$517,$A33,'Aug 2026'!$I$18:$I$517,"Income")+SUMIFS('Sep 2026'!$J$18:$J$517,'Sep 2026'!$E$18:$E$517,$A33,'Sep 2026'!$I$18:$I$517,"Income")+SUMIFS('Oct 2026'!$J$18:$J$517,'Oct 2026'!$E$18:$E$517,$A33,'Oct 2026'!$I$18:$I$517,"Income")+SUMIFS('Nov 2026'!$J$18:$J$517,'Nov 2026'!$E$18:$E$517,$A33,'Nov 2026'!$I$18:$I$517,"Income")+SUMIFS('Dec 2026'!$J$18:$J$517,'Dec 2026'!$E$18:$E$517,$A33,'Dec 2026'!$I$18:$I$517,"Income")</f>
      </c>
      <c r="D33" s="3">
        <f>C33-B33</f>
      </c>
    </row>
    <row r="34">
      <c r="A34" s="5" t="inlineStr">
        <is>
          <t>Travel</t>
        </is>
      </c>
      <c r="B34" s="3">
        <f>SUMIFS('Jan 2026'!$J$18:$J$517,'Jan 2026'!$E$18:$E$517,$A34,'Jan 2026'!$I$18:$I$517,"Expense")+SUMIFS('Feb 2026'!$J$18:$J$517,'Feb 2026'!$E$18:$E$517,$A34,'Feb 2026'!$I$18:$I$517,"Expense")+SUMIFS('Mar 2026'!$J$18:$J$517,'Mar 2026'!$E$18:$E$517,$A34,'Mar 2026'!$I$18:$I$517,"Expense")+SUMIFS('Apr 2026'!$J$18:$J$517,'Apr 2026'!$E$18:$E$517,$A34,'Apr 2026'!$I$18:$I$517,"Expense")+SUMIFS('May 2026'!$J$18:$J$517,'May 2026'!$E$18:$E$517,$A34,'May 2026'!$I$18:$I$517,"Expense")+SUMIFS('Jun 2026'!$J$18:$J$517,'Jun 2026'!$E$18:$E$517,$A34,'Jun 2026'!$I$18:$I$517,"Expense")+SUMIFS('Jul 2026'!$J$18:$J$517,'Jul 2026'!$E$18:$E$517,$A34,'Jul 2026'!$I$18:$I$517,"Expense")+SUMIFS('Aug 2026'!$J$18:$J$517,'Aug 2026'!$E$18:$E$517,$A34,'Aug 2026'!$I$18:$I$517,"Expense")+SUMIFS('Sep 2026'!$J$18:$J$517,'Sep 2026'!$E$18:$E$517,$A34,'Sep 2026'!$I$18:$I$517,"Expense")+SUMIFS('Oct 2026'!$J$18:$J$517,'Oct 2026'!$E$18:$E$517,$A34,'Oct 2026'!$I$18:$I$517,"Expense")+SUMIFS('Nov 2026'!$J$18:$J$517,'Nov 2026'!$E$18:$E$517,$A34,'Nov 2026'!$I$18:$I$517,"Expense")+SUMIFS('Dec 2026'!$J$18:$J$517,'Dec 2026'!$E$18:$E$517,$A34,'Dec 2026'!$I$18:$I$517,"Expense")</f>
      </c>
      <c r="C34" s="3">
        <f>SUMIFS('Jan 2026'!$J$18:$J$517,'Jan 2026'!$E$18:$E$517,$A34,'Jan 2026'!$I$18:$I$517,"Income")+SUMIFS('Feb 2026'!$J$18:$J$517,'Feb 2026'!$E$18:$E$517,$A34,'Feb 2026'!$I$18:$I$517,"Income")+SUMIFS('Mar 2026'!$J$18:$J$517,'Mar 2026'!$E$18:$E$517,$A34,'Mar 2026'!$I$18:$I$517,"Income")+SUMIFS('Apr 2026'!$J$18:$J$517,'Apr 2026'!$E$18:$E$517,$A34,'Apr 2026'!$I$18:$I$517,"Income")+SUMIFS('May 2026'!$J$18:$J$517,'May 2026'!$E$18:$E$517,$A34,'May 2026'!$I$18:$I$517,"Income")+SUMIFS('Jun 2026'!$J$18:$J$517,'Jun 2026'!$E$18:$E$517,$A34,'Jun 2026'!$I$18:$I$517,"Income")+SUMIFS('Jul 2026'!$J$18:$J$517,'Jul 2026'!$E$18:$E$517,$A34,'Jul 2026'!$I$18:$I$517,"Income")+SUMIFS('Aug 2026'!$J$18:$J$517,'Aug 2026'!$E$18:$E$517,$A34,'Aug 2026'!$I$18:$I$517,"Income")+SUMIFS('Sep 2026'!$J$18:$J$517,'Sep 2026'!$E$18:$E$517,$A34,'Sep 2026'!$I$18:$I$517,"Income")+SUMIFS('Oct 2026'!$J$18:$J$517,'Oct 2026'!$E$18:$E$517,$A34,'Oct 2026'!$I$18:$I$517,"Income")+SUMIFS('Nov 2026'!$J$18:$J$517,'Nov 2026'!$E$18:$E$517,$A34,'Nov 2026'!$I$18:$I$517,"Income")+SUMIFS('Dec 2026'!$J$18:$J$517,'Dec 2026'!$E$18:$E$517,$A34,'Dec 2026'!$I$18:$I$517,"Income")</f>
      </c>
      <c r="D34" s="3">
        <f>C34-B34</f>
      </c>
    </row>
    <row r="35">
      <c r="A35" s="5" t="inlineStr">
        <is>
          <t>Education</t>
        </is>
      </c>
      <c r="B35" s="3">
        <f>SUMIFS('Jan 2026'!$J$18:$J$517,'Jan 2026'!$E$18:$E$517,$A35,'Jan 2026'!$I$18:$I$517,"Expense")+SUMIFS('Feb 2026'!$J$18:$J$517,'Feb 2026'!$E$18:$E$517,$A35,'Feb 2026'!$I$18:$I$517,"Expense")+SUMIFS('Mar 2026'!$J$18:$J$517,'Mar 2026'!$E$18:$E$517,$A35,'Mar 2026'!$I$18:$I$517,"Expense")+SUMIFS('Apr 2026'!$J$18:$J$517,'Apr 2026'!$E$18:$E$517,$A35,'Apr 2026'!$I$18:$I$517,"Expense")+SUMIFS('May 2026'!$J$18:$J$517,'May 2026'!$E$18:$E$517,$A35,'May 2026'!$I$18:$I$517,"Expense")+SUMIFS('Jun 2026'!$J$18:$J$517,'Jun 2026'!$E$18:$E$517,$A35,'Jun 2026'!$I$18:$I$517,"Expense")+SUMIFS('Jul 2026'!$J$18:$J$517,'Jul 2026'!$E$18:$E$517,$A35,'Jul 2026'!$I$18:$I$517,"Expense")+SUMIFS('Aug 2026'!$J$18:$J$517,'Aug 2026'!$E$18:$E$517,$A35,'Aug 2026'!$I$18:$I$517,"Expense")+SUMIFS('Sep 2026'!$J$18:$J$517,'Sep 2026'!$E$18:$E$517,$A35,'Sep 2026'!$I$18:$I$517,"Expense")+SUMIFS('Oct 2026'!$J$18:$J$517,'Oct 2026'!$E$18:$E$517,$A35,'Oct 2026'!$I$18:$I$517,"Expense")+SUMIFS('Nov 2026'!$J$18:$J$517,'Nov 2026'!$E$18:$E$517,$A35,'Nov 2026'!$I$18:$I$517,"Expense")+SUMIFS('Dec 2026'!$J$18:$J$517,'Dec 2026'!$E$18:$E$517,$A35,'Dec 2026'!$I$18:$I$517,"Expense")</f>
      </c>
      <c r="C35" s="3">
        <f>SUMIFS('Jan 2026'!$J$18:$J$517,'Jan 2026'!$E$18:$E$517,$A35,'Jan 2026'!$I$18:$I$517,"Income")+SUMIFS('Feb 2026'!$J$18:$J$517,'Feb 2026'!$E$18:$E$517,$A35,'Feb 2026'!$I$18:$I$517,"Income")+SUMIFS('Mar 2026'!$J$18:$J$517,'Mar 2026'!$E$18:$E$517,$A35,'Mar 2026'!$I$18:$I$517,"Income")+SUMIFS('Apr 2026'!$J$18:$J$517,'Apr 2026'!$E$18:$E$517,$A35,'Apr 2026'!$I$18:$I$517,"Income")+SUMIFS('May 2026'!$J$18:$J$517,'May 2026'!$E$18:$E$517,$A35,'May 2026'!$I$18:$I$517,"Income")+SUMIFS('Jun 2026'!$J$18:$J$517,'Jun 2026'!$E$18:$E$517,$A35,'Jun 2026'!$I$18:$I$517,"Income")+SUMIFS('Jul 2026'!$J$18:$J$517,'Jul 2026'!$E$18:$E$517,$A35,'Jul 2026'!$I$18:$I$517,"Income")+SUMIFS('Aug 2026'!$J$18:$J$517,'Aug 2026'!$E$18:$E$517,$A35,'Aug 2026'!$I$18:$I$517,"Income")+SUMIFS('Sep 2026'!$J$18:$J$517,'Sep 2026'!$E$18:$E$517,$A35,'Sep 2026'!$I$18:$I$517,"Income")+SUMIFS('Oct 2026'!$J$18:$J$517,'Oct 2026'!$E$18:$E$517,$A35,'Oct 2026'!$I$18:$I$517,"Income")+SUMIFS('Nov 2026'!$J$18:$J$517,'Nov 2026'!$E$18:$E$517,$A35,'Nov 2026'!$I$18:$I$517,"Income")+SUMIFS('Dec 2026'!$J$18:$J$517,'Dec 2026'!$E$18:$E$517,$A35,'Dec 2026'!$I$18:$I$517,"Income")</f>
      </c>
      <c r="D35" s="3">
        <f>C35-B35</f>
      </c>
    </row>
    <row r="36">
      <c r="A36" s="5" t="inlineStr">
        <is>
          <t>Gifts &amp; Donations</t>
        </is>
      </c>
      <c r="B36" s="3">
        <f>SUMIFS('Jan 2026'!$J$18:$J$517,'Jan 2026'!$E$18:$E$517,$A36,'Jan 2026'!$I$18:$I$517,"Expense")+SUMIFS('Feb 2026'!$J$18:$J$517,'Feb 2026'!$E$18:$E$517,$A36,'Feb 2026'!$I$18:$I$517,"Expense")+SUMIFS('Mar 2026'!$J$18:$J$517,'Mar 2026'!$E$18:$E$517,$A36,'Mar 2026'!$I$18:$I$517,"Expense")+SUMIFS('Apr 2026'!$J$18:$J$517,'Apr 2026'!$E$18:$E$517,$A36,'Apr 2026'!$I$18:$I$517,"Expense")+SUMIFS('May 2026'!$J$18:$J$517,'May 2026'!$E$18:$E$517,$A36,'May 2026'!$I$18:$I$517,"Expense")+SUMIFS('Jun 2026'!$J$18:$J$517,'Jun 2026'!$E$18:$E$517,$A36,'Jun 2026'!$I$18:$I$517,"Expense")+SUMIFS('Jul 2026'!$J$18:$J$517,'Jul 2026'!$E$18:$E$517,$A36,'Jul 2026'!$I$18:$I$517,"Expense")+SUMIFS('Aug 2026'!$J$18:$J$517,'Aug 2026'!$E$18:$E$517,$A36,'Aug 2026'!$I$18:$I$517,"Expense")+SUMIFS('Sep 2026'!$J$18:$J$517,'Sep 2026'!$E$18:$E$517,$A36,'Sep 2026'!$I$18:$I$517,"Expense")+SUMIFS('Oct 2026'!$J$18:$J$517,'Oct 2026'!$E$18:$E$517,$A36,'Oct 2026'!$I$18:$I$517,"Expense")+SUMIFS('Nov 2026'!$J$18:$J$517,'Nov 2026'!$E$18:$E$517,$A36,'Nov 2026'!$I$18:$I$517,"Expense")+SUMIFS('Dec 2026'!$J$18:$J$517,'Dec 2026'!$E$18:$E$517,$A36,'Dec 2026'!$I$18:$I$517,"Expense")</f>
      </c>
      <c r="C36" s="3">
        <f>SUMIFS('Jan 2026'!$J$18:$J$517,'Jan 2026'!$E$18:$E$517,$A36,'Jan 2026'!$I$18:$I$517,"Income")+SUMIFS('Feb 2026'!$J$18:$J$517,'Feb 2026'!$E$18:$E$517,$A36,'Feb 2026'!$I$18:$I$517,"Income")+SUMIFS('Mar 2026'!$J$18:$J$517,'Mar 2026'!$E$18:$E$517,$A36,'Mar 2026'!$I$18:$I$517,"Income")+SUMIFS('Apr 2026'!$J$18:$J$517,'Apr 2026'!$E$18:$E$517,$A36,'Apr 2026'!$I$18:$I$517,"Income")+SUMIFS('May 2026'!$J$18:$J$517,'May 2026'!$E$18:$E$517,$A36,'May 2026'!$I$18:$I$517,"Income")+SUMIFS('Jun 2026'!$J$18:$J$517,'Jun 2026'!$E$18:$E$517,$A36,'Jun 2026'!$I$18:$I$517,"Income")+SUMIFS('Jul 2026'!$J$18:$J$517,'Jul 2026'!$E$18:$E$517,$A36,'Jul 2026'!$I$18:$I$517,"Income")+SUMIFS('Aug 2026'!$J$18:$J$517,'Aug 2026'!$E$18:$E$517,$A36,'Aug 2026'!$I$18:$I$517,"Income")+SUMIFS('Sep 2026'!$J$18:$J$517,'Sep 2026'!$E$18:$E$517,$A36,'Sep 2026'!$I$18:$I$517,"Income")+SUMIFS('Oct 2026'!$J$18:$J$517,'Oct 2026'!$E$18:$E$517,$A36,'Oct 2026'!$I$18:$I$517,"Income")+SUMIFS('Nov 2026'!$J$18:$J$517,'Nov 2026'!$E$18:$E$517,$A36,'Nov 2026'!$I$18:$I$517,"Income")+SUMIFS('Dec 2026'!$J$18:$J$517,'Dec 2026'!$E$18:$E$517,$A36,'Dec 2026'!$I$18:$I$517,"Income")</f>
      </c>
      <c r="D36" s="3">
        <f>C36-B36</f>
      </c>
    </row>
    <row r="37">
      <c r="A37" s="5" t="inlineStr">
        <is>
          <t>Taxes</t>
        </is>
      </c>
      <c r="B37" s="3">
        <f>SUMIFS('Jan 2026'!$J$18:$J$517,'Jan 2026'!$E$18:$E$517,$A37,'Jan 2026'!$I$18:$I$517,"Expense")+SUMIFS('Feb 2026'!$J$18:$J$517,'Feb 2026'!$E$18:$E$517,$A37,'Feb 2026'!$I$18:$I$517,"Expense")+SUMIFS('Mar 2026'!$J$18:$J$517,'Mar 2026'!$E$18:$E$517,$A37,'Mar 2026'!$I$18:$I$517,"Expense")+SUMIFS('Apr 2026'!$J$18:$J$517,'Apr 2026'!$E$18:$E$517,$A37,'Apr 2026'!$I$18:$I$517,"Expense")+SUMIFS('May 2026'!$J$18:$J$517,'May 2026'!$E$18:$E$517,$A37,'May 2026'!$I$18:$I$517,"Expense")+SUMIFS('Jun 2026'!$J$18:$J$517,'Jun 2026'!$E$18:$E$517,$A37,'Jun 2026'!$I$18:$I$517,"Expense")+SUMIFS('Jul 2026'!$J$18:$J$517,'Jul 2026'!$E$18:$E$517,$A37,'Jul 2026'!$I$18:$I$517,"Expense")+SUMIFS('Aug 2026'!$J$18:$J$517,'Aug 2026'!$E$18:$E$517,$A37,'Aug 2026'!$I$18:$I$517,"Expense")+SUMIFS('Sep 2026'!$J$18:$J$517,'Sep 2026'!$E$18:$E$517,$A37,'Sep 2026'!$I$18:$I$517,"Expense")+SUMIFS('Oct 2026'!$J$18:$J$517,'Oct 2026'!$E$18:$E$517,$A37,'Oct 2026'!$I$18:$I$517,"Expense")+SUMIFS('Nov 2026'!$J$18:$J$517,'Nov 2026'!$E$18:$E$517,$A37,'Nov 2026'!$I$18:$I$517,"Expense")+SUMIFS('Dec 2026'!$J$18:$J$517,'Dec 2026'!$E$18:$E$517,$A37,'Dec 2026'!$I$18:$I$517,"Expense")</f>
      </c>
      <c r="C37" s="3">
        <f>SUMIFS('Jan 2026'!$J$18:$J$517,'Jan 2026'!$E$18:$E$517,$A37,'Jan 2026'!$I$18:$I$517,"Income")+SUMIFS('Feb 2026'!$J$18:$J$517,'Feb 2026'!$E$18:$E$517,$A37,'Feb 2026'!$I$18:$I$517,"Income")+SUMIFS('Mar 2026'!$J$18:$J$517,'Mar 2026'!$E$18:$E$517,$A37,'Mar 2026'!$I$18:$I$517,"Income")+SUMIFS('Apr 2026'!$J$18:$J$517,'Apr 2026'!$E$18:$E$517,$A37,'Apr 2026'!$I$18:$I$517,"Income")+SUMIFS('May 2026'!$J$18:$J$517,'May 2026'!$E$18:$E$517,$A37,'May 2026'!$I$18:$I$517,"Income")+SUMIFS('Jun 2026'!$J$18:$J$517,'Jun 2026'!$E$18:$E$517,$A37,'Jun 2026'!$I$18:$I$517,"Income")+SUMIFS('Jul 2026'!$J$18:$J$517,'Jul 2026'!$E$18:$E$517,$A37,'Jul 2026'!$I$18:$I$517,"Income")+SUMIFS('Aug 2026'!$J$18:$J$517,'Aug 2026'!$E$18:$E$517,$A37,'Aug 2026'!$I$18:$I$517,"Income")+SUMIFS('Sep 2026'!$J$18:$J$517,'Sep 2026'!$E$18:$E$517,$A37,'Sep 2026'!$I$18:$I$517,"Income")+SUMIFS('Oct 2026'!$J$18:$J$517,'Oct 2026'!$E$18:$E$517,$A37,'Oct 2026'!$I$18:$I$517,"Income")+SUMIFS('Nov 2026'!$J$18:$J$517,'Nov 2026'!$E$18:$E$517,$A37,'Nov 2026'!$I$18:$I$517,"Income")+SUMIFS('Dec 2026'!$J$18:$J$517,'Dec 2026'!$E$18:$E$517,$A37,'Dec 2026'!$I$18:$I$517,"Income")</f>
      </c>
      <c r="D37" s="3">
        <f>C37-B37</f>
      </c>
    </row>
    <row r="38">
      <c r="A38" s="5" t="inlineStr">
        <is>
          <t>Fees &amp; Charges</t>
        </is>
      </c>
      <c r="B38" s="3">
        <f>SUMIFS('Jan 2026'!$J$18:$J$517,'Jan 2026'!$E$18:$E$517,$A38,'Jan 2026'!$I$18:$I$517,"Expense")+SUMIFS('Feb 2026'!$J$18:$J$517,'Feb 2026'!$E$18:$E$517,$A38,'Feb 2026'!$I$18:$I$517,"Expense")+SUMIFS('Mar 2026'!$J$18:$J$517,'Mar 2026'!$E$18:$E$517,$A38,'Mar 2026'!$I$18:$I$517,"Expense")+SUMIFS('Apr 2026'!$J$18:$J$517,'Apr 2026'!$E$18:$E$517,$A38,'Apr 2026'!$I$18:$I$517,"Expense")+SUMIFS('May 2026'!$J$18:$J$517,'May 2026'!$E$18:$E$517,$A38,'May 2026'!$I$18:$I$517,"Expense")+SUMIFS('Jun 2026'!$J$18:$J$517,'Jun 2026'!$E$18:$E$517,$A38,'Jun 2026'!$I$18:$I$517,"Expense")+SUMIFS('Jul 2026'!$J$18:$J$517,'Jul 2026'!$E$18:$E$517,$A38,'Jul 2026'!$I$18:$I$517,"Expense")+SUMIFS('Aug 2026'!$J$18:$J$517,'Aug 2026'!$E$18:$E$517,$A38,'Aug 2026'!$I$18:$I$517,"Expense")+SUMIFS('Sep 2026'!$J$18:$J$517,'Sep 2026'!$E$18:$E$517,$A38,'Sep 2026'!$I$18:$I$517,"Expense")+SUMIFS('Oct 2026'!$J$18:$J$517,'Oct 2026'!$E$18:$E$517,$A38,'Oct 2026'!$I$18:$I$517,"Expense")+SUMIFS('Nov 2026'!$J$18:$J$517,'Nov 2026'!$E$18:$E$517,$A38,'Nov 2026'!$I$18:$I$517,"Expense")+SUMIFS('Dec 2026'!$J$18:$J$517,'Dec 2026'!$E$18:$E$517,$A38,'Dec 2026'!$I$18:$I$517,"Expense")</f>
      </c>
      <c r="C38" s="3">
        <f>SUMIFS('Jan 2026'!$J$18:$J$517,'Jan 2026'!$E$18:$E$517,$A38,'Jan 2026'!$I$18:$I$517,"Income")+SUMIFS('Feb 2026'!$J$18:$J$517,'Feb 2026'!$E$18:$E$517,$A38,'Feb 2026'!$I$18:$I$517,"Income")+SUMIFS('Mar 2026'!$J$18:$J$517,'Mar 2026'!$E$18:$E$517,$A38,'Mar 2026'!$I$18:$I$517,"Income")+SUMIFS('Apr 2026'!$J$18:$J$517,'Apr 2026'!$E$18:$E$517,$A38,'Apr 2026'!$I$18:$I$517,"Income")+SUMIFS('May 2026'!$J$18:$J$517,'May 2026'!$E$18:$E$517,$A38,'May 2026'!$I$18:$I$517,"Income")+SUMIFS('Jun 2026'!$J$18:$J$517,'Jun 2026'!$E$18:$E$517,$A38,'Jun 2026'!$I$18:$I$517,"Income")+SUMIFS('Jul 2026'!$J$18:$J$517,'Jul 2026'!$E$18:$E$517,$A38,'Jul 2026'!$I$18:$I$517,"Income")+SUMIFS('Aug 2026'!$J$18:$J$517,'Aug 2026'!$E$18:$E$517,$A38,'Aug 2026'!$I$18:$I$517,"Income")+SUMIFS('Sep 2026'!$J$18:$J$517,'Sep 2026'!$E$18:$E$517,$A38,'Sep 2026'!$I$18:$I$517,"Income")+SUMIFS('Oct 2026'!$J$18:$J$517,'Oct 2026'!$E$18:$E$517,$A38,'Oct 2026'!$I$18:$I$517,"Income")+SUMIFS('Nov 2026'!$J$18:$J$517,'Nov 2026'!$E$18:$E$517,$A38,'Nov 2026'!$I$18:$I$517,"Income")+SUMIFS('Dec 2026'!$J$18:$J$517,'Dec 2026'!$E$18:$E$517,$A38,'Dec 2026'!$I$18:$I$517,"Income")</f>
      </c>
      <c r="D38" s="3">
        <f>C38-B38</f>
      </c>
    </row>
    <row r="39">
      <c r="A39" s="5" t="inlineStr">
        <is>
          <t>Income</t>
        </is>
      </c>
      <c r="B39" s="3">
        <f>SUMIFS('Jan 2026'!$J$18:$J$517,'Jan 2026'!$E$18:$E$517,$A39,'Jan 2026'!$I$18:$I$517,"Expense")+SUMIFS('Feb 2026'!$J$18:$J$517,'Feb 2026'!$E$18:$E$517,$A39,'Feb 2026'!$I$18:$I$517,"Expense")+SUMIFS('Mar 2026'!$J$18:$J$517,'Mar 2026'!$E$18:$E$517,$A39,'Mar 2026'!$I$18:$I$517,"Expense")+SUMIFS('Apr 2026'!$J$18:$J$517,'Apr 2026'!$E$18:$E$517,$A39,'Apr 2026'!$I$18:$I$517,"Expense")+SUMIFS('May 2026'!$J$18:$J$517,'May 2026'!$E$18:$E$517,$A39,'May 2026'!$I$18:$I$517,"Expense")+SUMIFS('Jun 2026'!$J$18:$J$517,'Jun 2026'!$E$18:$E$517,$A39,'Jun 2026'!$I$18:$I$517,"Expense")+SUMIFS('Jul 2026'!$J$18:$J$517,'Jul 2026'!$E$18:$E$517,$A39,'Jul 2026'!$I$18:$I$517,"Expense")+SUMIFS('Aug 2026'!$J$18:$J$517,'Aug 2026'!$E$18:$E$517,$A39,'Aug 2026'!$I$18:$I$517,"Expense")+SUMIFS('Sep 2026'!$J$18:$J$517,'Sep 2026'!$E$18:$E$517,$A39,'Sep 2026'!$I$18:$I$517,"Expense")+SUMIFS('Oct 2026'!$J$18:$J$517,'Oct 2026'!$E$18:$E$517,$A39,'Oct 2026'!$I$18:$I$517,"Expense")+SUMIFS('Nov 2026'!$J$18:$J$517,'Nov 2026'!$E$18:$E$517,$A39,'Nov 2026'!$I$18:$I$517,"Expense")+SUMIFS('Dec 2026'!$J$18:$J$517,'Dec 2026'!$E$18:$E$517,$A39,'Dec 2026'!$I$18:$I$517,"Expense")</f>
      </c>
      <c r="C39" s="3">
        <f>SUMIFS('Jan 2026'!$J$18:$J$517,'Jan 2026'!$E$18:$E$517,$A39,'Jan 2026'!$I$18:$I$517,"Income")+SUMIFS('Feb 2026'!$J$18:$J$517,'Feb 2026'!$E$18:$E$517,$A39,'Feb 2026'!$I$18:$I$517,"Income")+SUMIFS('Mar 2026'!$J$18:$J$517,'Mar 2026'!$E$18:$E$517,$A39,'Mar 2026'!$I$18:$I$517,"Income")+SUMIFS('Apr 2026'!$J$18:$J$517,'Apr 2026'!$E$18:$E$517,$A39,'Apr 2026'!$I$18:$I$517,"Income")+SUMIFS('May 2026'!$J$18:$J$517,'May 2026'!$E$18:$E$517,$A39,'May 2026'!$I$18:$I$517,"Income")+SUMIFS('Jun 2026'!$J$18:$J$517,'Jun 2026'!$E$18:$E$517,$A39,'Jun 2026'!$I$18:$I$517,"Income")+SUMIFS('Jul 2026'!$J$18:$J$517,'Jul 2026'!$E$18:$E$517,$A39,'Jul 2026'!$I$18:$I$517,"Income")+SUMIFS('Aug 2026'!$J$18:$J$517,'Aug 2026'!$E$18:$E$517,$A39,'Aug 2026'!$I$18:$I$517,"Income")+SUMIFS('Sep 2026'!$J$18:$J$517,'Sep 2026'!$E$18:$E$517,$A39,'Sep 2026'!$I$18:$I$517,"Income")+SUMIFS('Oct 2026'!$J$18:$J$517,'Oct 2026'!$E$18:$E$517,$A39,'Oct 2026'!$I$18:$I$517,"Income")+SUMIFS('Nov 2026'!$J$18:$J$517,'Nov 2026'!$E$18:$E$517,$A39,'Nov 2026'!$I$18:$I$517,"Income")+SUMIFS('Dec 2026'!$J$18:$J$517,'Dec 2026'!$E$18:$E$517,$A39,'Dec 2026'!$I$18:$I$517,"Income")</f>
      </c>
      <c r="D39" s="3">
        <f>C39-B39</f>
      </c>
    </row>
    <row r="40">
      <c r="A40" s="5" t="inlineStr">
        <is>
          <t>Transfers</t>
        </is>
      </c>
      <c r="B40" s="3">
        <f>SUMIFS('Jan 2026'!$J$18:$J$517,'Jan 2026'!$E$18:$E$517,$A40,'Jan 2026'!$I$18:$I$517,"Expense")+SUMIFS('Feb 2026'!$J$18:$J$517,'Feb 2026'!$E$18:$E$517,$A40,'Feb 2026'!$I$18:$I$517,"Expense")+SUMIFS('Mar 2026'!$J$18:$J$517,'Mar 2026'!$E$18:$E$517,$A40,'Mar 2026'!$I$18:$I$517,"Expense")+SUMIFS('Apr 2026'!$J$18:$J$517,'Apr 2026'!$E$18:$E$517,$A40,'Apr 2026'!$I$18:$I$517,"Expense")+SUMIFS('May 2026'!$J$18:$J$517,'May 2026'!$E$18:$E$517,$A40,'May 2026'!$I$18:$I$517,"Expense")+SUMIFS('Jun 2026'!$J$18:$J$517,'Jun 2026'!$E$18:$E$517,$A40,'Jun 2026'!$I$18:$I$517,"Expense")+SUMIFS('Jul 2026'!$J$18:$J$517,'Jul 2026'!$E$18:$E$517,$A40,'Jul 2026'!$I$18:$I$517,"Expense")+SUMIFS('Aug 2026'!$J$18:$J$517,'Aug 2026'!$E$18:$E$517,$A40,'Aug 2026'!$I$18:$I$517,"Expense")+SUMIFS('Sep 2026'!$J$18:$J$517,'Sep 2026'!$E$18:$E$517,$A40,'Sep 2026'!$I$18:$I$517,"Expense")+SUMIFS('Oct 2026'!$J$18:$J$517,'Oct 2026'!$E$18:$E$517,$A40,'Oct 2026'!$I$18:$I$517,"Expense")+SUMIFS('Nov 2026'!$J$18:$J$517,'Nov 2026'!$E$18:$E$517,$A40,'Nov 2026'!$I$18:$I$517,"Expense")+SUMIFS('Dec 2026'!$J$18:$J$517,'Dec 2026'!$E$18:$E$517,$A40,'Dec 2026'!$I$18:$I$517,"Expense")</f>
      </c>
      <c r="C40" s="3">
        <f>SUMIFS('Jan 2026'!$J$18:$J$517,'Jan 2026'!$E$18:$E$517,$A40,'Jan 2026'!$I$18:$I$517,"Income")+SUMIFS('Feb 2026'!$J$18:$J$517,'Feb 2026'!$E$18:$E$517,$A40,'Feb 2026'!$I$18:$I$517,"Income")+SUMIFS('Mar 2026'!$J$18:$J$517,'Mar 2026'!$E$18:$E$517,$A40,'Mar 2026'!$I$18:$I$517,"Income")+SUMIFS('Apr 2026'!$J$18:$J$517,'Apr 2026'!$E$18:$E$517,$A40,'Apr 2026'!$I$18:$I$517,"Income")+SUMIFS('May 2026'!$J$18:$J$517,'May 2026'!$E$18:$E$517,$A40,'May 2026'!$I$18:$I$517,"Income")+SUMIFS('Jun 2026'!$J$18:$J$517,'Jun 2026'!$E$18:$E$517,$A40,'Jun 2026'!$I$18:$I$517,"Income")+SUMIFS('Jul 2026'!$J$18:$J$517,'Jul 2026'!$E$18:$E$517,$A40,'Jul 2026'!$I$18:$I$517,"Income")+SUMIFS('Aug 2026'!$J$18:$J$517,'Aug 2026'!$E$18:$E$517,$A40,'Aug 2026'!$I$18:$I$517,"Income")+SUMIFS('Sep 2026'!$J$18:$J$517,'Sep 2026'!$E$18:$E$517,$A40,'Sep 2026'!$I$18:$I$517,"Income")+SUMIFS('Oct 2026'!$J$18:$J$517,'Oct 2026'!$E$18:$E$517,$A40,'Oct 2026'!$I$18:$I$517,"Income")+SUMIFS('Nov 2026'!$J$18:$J$517,'Nov 2026'!$E$18:$E$517,$A40,'Nov 2026'!$I$18:$I$517,"Income")+SUMIFS('Dec 2026'!$J$18:$J$517,'Dec 2026'!$E$18:$E$517,$A40,'Dec 2026'!$I$18:$I$517,"Income")</f>
      </c>
      <c r="D40" s="3">
        <f>C40-B40</f>
      </c>
    </row>
    <row r="41">
      <c r="A41" s="5" t="inlineStr">
        <is>
          <t>Other</t>
        </is>
      </c>
      <c r="B41" s="3">
        <f>SUMIFS('Jan 2026'!$J$18:$J$517,'Jan 2026'!$E$18:$E$517,$A41,'Jan 2026'!$I$18:$I$517,"Expense")+SUMIFS('Feb 2026'!$J$18:$J$517,'Feb 2026'!$E$18:$E$517,$A41,'Feb 2026'!$I$18:$I$517,"Expense")+SUMIFS('Mar 2026'!$J$18:$J$517,'Mar 2026'!$E$18:$E$517,$A41,'Mar 2026'!$I$18:$I$517,"Expense")+SUMIFS('Apr 2026'!$J$18:$J$517,'Apr 2026'!$E$18:$E$517,$A41,'Apr 2026'!$I$18:$I$517,"Expense")+SUMIFS('May 2026'!$J$18:$J$517,'May 2026'!$E$18:$E$517,$A41,'May 2026'!$I$18:$I$517,"Expense")+SUMIFS('Jun 2026'!$J$18:$J$517,'Jun 2026'!$E$18:$E$517,$A41,'Jun 2026'!$I$18:$I$517,"Expense")+SUMIFS('Jul 2026'!$J$18:$J$517,'Jul 2026'!$E$18:$E$517,$A41,'Jul 2026'!$I$18:$I$517,"Expense")+SUMIFS('Aug 2026'!$J$18:$J$517,'Aug 2026'!$E$18:$E$517,$A41,'Aug 2026'!$I$18:$I$517,"Expense")+SUMIFS('Sep 2026'!$J$18:$J$517,'Sep 2026'!$E$18:$E$517,$A41,'Sep 2026'!$I$18:$I$517,"Expense")+SUMIFS('Oct 2026'!$J$18:$J$517,'Oct 2026'!$E$18:$E$517,$A41,'Oct 2026'!$I$18:$I$517,"Expense")+SUMIFS('Nov 2026'!$J$18:$J$517,'Nov 2026'!$E$18:$E$517,$A41,'Nov 2026'!$I$18:$I$517,"Expense")+SUMIFS('Dec 2026'!$J$18:$J$517,'Dec 2026'!$E$18:$E$517,$A41,'Dec 2026'!$I$18:$I$517,"Expense")</f>
      </c>
      <c r="C41" s="3">
        <f>SUMIFS('Jan 2026'!$J$18:$J$517,'Jan 2026'!$E$18:$E$517,$A41,'Jan 2026'!$I$18:$I$517,"Income")+SUMIFS('Feb 2026'!$J$18:$J$517,'Feb 2026'!$E$18:$E$517,$A41,'Feb 2026'!$I$18:$I$517,"Income")+SUMIFS('Mar 2026'!$J$18:$J$517,'Mar 2026'!$E$18:$E$517,$A41,'Mar 2026'!$I$18:$I$517,"Income")+SUMIFS('Apr 2026'!$J$18:$J$517,'Apr 2026'!$E$18:$E$517,$A41,'Apr 2026'!$I$18:$I$517,"Income")+SUMIFS('May 2026'!$J$18:$J$517,'May 2026'!$E$18:$E$517,$A41,'May 2026'!$I$18:$I$517,"Income")+SUMIFS('Jun 2026'!$J$18:$J$517,'Jun 2026'!$E$18:$E$517,$A41,'Jun 2026'!$I$18:$I$517,"Income")+SUMIFS('Jul 2026'!$J$18:$J$517,'Jul 2026'!$E$18:$E$517,$A41,'Jul 2026'!$I$18:$I$517,"Income")+SUMIFS('Aug 2026'!$J$18:$J$517,'Aug 2026'!$E$18:$E$517,$A41,'Aug 2026'!$I$18:$I$517,"Income")+SUMIFS('Sep 2026'!$J$18:$J$517,'Sep 2026'!$E$18:$E$517,$A41,'Sep 2026'!$I$18:$I$517,"Income")+SUMIFS('Oct 2026'!$J$18:$J$517,'Oct 2026'!$E$18:$E$517,$A41,'Oct 2026'!$I$18:$I$517,"Income")+SUMIFS('Nov 2026'!$J$18:$J$517,'Nov 2026'!$E$18:$E$517,$A41,'Nov 2026'!$I$18:$I$517,"Income")+SUMIFS('Dec 2026'!$J$18:$J$517,'Dec 2026'!$E$18:$E$517,$A41,'Dec 2026'!$I$18:$I$517,"Income")</f>
      </c>
      <c r="D41" s="3">
        <f>C41-B41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17" topLeftCell="A18" activePane="bottomLeft" state="frozen"/>
      <selection pane="bottomLeft" activeCell="A18" sqref="A18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SUMIFS($J$18:$J$517,$I$18:$I$517,"Income")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SUMIFS($J$18:$J$517,$I$18:$I$517,"Expense")</f>
      </c>
      <c r="D6" s="5" t="inlineStr">
        <is>
          <t>Housing</t>
        </is>
      </c>
      <c r="E6" s="3">
        <f>SUMIFS($J$18:$J$517,$E$18:$E$517,$D6,$I$18:$I$517,"Expense")</f>
      </c>
      <c r="F6" s="3">
        <f>SUMIFS($J$18:$J$517,$E$18:$E$517,$D6,$I$18:$I$517,"Income")</f>
      </c>
      <c r="H6" s="5" t="inlineStr">
        <is>
          <t>Week 1</t>
        </is>
      </c>
      <c r="I6" s="3">
        <f>SUMIFS($J$18:$J$517,$B$18:$B$517,1,$I$18:$I$517,"Expense")</f>
      </c>
      <c r="J6" s="3">
        <f>SUMIFS($J$18:$J$517,$B$18:$B$517,1,$I$18:$I$517,"Income")</f>
      </c>
      <c r="K6" s="3">
        <f>J6-I6</f>
      </c>
    </row>
    <row r="7">
      <c r="A7" s="5" t="inlineStr">
        <is>
          <t>Savings &amp; Investments</t>
        </is>
      </c>
      <c r="B7" s="3">
        <f>SUMIFS($J$18:$J$517,$E$18:$E$517,"Savings &amp; Investments",$I$18:$I$517,"Expense")</f>
      </c>
      <c r="D7" s="5" t="inlineStr">
        <is>
          <t>Utilities</t>
        </is>
      </c>
      <c r="E7" s="3">
        <f>SUMIFS($J$18:$J$517,$E$18:$E$517,$D7,$I$18:$I$517,"Expense")</f>
      </c>
      <c r="F7" s="3">
        <f>SUMIFS($J$18:$J$517,$E$18:$E$517,$D7,$I$18:$I$517,"Income")</f>
      </c>
      <c r="H7" s="5" t="inlineStr">
        <is>
          <t>Week 2</t>
        </is>
      </c>
      <c r="I7" s="3">
        <f>SUMIFS($J$18:$J$517,$B$18:$B$517,2,$I$18:$I$517,"Expense")</f>
      </c>
      <c r="J7" s="3">
        <f>SUMIFS($J$18:$J$517,$B$18:$B$517,2,$I$18:$I$517,"Income")</f>
      </c>
      <c r="K7" s="3">
        <f>J7-I7</f>
      </c>
    </row>
    <row r="8">
      <c r="A8" s="5" t="inlineStr">
        <is>
          <t>Transfers</t>
        </is>
      </c>
      <c r="B8" s="3">
        <f>SUMIFS($J$18:$J$517,$I$18:$I$517,"Transfer")</f>
      </c>
      <c r="D8" s="5" t="inlineStr">
        <is>
          <t>Groceries</t>
        </is>
      </c>
      <c r="E8" s="3">
        <f>SUMIFS($J$18:$J$517,$E$18:$E$517,$D8,$I$18:$I$517,"Expense")</f>
      </c>
      <c r="F8" s="3">
        <f>SUMIFS($J$18:$J$517,$E$18:$E$517,$D8,$I$18:$I$517,"Income")</f>
      </c>
      <c r="H8" s="5" t="inlineStr">
        <is>
          <t>Week 3</t>
        </is>
      </c>
      <c r="I8" s="3">
        <f>SUMIFS($J$18:$J$517,$B$18:$B$517,3,$I$18:$I$517,"Expense")</f>
      </c>
      <c r="J8" s="3">
        <f>SUMIFS($J$18:$J$517,$B$18:$B$517,3,$I$18:$I$517,"Income")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SUMIFS($J$18:$J$517,$E$18:$E$517,$D9,$I$18:$I$517,"Expense")</f>
      </c>
      <c r="F9" s="3">
        <f>SUMIFS($J$18:$J$517,$E$18:$E$517,$D9,$I$18:$I$517,"Income")</f>
      </c>
      <c r="H9" s="5" t="inlineStr">
        <is>
          <t>Week 4</t>
        </is>
      </c>
      <c r="I9" s="3">
        <f>SUMIFS($J$18:$J$517,$B$18:$B$517,4,$I$18:$I$517,"Expense")</f>
      </c>
      <c r="J9" s="3">
        <f>SUMIFS($J$18:$J$517,$B$18:$B$517,4,$I$18:$I$517,"Income")</f>
      </c>
      <c r="K9" s="3">
        <f>J9-I9</f>
      </c>
    </row>
    <row r="10">
      <c r="D10" s="5" t="inlineStr">
        <is>
          <t>Transportation</t>
        </is>
      </c>
      <c r="E10" s="3">
        <f>SUMIFS($J$18:$J$517,$E$18:$E$517,$D10,$I$18:$I$517,"Expense")</f>
      </c>
      <c r="F10" s="3">
        <f>SUMIFS($J$18:$J$517,$E$18:$E$517,$D10,$I$18:$I$517,"Income")</f>
      </c>
      <c r="H10" s="5" t="inlineStr">
        <is>
          <t>Week 5</t>
        </is>
      </c>
      <c r="I10" s="3">
        <f>SUMIFS($J$18:$J$517,$B$18:$B$517,5,$I$18:$I$517,"Expense")</f>
      </c>
      <c r="J10" s="3">
        <f>SUMIFS($J$18:$J$517,$B$18:$B$517,5,$I$18:$I$517,"Income")</f>
      </c>
      <c r="K10" s="3">
        <f>J10-I10</f>
      </c>
    </row>
    <row r="11">
      <c r="D11" s="5" t="inlineStr">
        <is>
          <t>Health &amp; Medical</t>
        </is>
      </c>
      <c r="E11" s="3">
        <f>SUMIFS($J$18:$J$517,$E$18:$E$517,$D11,$I$18:$I$517,"Expense")</f>
      </c>
      <c r="F11" s="3">
        <f>SUMIFS($J$18:$J$517,$E$18:$E$517,$D11,$I$18:$I$517,"Income")</f>
      </c>
    </row>
    <row r="12">
      <c r="D12" s="5" t="inlineStr">
        <is>
          <t>Insurance</t>
        </is>
      </c>
      <c r="E12" s="3">
        <f>SUMIFS($J$18:$J$517,$E$18:$E$517,$D12,$I$18:$I$517,"Expense")</f>
      </c>
      <c r="F12" s="3">
        <f>SUMIFS($J$18:$J$517,$E$18:$E$517,$D12,$I$18:$I$517,"Income")</f>
      </c>
    </row>
    <row r="13">
      <c r="D13" s="5" t="inlineStr">
        <is>
          <t>Debt Payments</t>
        </is>
      </c>
      <c r="E13" s="3">
        <f>SUMIFS($J$18:$J$517,$E$18:$E$517,$D13,$I$18:$I$517,"Expense")</f>
      </c>
      <c r="F13" s="3">
        <f>SUMIFS($J$18:$J$517,$E$18:$E$517,$D13,$I$18:$I$517,"Income")</f>
      </c>
    </row>
    <row r="14">
      <c r="D14" s="5" t="inlineStr">
        <is>
          <t>Savings &amp; Investments</t>
        </is>
      </c>
      <c r="E14" s="3">
        <f>SUMIFS($J$18:$J$517,$E$18:$E$517,$D14,$I$18:$I$517,"Expense")</f>
      </c>
      <c r="F14" s="3">
        <f>SUMIFS($J$18:$J$517,$E$18:$E$517,$D14,$I$18:$I$517,"Income")</f>
      </c>
    </row>
    <row r="15">
      <c r="D15" s="5" t="inlineStr">
        <is>
          <t>Personal Care</t>
        </is>
      </c>
      <c r="E15" s="3">
        <f>SUMIFS($J$18:$J$517,$E$18:$E$517,$D15,$I$18:$I$517,"Expense")</f>
      </c>
      <c r="F15" s="3">
        <f>SUMIFS($J$18:$J$517,$E$18:$E$517,$D15,$I$18:$I$517,"Income")</f>
      </c>
    </row>
    <row r="16">
      <c r="D16" s="5" t="inlineStr">
        <is>
          <t>Shopping</t>
        </is>
      </c>
      <c r="E16" s="3">
        <f>SUMIFS($J$18:$J$517,$E$18:$E$517,$D16,$I$18:$I$517,"Expense")</f>
      </c>
      <c r="F16" s="3">
        <f>SUMIFS($J$18:$J$517,$E$18:$E$517,$D16,$I$18:$I$517,"Income")</f>
      </c>
    </row>
    <row r="17">
      <c r="A17" s="2" t="inlineStr">
        <is>
          <t>Date</t>
        </is>
      </c>
      <c r="B17" s="2" t="inlineStr">
        <is>
          <t>Week</t>
        </is>
      </c>
      <c r="C17" s="2" t="inlineStr">
        <is>
          <t>Description</t>
        </is>
      </c>
      <c r="D17" s="5" t="inlineStr">
        <is>
          <t>Entertainment</t>
        </is>
      </c>
      <c r="D17" s="2" t="inlineStr">
        <is>
          <t>Merchant</t>
        </is>
      </c>
      <c r="E17" s="3">
        <f>SUMIFS($J$18:$J$517,$E$18:$E$517,$D17,$I$18:$I$517,"Expense")</f>
      </c>
      <c r="E17" s="2" t="inlineStr">
        <is>
          <t>Category</t>
        </is>
      </c>
      <c r="F17" s="3">
        <f>SUMIFS($J$18:$J$517,$E$18:$E$517,$D17,$I$18:$I$517,"Income")</f>
      </c>
      <c r="F17" s="2" t="inlineStr">
        <is>
          <t>Subcategory</t>
        </is>
      </c>
      <c r="G17" s="2" t="inlineStr">
        <is>
          <t>Account</t>
        </is>
      </c>
      <c r="H17" s="2" t="inlineStr">
        <is>
          <t>Payment Method</t>
        </is>
      </c>
      <c r="I17" s="2" t="inlineStr">
        <is>
          <t>Type</t>
        </is>
      </c>
      <c r="J17" s="2" t="inlineStr">
        <is>
          <t>Amount</t>
        </is>
      </c>
      <c r="K17" s="2" t="inlineStr">
        <is>
          <t>Notes</t>
        </is>
      </c>
    </row>
    <row r="18">
      <c r="A18" s="4"/>
      <c r="B18" s="9">
        <f>IF(A18="","",INT((DAY(A18)-1)/7)+1)</f>
      </c>
      <c r="C18" s="0"/>
      <c r="D18" s="5" t="inlineStr">
        <is>
          <t>Travel</t>
        </is>
      </c>
      <c r="D18" s="0"/>
      <c r="E18" s="3">
        <f>SUMIFS($J$18:$J$517,$E$18:$E$517,$D18,$I$18:$I$517,"Expense")</f>
      </c>
      <c r="E18" s="0"/>
      <c r="F18" s="3">
        <f>SUMIFS($J$18:$J$517,$E$18:$E$517,$D18,$I$18:$I$517,"Income")</f>
      </c>
      <c r="F18" s="0"/>
      <c r="G18" s="0"/>
      <c r="H18" s="0"/>
      <c r="I18" s="0"/>
      <c r="J18" s="3"/>
      <c r="K18" s="0"/>
    </row>
    <row r="19">
      <c r="A19" s="4"/>
      <c r="B19" s="9">
        <f>IF(A19="","",INT((DAY(A19)-1)/7)+1)</f>
      </c>
      <c r="C19" s="0"/>
      <c r="D19" s="5" t="inlineStr">
        <is>
          <t>Education</t>
        </is>
      </c>
      <c r="D19" s="0"/>
      <c r="E19" s="3">
        <f>SUMIFS($J$18:$J$517,$E$18:$E$517,$D19,$I$18:$I$517,"Expense")</f>
      </c>
      <c r="E19" s="0"/>
      <c r="F19" s="3">
        <f>SUMIFS($J$18:$J$517,$E$18:$E$517,$D19,$I$18:$I$517,"Income")</f>
      </c>
      <c r="F19" s="0"/>
      <c r="G19" s="0"/>
      <c r="H19" s="0"/>
      <c r="I19" s="0"/>
      <c r="J19" s="3"/>
      <c r="K19" s="0"/>
    </row>
    <row r="20">
      <c r="A20" s="4"/>
      <c r="B20" s="9">
        <f>IF(A20="","",INT((DAY(A20)-1)/7)+1)</f>
      </c>
      <c r="C20" s="0"/>
      <c r="D20" s="5" t="inlineStr">
        <is>
          <t>Gifts &amp; Donations</t>
        </is>
      </c>
      <c r="D20" s="0"/>
      <c r="E20" s="3">
        <f>SUMIFS($J$18:$J$517,$E$18:$E$517,$D20,$I$18:$I$517,"Expense")</f>
      </c>
      <c r="E20" s="0"/>
      <c r="F20" s="3">
        <f>SUMIFS($J$18:$J$517,$E$18:$E$517,$D20,$I$18:$I$517,"Income")</f>
      </c>
      <c r="F20" s="0"/>
      <c r="G20" s="0"/>
      <c r="H20" s="0"/>
      <c r="I20" s="0"/>
      <c r="J20" s="3"/>
      <c r="K20" s="0"/>
    </row>
    <row r="21">
      <c r="A21" s="4"/>
      <c r="B21" s="9">
        <f>IF(A21="","",INT((DAY(A21)-1)/7)+1)</f>
      </c>
      <c r="C21" s="0"/>
      <c r="D21" s="5" t="inlineStr">
        <is>
          <t>Taxes</t>
        </is>
      </c>
      <c r="D21" s="0"/>
      <c r="E21" s="3">
        <f>SUMIFS($J$18:$J$517,$E$18:$E$517,$D21,$I$18:$I$517,"Expense")</f>
      </c>
      <c r="E21" s="0"/>
      <c r="F21" s="3">
        <f>SUMIFS($J$18:$J$517,$E$18:$E$517,$D21,$I$18:$I$517,"Income")</f>
      </c>
      <c r="F21" s="0"/>
      <c r="G21" s="0"/>
      <c r="H21" s="0"/>
      <c r="I21" s="0"/>
      <c r="J21" s="3"/>
      <c r="K21" s="0"/>
    </row>
    <row r="22">
      <c r="A22" s="4"/>
      <c r="B22" s="9">
        <f>IF(A22="","",INT((DAY(A22)-1)/7)+1)</f>
      </c>
      <c r="C22" s="0"/>
      <c r="D22" s="5" t="inlineStr">
        <is>
          <t>Fees &amp; Charges</t>
        </is>
      </c>
      <c r="D22" s="0"/>
      <c r="E22" s="3">
        <f>SUMIFS($J$18:$J$517,$E$18:$E$517,$D22,$I$18:$I$517,"Expense")</f>
      </c>
      <c r="E22" s="0"/>
      <c r="F22" s="3">
        <f>SUMIFS($J$18:$J$517,$E$18:$E$517,$D22,$I$18:$I$517,"Income")</f>
      </c>
      <c r="F22" s="0"/>
      <c r="G22" s="0"/>
      <c r="H22" s="0"/>
      <c r="I22" s="0"/>
      <c r="J22" s="3"/>
      <c r="K22" s="0"/>
    </row>
    <row r="23">
      <c r="A23" s="4"/>
      <c r="B23" s="9">
        <f>IF(A23="","",INT((DAY(A23)-1)/7)+1)</f>
      </c>
      <c r="C23" s="0"/>
      <c r="D23" s="5" t="inlineStr">
        <is>
          <t>Income</t>
        </is>
      </c>
      <c r="D23" s="0"/>
      <c r="E23" s="3">
        <f>SUMIFS($J$18:$J$517,$E$18:$E$517,$D23,$I$18:$I$517,"Expense")</f>
      </c>
      <c r="E23" s="0"/>
      <c r="F23" s="3">
        <f>SUMIFS($J$18:$J$517,$E$18:$E$517,$D23,$I$18:$I$517,"Income")</f>
      </c>
      <c r="F23" s="0"/>
      <c r="G23" s="0"/>
      <c r="H23" s="0"/>
      <c r="I23" s="0"/>
      <c r="J23" s="3"/>
      <c r="K23" s="0"/>
    </row>
    <row r="24">
      <c r="A24" s="4"/>
      <c r="B24" s="9">
        <f>IF(A24="","",INT((DAY(A24)-1)/7)+1)</f>
      </c>
      <c r="C24" s="0"/>
      <c r="D24" s="5" t="inlineStr">
        <is>
          <t>Transfers</t>
        </is>
      </c>
      <c r="D24" s="0"/>
      <c r="E24" s="3">
        <f>SUMIFS($J$18:$J$517,$E$18:$E$517,$D24,$I$18:$I$517,"Expense")</f>
      </c>
      <c r="E24" s="0"/>
      <c r="F24" s="3">
        <f>SUMIFS($J$18:$J$517,$E$18:$E$517,$D24,$I$18:$I$517,"Income")</f>
      </c>
      <c r="F24" s="0"/>
      <c r="G24" s="0"/>
      <c r="H24" s="0"/>
      <c r="I24" s="0"/>
      <c r="J24" s="3"/>
      <c r="K24" s="0"/>
    </row>
    <row r="25">
      <c r="A25" s="4"/>
      <c r="B25" s="9">
        <f>IF(A25="","",INT((DAY(A25)-1)/7)+1)</f>
      </c>
      <c r="C25" s="0"/>
      <c r="D25" s="5" t="inlineStr">
        <is>
          <t>Other</t>
        </is>
      </c>
      <c r="D25" s="0"/>
      <c r="E25" s="3">
        <f>SUMIFS($J$18:$J$517,$E$18:$E$517,$D25,$I$18:$I$517,"Expense")</f>
      </c>
      <c r="E25" s="0"/>
      <c r="F25" s="3">
        <f>SUMIFS($J$18:$J$517,$E$18:$E$517,$D25,$I$18:$I$517,"Income")</f>
      </c>
      <c r="F25" s="0"/>
      <c r="G25" s="0"/>
      <c r="H25" s="0"/>
      <c r="I25" s="0"/>
      <c r="J25" s="3"/>
      <c r="K25" s="0"/>
    </row>
    <row r="26">
      <c r="A26" s="4"/>
      <c r="B26" s="9">
        <f>IF(A26="","",INT((DAY(A26)-1)/7)+1)</f>
      </c>
      <c r="C26" s="0"/>
      <c r="D26" s="0"/>
      <c r="E26" s="0"/>
      <c r="F26" s="0"/>
      <c r="G26" s="0"/>
      <c r="H26" s="0"/>
      <c r="I26" s="0"/>
      <c r="J26" s="3"/>
      <c r="K26" s="0"/>
    </row>
    <row r="27">
      <c r="A27" s="4"/>
      <c r="B27" s="9">
        <f>IF(A27="","",INT((DAY(A27)-1)/7)+1)</f>
      </c>
      <c r="C27" s="0"/>
      <c r="D27" s="0"/>
      <c r="E27" s="0"/>
      <c r="F27" s="0"/>
      <c r="G27" s="0"/>
      <c r="H27" s="0"/>
      <c r="I27" s="0"/>
      <c r="J27" s="3"/>
      <c r="K27" s="0"/>
    </row>
    <row r="28">
      <c r="A28" s="4"/>
      <c r="B28" s="9">
        <f>IF(A28="","",INT((DAY(A28)-1)/7)+1)</f>
      </c>
      <c r="C28" s="0"/>
      <c r="D28" s="0"/>
      <c r="E28" s="0"/>
      <c r="F28" s="0"/>
      <c r="G28" s="0"/>
      <c r="H28" s="0"/>
      <c r="I28" s="0"/>
      <c r="J28" s="3"/>
      <c r="K28" s="0"/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</sheetData>
  <autoFilter ref="A17:K517"/>
  <dataValidations count="4">
    <dataValidation type="list" allowBlank="1" showErrorMessage="1" sqref="E18:E517">
      <formula1>=Lists!$A$2:$A$21</formula1>
    </dataValidation>
    <dataValidation type="list" allowBlank="1" showErrorMessage="1" sqref="G18:G517">
      <formula1>=Lists!$D$2:$D$8</formula1>
    </dataValidation>
    <dataValidation type="list" allowBlank="1" showErrorMessage="1" sqref="H18:H517">
      <formula1>=Lists!$C$2:$C$9</formula1>
    </dataValidation>
    <dataValidation type="list" allowBlank="1" showErrorMessage="1" sqref="I18:I517">
      <formula1>=Lists!$B$2:$B$4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/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Other</t>
        </is>
      </c>
      <c r="B21"/>
      <c r="C21"/>
      <c r="D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