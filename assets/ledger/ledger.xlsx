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state="visible" r:id="rId1"/>
    <sheet name="Jan 2026" sheetId="2" state="visible" r:id="rId2"/>
    <sheet name="Feb 2026" sheetId="3" state="visible" r:id="rId3"/>
    <sheet name="Mar 2026" sheetId="4" state="visible" r:id="rId4"/>
    <sheet name="Apr 2026" sheetId="5" state="visible" r:id="rId5"/>
    <sheet name="May 2026" sheetId="6" state="visible" r:id="rId6"/>
    <sheet name="Jun 2026" sheetId="7" state="visible" r:id="rId7"/>
    <sheet name="Jul 2026" sheetId="8" state="visible" r:id="rId8"/>
    <sheet name="Aug 2026" sheetId="9" state="visible" r:id="rId9"/>
    <sheet name="Sep 2026" sheetId="10" state="visible" r:id="rId10"/>
    <sheet name="Oct 2026" sheetId="11" state="visible" r:id="rId11"/>
    <sheet name="Nov 2026" sheetId="12" state="visible" r:id="rId12"/>
    <sheet name="Dec 2026" sheetId="13" state="visible" r:id="rId13"/>
    <sheet name="Lists" sheetId="14" state="hidden" r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  <c r="G5" s="2" t="inlineStr">
        <is>
          <t>Current Balance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  <c r="G6" s="3">
        <f>'Jan 2026'!$B$10</f>
        <v>0</v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  <c r="G7" s="3">
        <f>'Feb 2026'!$B$10</f>
        <v>0</v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  <c r="G8" s="3">
        <f>'Mar 2026'!$B$10</f>
        <v>0</v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  <c r="G9" s="3">
        <f>'Apr 2026'!$B$10</f>
        <v>0</v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  <c r="G10" s="3">
        <f>'May 2026'!$B$10</f>
        <v>0</v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  <c r="G11" s="3">
        <f>'Jun 2026'!$B$10</f>
        <v>0</v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  <c r="G12" s="3">
        <f>'Jul 2026'!$B$10</f>
        <v>0</v>
      </c>
    </row>
    <row r="13">
      <c r="A13" s="5" t="inlineStr">
        <is>
          <t>Aug 2026</t>
        </is>
      </c>
      <c r="B13" s="3">
        <f>'Aug 2026'!$B$5</f>
        <v>4988.0</v>
      </c>
      <c r="C13" s="3">
        <f>'Aug 2026'!$B$6</f>
        <v>2741.56</v>
      </c>
      <c r="D13" s="3">
        <f>'Aug 2026'!$B$7</f>
        <v>7300.0</v>
      </c>
      <c r="E13" s="3">
        <f>'Aug 2026'!$B$8</f>
        <v>1700.0</v>
      </c>
      <c r="F13" s="3">
        <f>'Aug 2026'!$B$9</f>
        <v>2246.44</v>
      </c>
      <c r="G13" s="3">
        <f>'Aug 2026'!$B$10</f>
        <v>8242.24</v>
      </c>
    </row>
    <row r="14">
      <c r="A14" s="5" t="inlineStr">
        <is>
          <t>Sep 2026</t>
        </is>
      </c>
      <c r="B14" s="3">
        <f>'Sep 2026'!$B$5</f>
        <v>3126.00</v>
      </c>
      <c r="C14" s="3">
        <f>'Sep 2026'!$B$6</f>
        <v>2841.18</v>
      </c>
      <c r="D14" s="3">
        <f>'Sep 2026'!$B$7</f>
        <v>0</v>
      </c>
      <c r="E14" s="3">
        <f>'Sep 2026'!$B$8</f>
        <v>106.00</v>
      </c>
      <c r="F14" s="3">
        <f>'Sep 2026'!$B$9</f>
        <v>284.82</v>
      </c>
      <c r="G14" s="3">
        <f>'Sep 2026'!$B$10</f>
        <v>9127.06</v>
      </c>
    </row>
    <row r="15">
      <c r="A15" s="5" t="inlineStr">
        <is>
          <t>Oct 2026</t>
        </is>
      </c>
      <c r="B15" s="3">
        <f>'Oct 2026'!$B$5</f>
        <v>0</v>
      </c>
      <c r="C15" s="3">
        <f>'Oct 2026'!$B$6</f>
        <v>1536.47</v>
      </c>
      <c r="D15" s="3">
        <f>'Oct 2026'!$B$7</f>
        <v>0</v>
      </c>
      <c r="E15" s="3">
        <f>'Oct 2026'!$B$8</f>
        <v>0.00</v>
      </c>
      <c r="F15" s="3">
        <f>'Oct 2026'!$B$9</f>
        <v>-1536.47</v>
      </c>
      <c r="G15" s="3">
        <f>'Oct 2026'!$B$10</f>
        <v>7590.59</v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  <c r="G16" s="3">
        <f>'Nov 2026'!$B$10</f>
        <v>0</v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  <c r="G17" s="3">
        <f>'Dec 2026'!$B$10</f>
        <v>0</v>
      </c>
    </row>
    <row r="18">
      <c r="A18" s="2" t="inlineStr">
        <is>
          <t>Total</t>
        </is>
      </c>
      <c r="B18" s="3">
        <f>SUM(B6:B17)</f>
        <v>8114.00</v>
      </c>
      <c r="C18" s="3">
        <f>SUM(C6:C17)</f>
        <v>7119.21</v>
      </c>
      <c r="D18" s="3">
        <f>SUM(D6:D17)</f>
        <v>7300.0</v>
      </c>
      <c r="E18" s="3">
        <f>SUM(E6:E17)</f>
        <v>1806.00</v>
      </c>
      <c r="F18" s="3">
        <f>SUM(F6:F17)</f>
        <v>994.79</v>
      </c>
      <c r="G18" s="3">
        <f>LOOKUP(2,1/(G6:G17&lt;&gt;0),G6:G17)</f>
        <v>7590.59</v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>3300.00</v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>0</v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>0</v>
      </c>
      <c r="E22" s="3">
        <f>C22+D22-B22</f>
        <v>-3300.00</v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>117.91</v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>0</v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>0</v>
      </c>
      <c r="E23" s="3">
        <f>C23+D23-B23</f>
        <v>-117.91</v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>757.58</v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>0</v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>0</v>
      </c>
      <c r="E24" s="3">
        <f>C24+D24-B24</f>
        <v>-757.58</v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>1053.29</v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>0</v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>0</v>
      </c>
      <c r="E25" s="3">
        <f>C25+D25-B25</f>
        <v>-1053.29</v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>298.10</v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>0</v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>0</v>
      </c>
      <c r="E26" s="3">
        <f>C26+D26-B26</f>
        <v>-298.10</v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>0</v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>0</v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>0</v>
      </c>
      <c r="E27" s="3">
        <f>C27+D27-B27</f>
        <v>0</v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>0</v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>0</v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>0</v>
      </c>
      <c r="E28" s="3">
        <f>C28+D28-B28</f>
        <v>0</v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>0</v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>0</v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>0</v>
      </c>
      <c r="E29" s="3">
        <f>C29+D29-B29</f>
        <v>0</v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>0</v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>0</v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>0</v>
      </c>
      <c r="E30" s="3">
        <f>C30+D30-B30</f>
        <v>0</v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>0</v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>0</v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>0</v>
      </c>
      <c r="E31" s="3">
        <f>C31+D31-B31</f>
        <v>0</v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>521.78</v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>0</v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>0</v>
      </c>
      <c r="E32" s="3">
        <f>C32+D32-B32</f>
        <v>-521.78</v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>543.59</v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>0</v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>0</v>
      </c>
      <c r="E33" s="3">
        <f>C33+D33-B33</f>
        <v>-543.59</v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>0</v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>0</v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>0</v>
      </c>
      <c r="E34" s="3">
        <f>C34+D34-B34</f>
        <v>0</v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>218.79</v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>0</v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>0</v>
      </c>
      <c r="E35" s="3">
        <f>C35+D35-B35</f>
        <v>-218.79</v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>0</v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>0</v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>0</v>
      </c>
      <c r="E36" s="3">
        <f>C36+D36-B36</f>
        <v>0</v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>0</v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>0</v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>0</v>
      </c>
      <c r="E37" s="3">
        <f>C37+D37-B37</f>
        <v>0</v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>0</v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>0</v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>0</v>
      </c>
      <c r="E38" s="3">
        <f>C38+D38-B38</f>
        <v>0</v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>0</v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>8114.00</v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>0</v>
      </c>
      <c r="E39" s="3">
        <f>C39+D39-B39</f>
        <v>8114.00</v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>0.00</v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>0</v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>0</v>
      </c>
      <c r="E40" s="3">
        <f>C40+D40-B40</f>
        <v>0.00</v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>0</v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>0</v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>7300</v>
      </c>
      <c r="E41" s="3">
        <f>C41+D41-B41</f>
        <v>7300</v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>0.00</v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>0</v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>0</v>
      </c>
      <c r="E42" s="3">
        <f>C42+D42-B42</f>
        <v>0.00</v>
      </c>
    </row>
  </sheetData>
  <hyperlinks>
    <hyperlink ref="A6" location="'Jan 2026'!A1" display="Jan 2026" tooltip="Open Jan 2026"/>
    <hyperlink ref="A7" location="'Feb 2026'!A1" display="Feb 2026" tooltip="Open Feb 2026"/>
    <hyperlink ref="A8" location="'Mar 2026'!A1" display="Mar 2026" tooltip="Open Mar 2026"/>
    <hyperlink ref="A9" location="'Apr 2026'!A1" display="Apr 2026" tooltip="Open Apr 2026"/>
    <hyperlink ref="A10" location="'May 2026'!A1" display="May 2026" tooltip="Open May 2026"/>
    <hyperlink ref="A11" location="'Jun 2026'!A1" display="Jun 2026" tooltip="Open Jun 2026"/>
    <hyperlink ref="A12" location="'Jul 2026'!A1" display="Jul 2026" tooltip="Open Jul 2026"/>
    <hyperlink ref="A13" location="'Aug 2026'!A1" display="Aug 2026" tooltip="Open Aug 2026"/>
    <hyperlink ref="A14" location="'Sep 2026'!A1" display="Sep 2026" tooltip="Open Sep 2026"/>
    <hyperlink ref="A15" location="'Oct 2026'!A1" display="Oct 2026" tooltip="Open Oct 2026"/>
    <hyperlink ref="A16" location="'Nov 2026'!A1" display="Nov 2026" tooltip="Open Nov 2026"/>
    <hyperlink ref="A17" location="'Dec 2026'!A1" display="Dec 2026" tooltip="Open Dec 202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0.0</v>
      </c>
      <c r="J6" s="3">
        <f>SUMIFS($J$29:$J$528,$B$29:$B$528,1,$I$29:$I$528,"Income")</f>
        <v>0.0</v>
      </c>
      <c r="K6" s="3">
        <f>J6-I6</f>
        <v>0.0</v>
      </c>
    </row>
    <row r="7">
      <c r="A7" s="5" t="inlineStr">
        <is>
          <t>Existing Savings</t>
        </is>
      </c>
      <c r="B7" s="3">
        <f>SUMIFS($J$29:$J$528,$I$29:$I$528,"Opening Balance")</f>
        <v>7300.0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294.98</v>
      </c>
      <c r="J7" s="3">
        <f>SUMIFS($J$29:$J$528,$B$29:$B$528,2,$I$29:$I$528,"Income")</f>
        <v>0.0</v>
      </c>
      <c r="K7" s="3">
        <f>J7-I7</f>
        <v>-294.98</v>
      </c>
    </row>
    <row r="8">
      <c r="A8" s="5" t="inlineStr">
        <is>
          <t>Transfers</t>
        </is>
      </c>
      <c r="B8" s="3">
        <f>SUMIFS($J$29:$J$528,$I$29:$I$528,"Transfer")</f>
        <v>1700.0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553.36</v>
      </c>
      <c r="J8" s="3">
        <f>SUMIFS($J$29:$J$528,$B$29:$B$528,3,$I$29:$I$528,"Income")</f>
        <v>0.0</v>
      </c>
      <c r="K8" s="3">
        <f>J8-I8</f>
        <v>-553.36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546.17</v>
      </c>
      <c r="J9" s="3">
        <f>SUMIFS($J$29:$J$528,$B$29:$B$528,4,$I$29:$I$528,"Income")</f>
        <v>0.0</v>
      </c>
      <c r="K9" s="3">
        <f>J9-I9</f>
        <v>-546.17</v>
      </c>
    </row>
    <row r="10">
      <c r="A10" s="5" t="inlineStr">
        <is>
          <t>Current Balance</t>
        </is>
      </c>
      <c r="B10" s="3" t="n">
        <v>8242.24</v>
      </c>
      <c r="D10" s="5" t="inlineStr">
        <is>
          <t>Transportation</t>
        </is>
      </c>
      <c r="E10" s="3">
        <f>SUMIFS($J$29:$J$528,$E$29:$E$528,$D10,$I$29:$I$528,"Expense")</f>
        <v>110.45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247.05</v>
      </c>
      <c r="J10" s="3">
        <f>SUMIFS($J$29:$J$528,$B$29:$B$528,5,$I$29:$I$528,"Income")</f>
        <v>4988.0</v>
      </c>
      <c r="K10" s="3">
        <f>J10-I10</f>
        <v>4740.95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0.0</v>
      </c>
      <c r="G22" s="3">
        <f>SUMIFS($J$29:$J$528,$E$29:$E$528,$D22,$I$29:$I$528,"Opening Balance")</f>
        <v>0.0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4988.0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0.0</v>
      </c>
      <c r="F25" s="3">
        <f>SUMIFS($J$29:$J$528,$E$29:$E$528,$D25,$I$29:$I$528,"Income")</f>
        <v>0.0</v>
      </c>
      <c r="G25" s="3">
        <f>SUMIFS($J$29:$J$528,$E$29:$E$528,$D25,$I$29:$I$528,"Opening Balance")</f>
        <v>7300.0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0.0</v>
      </c>
      <c r="G26" s="3">
        <f>SUMIFS($J$29:$J$528,$E$29:$E$528,$D26,$I$29:$I$528,"Opening Balance")</f>
        <v>0.0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IF(A29="","",INT(DAY(A29)/7)+1)</f>
        <v>2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IF(A30="","",INT(DAY(A30)/7)+1)</f>
        <v>2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IF(A31="","",INT(DAY(A31)/7)+1)</f>
        <v>2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IF(A32="","",INT(DAY(A32)/7)+1)</f>
        <v>2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IF(A33="","",INT(DAY(A33)/7)+1)</f>
        <v>2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IF(A34="","",INT(DAY(A34)/7)+1)</f>
        <v>2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IF(A35="","",INT(DAY(A35)/7)+1)</f>
        <v>2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IF(A36="","",INT(DAY(A36)/7)+1)</f>
        <v>2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IF(A37="","",INT(DAY(A37)/7)+1)</f>
        <v>2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IF(A38="","",INT(DAY(A38)/7)+1)</f>
        <v>2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IF(A39="","",INT(DAY(A39)/7)+1)</f>
        <v>2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IF(A40="","",INT(DAY(A40)/7)+1)</f>
        <v>2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IF(A41="","",INT(DAY(A41)/7)+1)</f>
        <v>2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IF(A42="","",INT(DAY(A42)/7)+1)</f>
        <v>2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IF(A43="","",INT(DAY(A43)/7)+1)</f>
        <v>2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IF(A44="","",INT(DAY(A44)/7)+1)</f>
        <v>2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IF(A45="","",INT(DAY(A45)/7)+1)</f>
        <v>2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IF(A46="","",INT(DAY(A46)/7)+1)</f>
        <v>2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IF(A47="","",INT(DAY(A47)/7)+1)</f>
        <v>2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IF(A48="","",INT(DAY(A48)/7)+1)</f>
        <v>2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IF(A49="","",INT(DAY(A49)/7)+1)</f>
        <v>2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IF(A50="","",INT(DAY(A50)/7)+1)</f>
        <v>2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IF(A51="","",INT(DAY(A51)/7)+1)</f>
        <v>2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IF(A52="","",INT(DAY(A52)/7)+1)</f>
        <v>2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IF(A53="","",INT(DAY(A53)/7)+1)</f>
        <v>2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IF(A54="","",INT(DAY(A54)/7)+1)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IF(A55="","",INT(DAY(A55)/7)+1)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IF(A56="","",INT(DAY(A56)/7)+1)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IF(A57="","",INT(DAY(A57)/7)+1)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IF(A58="","",INT(DAY(A58)/7)+1)</f>
        <v>3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IF(A59="","",INT(DAY(A59)/7)+1)</f>
        <v>3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IF(A60="","",INT(DAY(A60)/7)+1)</f>
        <v>3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IF(A61="","",INT(DAY(A61)/7)+1)</f>
        <v>3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IF(A62="","",INT(DAY(A62)/7)+1)</f>
        <v>3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IF(A63="","",INT(DAY(A63)/7)+1)</f>
        <v>3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IF(A64="","",INT(DAY(A64)/7)+1)</f>
        <v>3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IF(A65="","",INT(DAY(A65)/7)+1)</f>
        <v>3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IF(A66="","",INT(DAY(A66)/7)+1)</f>
        <v>3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IF(A67="","",INT(DAY(A67)/7)+1)</f>
        <v>3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IF(A68="","",INT(DAY(A68)/7)+1)</f>
        <v>3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IF(A69="","",INT(DAY(A69)/7)+1)</f>
        <v>3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IF(A70="","",INT(DAY(A70)/7)+1)</f>
        <v>3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IF(A71="","",INT(DAY(A71)/7)+1)</f>
        <v>3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IF(A72="","",INT(DAY(A72)/7)+1)</f>
        <v>3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IF(A73="","",INT(DAY(A73)/7)+1)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IF(A74="","",INT(DAY(A74)/7)+1)</f>
        <v>3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IF(A75="","",INT(DAY(A75)/7)+1)</f>
        <v>3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IF(A76="","",INT(DAY(A76)/7)+1)</f>
        <v>3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IF(A77="","",INT(DAY(A77)/7)+1)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IF(A78="","",INT(DAY(A78)/7)+1)</f>
        <v>4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IF(A79="","",INT(DAY(A79)/7)+1)</f>
        <v>4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IF(A80="","",INT(DAY(A80)/7)+1)</f>
        <v>4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IF(A81="","",INT(DAY(A81)/7)+1)</f>
        <v>4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IF(A82="","",INT(DAY(A82)/7)+1)</f>
        <v>4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IF(A83="","",INT(DAY(A83)/7)+1)</f>
        <v>4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IF(A84="","",INT(DAY(A84)/7)+1)</f>
        <v>4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IF(A85="","",INT(DAY(A85)/7)+1)</f>
        <v>4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IF(A86="","",INT(DAY(A86)/7)+1)</f>
        <v>4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IF(A87="","",INT(DAY(A87)/7)+1)</f>
        <v>4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IF(A88="","",INT(DAY(A88)/7)+1)</f>
        <v>4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IF(A89="","",INT(DAY(A89)/7)+1)</f>
        <v>4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IF(A90="","",INT(DAY(A90)/7)+1)</f>
        <v>4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IF(A91="","",INT(DAY(A91)/7)+1)</f>
        <v>4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IF(A92="","",INT(DAY(A92)/7)+1)</f>
        <v>4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IF(A93="","",INT(DAY(A93)/7)+1)</f>
        <v>4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IF(A94="","",INT(DAY(A94)/7)+1)</f>
        <v>4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IF(A95="","",INT(DAY(A95)/7)+1)</f>
        <v>4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IF(A96="","",INT(DAY(A96)/7)+1)</f>
        <v>4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IF(A97="","",INT(DAY(A97)/7)+1)</f>
        <v>4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IF(A98="","",INT(DAY(A98)/7)+1)</f>
        <v>4</v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IF(A99="","",INT(DAY(A99)/7)+1)</f>
        <v>4</v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IF(A100="","",INT(DAY(A100)/7)+1)</f>
        <v>4</v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IF(A101="","",INT(DAY(A101)/7)+1)</f>
        <v>5</v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IF(A102="","",INT(DAY(A102)/7)+1)</f>
        <v>5</v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IF(A103="","",INT(DAY(A103)/7)+1)</f>
        <v>5</v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IF(A104="","",INT(DAY(A104)/7)+1)</f>
        <v>5</v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IF(A105="","",INT(DAY(A105)/7)+1)</f>
        <v>5</v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IF(A106="","",INT(DAY(A106)/7)+1)</f>
        <v>5</v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IF(A107="","",INT(DAY(A107)/7)+1)</f>
        <v>5</v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IF(A108="","",INT(DAY(A108)/7)+1)</f>
        <v>5</v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IF(A109="","",INT(DAY(A109)/7)+1)</f>
        <v>5</v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IF(A110="","",INT(DAY(A110)/7)+1)</f>
        <v>5</v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IF(A111="","",INT(DAY(A111)/7)+1)</f>
        <v>5</v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IF(A112="","",INT(DAY(A112)/7)+1)</f>
        <v>5</v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IF(A113="","",INT(DAY(A113)/7)+1)</f>
        <v>5</v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IF(A114="","",INT(DAY(A114)/7)+1)</f>
        <v>5</v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IF(A115="","",INT(DAY(A115)/7)+1)</f>
        <v>5</v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IF(A116="","",INT(DAY(A116)/7)+1)</f>
        <v>5</v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IF(A117="","",INT(DAY(A117)/7)+1)</f>
        <v>5</v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IF(A118="","",INT(DAY(A118)/7)+1)</f>
        <v>5</v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amounts; expense reimbursements use negative amounts to reduce the original category.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3126.00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2841.18</v>
      </c>
      <c r="D6" s="5" t="inlineStr">
        <is>
          <t>Housing</t>
        </is>
      </c>
      <c r="E6" s="3">
        <f>SUMIFS($J$29:$J$528,$E$29:$E$528,$D6,$I$29:$I$528,"Expense")</f>
        <v>1100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>449.85</v>
      </c>
      <c r="J6" s="3">
        <f>SUMIFS($J$29:$J$528,$B$29:$B$528,1,$I$29:$I$528,"Income")</f>
        <v>0</v>
      </c>
      <c r="K6" s="3">
        <f>J6-I6</f>
        <v>-449.85</v>
      </c>
    </row>
    <row r="7">
      <c r="A7" s="5" t="inlineStr">
        <is>
          <t>Existing Savings</t>
        </is>
      </c>
      <c r="B7" s="3">
        <f>SUMIFS($J$29:$J$528,$I$29:$I$528,"Opening Balance")</f>
        <v>0</v>
      </c>
      <c r="D7" s="5" t="inlineStr">
        <is>
          <t>Utilities</t>
        </is>
      </c>
      <c r="E7" s="3">
        <f>SUMIFS($J$29:$J$528,$E$29:$E$528,$D7,$I$29:$I$528,"Expense")</f>
        <v>50.19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>462.90</v>
      </c>
      <c r="J7" s="3">
        <f>SUMIFS($J$29:$J$528,$B$29:$B$528,2,$I$29:$I$528,"Income")</f>
        <v>1548</v>
      </c>
      <c r="K7" s="3">
        <f>J7-I7</f>
        <v>1085.10</v>
      </c>
    </row>
    <row r="8">
      <c r="A8" s="5" t="inlineStr">
        <is>
          <t>Transfers</t>
        </is>
      </c>
      <c r="B8" s="3">
        <f>SUMIFS($J$29:$J$528,$I$29:$I$528,"Transfer")</f>
        <v>106.00</v>
      </c>
      <c r="D8" s="5" t="inlineStr">
        <is>
          <t>Groceries</t>
        </is>
      </c>
      <c r="E8" s="3">
        <f>SUMIFS($J$29:$J$528,$E$29:$E$528,$D8,$I$29:$I$528,"Expense")</f>
        <v>264.75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>122.99</v>
      </c>
      <c r="J8" s="3">
        <f>SUMIFS($J$29:$J$528,$B$29:$B$528,3,$I$29:$I$528,"Income")</f>
        <v>30.00</v>
      </c>
      <c r="K8" s="3">
        <f>J8-I8</f>
        <v>-92.99</v>
      </c>
    </row>
    <row r="9">
      <c r="A9" s="5" t="inlineStr">
        <is>
          <t>Net Cash Flow</t>
        </is>
      </c>
      <c r="B9" s="3">
        <f>B5-B6</f>
        <v>284.82</v>
      </c>
      <c r="D9" s="5" t="inlineStr">
        <is>
          <t>Dining</t>
        </is>
      </c>
      <c r="E9" s="3">
        <f>SUMIFS($J$29:$J$528,$E$29:$E$528,$D9,$I$29:$I$528,"Expense")</f>
        <v>567.13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>396.47</v>
      </c>
      <c r="J9" s="3">
        <f>SUMIFS($J$29:$J$528,$B$29:$B$528,4,$I$29:$I$528,"Income")</f>
        <v>0</v>
      </c>
      <c r="K9" s="3">
        <f>J9-I9</f>
        <v>-396.47</v>
      </c>
    </row>
    <row r="10">
      <c r="A10" s="5" t="inlineStr">
        <is>
          <t>Current Balance</t>
        </is>
      </c>
      <c r="B10" s="3">
        <v>9127.06</v>
      </c>
      <c r="D10" s="5" t="inlineStr">
        <is>
          <t>Transportation</t>
        </is>
      </c>
      <c r="E10" s="3">
        <f>SUMIFS($J$29:$J$528,$E$29:$E$528,$D10,$I$29:$I$528,"Expense")</f>
        <v>152.65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>308.97</v>
      </c>
      <c r="J10" s="3">
        <f>SUMIFS($J$29:$J$528,$B$29:$B$528,5,$I$29:$I$528,"Income")</f>
        <v>1548.00</v>
      </c>
      <c r="K10" s="3">
        <f>J10-I10</f>
        <v>1239.03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  <c r="H11" s="5" t="inlineStr">
        <is>
          <t>Monthly Net</t>
        </is>
      </c>
      <c r="I11" s="3">
        <f>B6</f>
        <v>2841.18</v>
      </c>
      <c r="J11" s="3">
        <f>B5</f>
        <v>3126.00</v>
      </c>
      <c r="K11" s="3">
        <f>J11-I11</f>
        <v>284.82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  <c r="H12" s="5" t="inlineStr">
        <is>
          <t>Includes rent</t>
        </is>
      </c>
    </row>
    <row r="13">
      <c r="A13" t="inlineStr" s="1">
        <is>
          <t>Venmo/Zelle Alcohol Settlement</t>
        </is>
      </c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A14" t="inlineStr">
        <is>
          <t>Paid (+ expense)</t>
        </is>
      </c>
      <c r="B14" s="3">
        <f>SUMIFS($J$29:$J$528,$F$29:$F$528,"Alcohol settlement",$I$29:$I$528,"Expense",$J$29:$J$528,"&gt;0")</f>
        <v>46.36</v>
      </c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A15" t="inlineStr">
        <is>
          <t>Received (- expense)</t>
        </is>
      </c>
      <c r="B15" s="3">
        <f>SUMIFS($J$29:$J$528,$F$29:$F$528,"Alcohol settlement",$I$29:$I$528,"Expense",$J$29:$J$528,"&lt;0")</f>
        <v>-44</v>
      </c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A16" t="inlineStr">
        <is>
          <t>Net Alcohol Expense</t>
        </is>
      </c>
      <c r="B16" s="3">
        <f>SUM(B14:B15)</f>
        <v>2.36</v>
      </c>
      <c r="D16" s="5" t="inlineStr">
        <is>
          <t>Shopping</t>
        </is>
      </c>
      <c r="E16" s="3">
        <f>SUMIFS($J$29:$J$528,$E$29:$E$528,$D16,$I$29:$I$528,"Expense")</f>
        <v>395.68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210.77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100.01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3126.00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0.00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IF(A29="","",INT(DAY(A29)/7)+1)</f>
        <v>1</v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IF(A30="","",INT(DAY(A30)/7)+1)</f>
        <v>1</v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IF(A31="","",INT(DAY(A31)/7)+1)</f>
        <v>1</v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IF(A32="","",INT(DAY(A32)/7)+1)</f>
        <v>1</v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IF(A33="","",INT(DAY(A33)/7)+1)</f>
        <v>1</v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IF(A34="","",INT(DAY(A34)/7)+1)</f>
        <v>1</v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IF(A35="","",INT(DAY(A35)/7)+1)</f>
        <v>1</v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IF(A36="","",INT(DAY(A36)/7)+1)</f>
        <v>1</v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IF(A37="","",INT(DAY(A37)/7)+1)</f>
        <v>1</v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IF(A38="","",INT(DAY(A38)/7)+1)</f>
        <v>1</v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IF(A39="","",INT(DAY(A39)/7)+1)</f>
        <v>1</v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IF(A40="","",INT(DAY(A40)/7)+1)</f>
        <v>1</v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IF(A41="","",INT(DAY(A41)/7)+1)</f>
        <v>1</v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IF(A42="","",INT(DAY(A42)/7)+1)</f>
        <v>1</v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IF(A43="","",INT(DAY(A43)/7)+1)</f>
        <v>1</v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IF(A44="","",INT(DAY(A44)/7)+1)</f>
        <v>1</v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IF(A45="","",INT(DAY(A45)/7)+1)</f>
        <v>1</v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IF(A46="","",INT(DAY(A46)/7)+1)</f>
        <v>1</v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>
        <v>46269</v>
      </c>
      <c r="B47" s="9">
        <f>IF(A47="","",INT(DAY(A47)/7)+1)</f>
        <v>1</v>
      </c>
      <c r="C47" s="9" t="inlineStr">
        <is>
          <t>TRADER JOE S #54 445 G NEW YORK NY 054905 09/04 (...0119)</t>
        </is>
      </c>
      <c r="D47" s="9" t="inlineStr">
        <is>
          <t>Trader Joe's</t>
        </is>
      </c>
      <c r="E47" s="9" t="inlineStr">
        <is>
          <t>Groceries</t>
        </is>
      </c>
      <c r="F47" s="9" t="inlineStr">
        <is>
          <t>Groceries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27.56</v>
      </c>
      <c r="K47" s="9" t="inlineStr">
        <is>
          <t>9월 1주차; Chase Secure (...0119); Balance shown: $7,431.86</t>
        </is>
      </c>
    </row>
    <row r="48">
      <c r="A48" s="4">
        <v>46269</v>
      </c>
      <c r="B48" s="9">
        <f>IF(A48="","",INT(DAY(A48)/7)+1)</f>
        <v>1</v>
      </c>
      <c r="C48" s="9" t="inlineStr">
        <is>
          <t>MTA*NYCT PAYGO NEW YORK NY 09/03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</v>
      </c>
      <c r="K48" s="9" t="inlineStr">
        <is>
          <t>9월 1주차; Chase Secure (...0119); Balance shown: $7,459.42</t>
        </is>
      </c>
    </row>
    <row r="49">
      <c r="A49" s="4">
        <v>46269</v>
      </c>
      <c r="B49" s="9">
        <f>IF(A49="","",INT(DAY(A49)/7)+1)</f>
        <v>1</v>
      </c>
      <c r="C49" s="9" t="inlineStr">
        <is>
          <t>MTA*NYCT PAYGO NEW YORK NY 09/03 (...0119)</t>
        </is>
      </c>
      <c r="D49" s="9" t="inlineStr">
        <is>
          <t>MTA NYCT Paygo</t>
        </is>
      </c>
      <c r="E49" s="9" t="inlineStr">
        <is>
          <t>Transportation</t>
        </is>
      </c>
      <c r="F49" s="9" t="inlineStr">
        <is>
          <t>Public transit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</v>
      </c>
      <c r="K49" s="9" t="inlineStr">
        <is>
          <t>9월 1주차; Chase Secure (...0119); Balance shown: $7,462.42</t>
        </is>
      </c>
    </row>
    <row r="50">
      <c r="A50" s="4">
        <v>46273</v>
      </c>
      <c r="B50" s="9">
        <f>IF(A50="","",INT(DAY(A50)/7)+1)</f>
        <v>2</v>
      </c>
      <c r="C50" s="9" t="inlineStr">
        <is>
          <t>SEATGEEK TICKETS SEATGEEK.COM NY 09/08 (...0119)</t>
        </is>
      </c>
      <c r="D50" s="9" t="inlineStr">
        <is>
          <t>SeatGeek</t>
        </is>
      </c>
      <c r="E50" s="9" t="inlineStr">
        <is>
          <t>Entertainment</t>
        </is>
      </c>
      <c r="F50" s="9" t="inlineStr">
        <is>
          <t>Tickets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52.64</v>
      </c>
      <c r="K50" s="9" t="inlineStr">
        <is>
          <t>9월 2주차; Chase Secure (...0119); Balance shown: $7,204.77; Actual card charge $158.64 for 3 tickets, $106 reimbursed via Venmo; amount entered as own share for summaries</t>
        </is>
      </c>
    </row>
    <row r="51">
      <c r="A51" s="4">
        <v>46272</v>
      </c>
      <c r="B51" s="9">
        <f>IF(A51="","",INT(DAY(A51)/7)+1)</f>
        <v>2</v>
      </c>
      <c r="C51" s="9" t="inlineStr">
        <is>
          <t>H MART NEW YORK NY 09/07 (...0119)</t>
        </is>
      </c>
      <c r="D51" s="9" t="inlineStr">
        <is>
          <t>H Mart</t>
        </is>
      </c>
      <c r="E51" s="9" t="inlineStr">
        <is>
          <t>Groceries</t>
        </is>
      </c>
      <c r="F51" s="9" t="inlineStr">
        <is>
          <t>Groceries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34.98</v>
      </c>
      <c r="K51" s="9" t="inlineStr">
        <is>
          <t>9월 2주차; Chase Secure (...0119); Posted 2026-09-08; Balance shown: $7,363.41</t>
        </is>
      </c>
    </row>
    <row r="52">
      <c r="A52" s="4">
        <v>46271</v>
      </c>
      <c r="B52" s="9">
        <f>IF(A52="","",INT(DAY(A52)/7)+1)</f>
        <v>1</v>
      </c>
      <c r="C52" s="9" t="inlineStr">
        <is>
          <t>OPENAI *CHATGPT SUBSCR OPENAI.COM CA 09/06 (...0119)</t>
        </is>
      </c>
      <c r="D52" s="9" t="inlineStr">
        <is>
          <t>OpenAI ChatGPT</t>
        </is>
      </c>
      <c r="E52" s="9" t="inlineStr">
        <is>
          <t>Education</t>
        </is>
      </c>
      <c r="F52" s="9" t="inlineStr">
        <is>
          <t>Software subscription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100.01</v>
      </c>
      <c r="K52" s="9" t="inlineStr">
        <is>
          <t>9월 1주차; Chase Secure (...0119); Posted 2026-09-08; Balance shown: $7,398.39</t>
        </is>
      </c>
    </row>
    <row r="53">
      <c r="A53" s="4">
        <v>46269</v>
      </c>
      <c r="B53" s="9">
        <f>IF(A53="","",INT(DAY(A53)/7)+1)</f>
        <v>1</v>
      </c>
      <c r="C53" s="9" t="inlineStr">
        <is>
          <t>H MART NEW YORK NY 09/04 (...0119)</t>
        </is>
      </c>
      <c r="D53" s="9" t="inlineStr">
        <is>
          <t>H Mart</t>
        </is>
      </c>
      <c r="E53" s="9" t="inlineStr">
        <is>
          <t>Groceries</t>
        </is>
      </c>
      <c r="F53" s="9" t="inlineStr">
        <is>
          <t>Groceries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34.46</v>
      </c>
      <c r="K53" s="9" t="inlineStr">
        <is>
          <t>9월 1주차; Chase Secure (...0119); Posted 2026-09-08; Balance shown: $7,498.40</t>
        </is>
      </c>
    </row>
    <row r="54">
      <c r="A54" s="4">
        <v>46269</v>
      </c>
      <c r="B54" s="9">
        <f>IF(A54="","",INT(DAY(A54)/7)+1)</f>
        <v>1</v>
      </c>
      <c r="C54" s="9" t="inlineStr">
        <is>
          <t>MTA*NYCT PAYGO NEW YORK NY 09/04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</v>
      </c>
      <c r="K54" s="9" t="inlineStr">
        <is>
          <t>9월 1주차; Chase Secure (...0119); Posted 2026-09-08; Balance shown: $7,532.86</t>
        </is>
      </c>
    </row>
    <row r="55">
      <c r="A55" s="4">
        <v>46269</v>
      </c>
      <c r="B55" s="9">
        <f>IF(A55="","",INT(DAY(A55)/7)+1)</f>
        <v>1</v>
      </c>
      <c r="C55" s="9" t="inlineStr">
        <is>
          <t>MTA*NYCT PAYGO NEW YORK NY 09/04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</v>
      </c>
      <c r="K55" s="9" t="inlineStr">
        <is>
          <t>9월 1주차; Chase Secure (...0119); Posted 2026-09-08; Balance shown: $7,534.86</t>
        </is>
      </c>
    </row>
    <row r="56">
      <c r="A56" s="4">
        <v>46273</v>
      </c>
      <c r="B56" s="9">
        <f>IF(A56="","",INT(DAY(A56)/7)+1)</f>
        <v>2</v>
      </c>
      <c r="C56" s="9" t="inlineStr">
        <is>
          <t>VENMO CASHOUT PPD ID: 5264681992</t>
        </is>
      </c>
      <c r="D56" s="9" t="inlineStr">
        <is>
          <t>Venmo</t>
        </is>
      </c>
      <c r="E56" s="9" t="inlineStr">
        <is>
          <t>Transfers</t>
        </is>
      </c>
      <c r="F56" s="9" t="inlineStr">
        <is>
          <t>Reimbursement</t>
        </is>
      </c>
      <c r="G56" s="9" t="inlineStr">
        <is>
          <t>Checking</t>
        </is>
      </c>
      <c r="H56" s="9" t="inlineStr">
        <is>
          <t>ACH</t>
        </is>
      </c>
      <c r="I56" s="9" t="inlineStr">
        <is>
          <t>Transfer</t>
        </is>
      </c>
      <c r="J56" s="3">
        <v>106</v>
      </c>
      <c r="K56" s="9" t="inlineStr">
        <is>
          <t>9월 2주차; Chase Secure (...0119); Balance shown: $7,537.86; Reimbursement for 2 of 3 SeatGeek tickets; excluded from income/expense summary</t>
        </is>
      </c>
    </row>
    <row r="57">
      <c r="A57" s="4" t="n">
        <v>46273</v>
      </c>
      <c r="B57" s="9">
        <f>IF(A57="","",INT(DAY(A57)/7)+1)</f>
        <v>2</v>
      </c>
      <c r="C57" s="9" t="inlineStr">
        <is>
          <t>MTA*NYCT PAYGO NEW YORK NY 09/08 (...0119)</t>
        </is>
      </c>
      <c r="D57" s="9" t="inlineStr">
        <is>
          <t>MTA NYCT Paygo</t>
        </is>
      </c>
      <c r="E57" s="9" t="inlineStr">
        <is>
          <t>Transportation</t>
        </is>
      </c>
      <c r="F57" s="9" t="inlineStr">
        <is>
          <t>Public transit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3</v>
      </c>
      <c r="K57" s="9" t="inlineStr">
        <is>
          <t>9월 2주차; Chase Secure (...0119); Posted 2026-09-09; Balance shown: $7,182.48</t>
        </is>
      </c>
    </row>
    <row r="58">
      <c r="A58" s="4" t="n">
        <v>46273</v>
      </c>
      <c r="B58" s="9">
        <f>IF(A58="","",INT(DAY(A58)/7)+1)</f>
        <v>2</v>
      </c>
      <c r="C58" s="9" t="inlineStr">
        <is>
          <t>SQ *SUPREME NY PIZZA I BROOKLYN NY 09/08 (...0119)</t>
        </is>
      </c>
      <c r="D58" s="9" t="inlineStr">
        <is>
          <t>Supreme NY Pizza</t>
        </is>
      </c>
      <c r="E58" s="9" t="inlineStr">
        <is>
          <t>Dining</t>
        </is>
      </c>
      <c r="F58" s="9" t="inlineStr">
        <is>
          <t>Restaurant/Pizza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3.39</v>
      </c>
      <c r="K58" s="9" t="inlineStr">
        <is>
          <t>9월 2주차; Chase Secure (...0119); Posted 2026-09-09; Balance shown: $7,185.48</t>
        </is>
      </c>
    </row>
    <row r="59">
      <c r="A59" s="4" t="n">
        <v>46273</v>
      </c>
      <c r="B59" s="9">
        <f>IF(A59="","",INT(DAY(A59)/7)+1)</f>
        <v>2</v>
      </c>
      <c r="C59" s="9" t="inlineStr">
        <is>
          <t>FIVE GUYS NY 1258 QSR BROOKLYN NY 09/08 (...0119)</t>
        </is>
      </c>
      <c r="D59" s="9" t="inlineStr">
        <is>
          <t>Five Guys</t>
        </is>
      </c>
      <c r="E59" s="9" t="inlineStr">
        <is>
          <t>Dining</t>
        </is>
      </c>
      <c r="F59" s="9" t="inlineStr">
        <is>
          <t>Fast food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12.90</v>
      </c>
      <c r="K59" s="9" t="inlineStr">
        <is>
          <t>9월 2주차; Chase Secure (...0119); Posted 2026-09-09; Balance shown: $7,188.87</t>
        </is>
      </c>
    </row>
    <row r="60">
      <c r="A60" s="4" t="n">
        <v>46273</v>
      </c>
      <c r="B60" s="9">
        <f>IF(A60="","",INT(DAY(A60)/7)+1)</f>
        <v>2</v>
      </c>
      <c r="C60" s="9" t="inlineStr">
        <is>
          <t>MTA*NYCT PAYGO NEW YORK NY 09/08 (...0119)</t>
        </is>
      </c>
      <c r="D60" s="9" t="inlineStr">
        <is>
          <t>MTA NYCT Paygo</t>
        </is>
      </c>
      <c r="E60" s="9" t="inlineStr">
        <is>
          <t>Transportation</t>
        </is>
      </c>
      <c r="F60" s="9" t="inlineStr">
        <is>
          <t>Public transit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3</v>
      </c>
      <c r="K60" s="9" t="inlineStr">
        <is>
          <t>9월 2주차; Chase Secure (...0119); Posted 2026-09-09; Balance shown: $7,201.77</t>
        </is>
      </c>
    </row>
    <row r="61">
      <c r="A61" s="4" t="n">
        <v>46275</v>
      </c>
      <c r="B61" s="9">
        <f>IF(A61="","",INT(DAY(A61)/7)+1)</f>
        <v>2</v>
      </c>
      <c r="C61" s="9" t="inlineStr">
        <is>
          <t>MTA*NYCT PAYGO NEW YORK NY 09/10 (...0119)</t>
        </is>
      </c>
      <c r="D61" s="9" t="inlineStr">
        <is>
          <t>MTA NYCT Paygo</t>
        </is>
      </c>
      <c r="E61" s="9" t="inlineStr">
        <is>
          <t>Transportation</t>
        </is>
      </c>
      <c r="F61" s="9" t="inlineStr">
        <is>
          <t>Public transit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3</v>
      </c>
      <c r="K61" s="9" t="inlineStr">
        <is>
          <t>9월 2주차; Chase Secure (...0119); Posted 2026-09-11; Balance shown: $8,560.07</t>
        </is>
      </c>
    </row>
    <row r="62">
      <c r="A62" s="4" t="n">
        <v>46275</v>
      </c>
      <c r="B62" s="9">
        <f>IF(A62="","",INT(DAY(A62)/7)+1)</f>
        <v>2</v>
      </c>
      <c r="C62" s="9" t="inlineStr">
        <is>
          <t>JD 1193 BROOKLYN NY 09/10 (...0119)</t>
        </is>
      </c>
      <c r="D62" s="9" t="inlineStr">
        <is>
          <t>JD 1193</t>
        </is>
      </c>
      <c r="E62" s="9" t="inlineStr">
        <is>
          <t>Shopping</t>
        </is>
      </c>
      <c r="F62" s="9" t="inlineStr">
        <is>
          <t>Retail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65</v>
      </c>
      <c r="K62" s="9" t="inlineStr">
        <is>
          <t>9월 2주차; Chase Secure (...0119); Posted 2026-09-11; Balance shown: $8,563.07</t>
        </is>
      </c>
    </row>
    <row r="63">
      <c r="A63" s="4" t="n">
        <v>46275</v>
      </c>
      <c r="B63" s="9">
        <f>IF(A63="","",INT(DAY(A63)/7)+1)</f>
        <v>2</v>
      </c>
      <c r="C63" s="9" t="inlineStr">
        <is>
          <t>MTA*NYCT PAYGO NEW YORK NY 09/10 (...0119)</t>
        </is>
      </c>
      <c r="D63" s="9" t="inlineStr">
        <is>
          <t>MTA NYCT Paygo</t>
        </is>
      </c>
      <c r="E63" s="9" t="inlineStr">
        <is>
          <t>Transportation</t>
        </is>
      </c>
      <c r="F63" s="9" t="inlineStr">
        <is>
          <t>Public transit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3</v>
      </c>
      <c r="K63" s="9" t="inlineStr">
        <is>
          <t>9월 2주차; Chase Secure (...0119); Posted 2026-09-11; Balance shown: $8,628.07</t>
        </is>
      </c>
    </row>
    <row r="64">
      <c r="A64" s="4" t="n">
        <v>46276</v>
      </c>
      <c r="B64" s="9">
        <f>IF(A64="","",INT(DAY(A64)/7)+1)</f>
        <v>2</v>
      </c>
      <c r="C64" s="9" t="inlineStr">
        <is>
          <t>NEW YORK UNIVERS DIRECT DEP PPD ID: 5135562308</t>
        </is>
      </c>
      <c r="D64" s="9" t="inlineStr">
        <is>
          <t>New York University</t>
        </is>
      </c>
      <c r="E64" s="9" t="inlineStr">
        <is>
          <t>Income</t>
        </is>
      </c>
      <c r="F64" s="9" t="inlineStr">
        <is>
          <t>Direct deposit</t>
        </is>
      </c>
      <c r="G64" s="9" t="inlineStr">
        <is>
          <t>Checking</t>
        </is>
      </c>
      <c r="H64" s="9" t="inlineStr">
        <is>
          <t>ACH credit</t>
        </is>
      </c>
      <c r="I64" s="9" t="inlineStr">
        <is>
          <t>Income</t>
        </is>
      </c>
      <c r="J64" s="3" t="n">
        <v>1548</v>
      </c>
      <c r="K64" s="9" t="inlineStr">
        <is>
          <t>9월 2주차; Posted 2026-09-11; Balance shown: $8,631.07</t>
        </is>
      </c>
    </row>
    <row r="65">
      <c r="A65" s="4" t="n">
        <v>46275</v>
      </c>
      <c r="B65" s="9">
        <f>IF(A65="","",INT(DAY(A65)/7)+1)</f>
        <v>2</v>
      </c>
      <c r="C65" s="9" t="inlineStr">
        <is>
          <t>TRADER JOE S #54 445 G NEW YORK NY 439864 09/10 (...0119)</t>
        </is>
      </c>
      <c r="D65" s="9" t="inlineStr">
        <is>
          <t>Trader Joe's</t>
        </is>
      </c>
      <c r="E65" s="9" t="inlineStr">
        <is>
          <t>Groceries</t>
        </is>
      </c>
      <c r="F65" s="9" t="inlineStr">
        <is>
          <t>Groceries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41.06</v>
      </c>
      <c r="K65" s="9" t="inlineStr">
        <is>
          <t>9월 2주차; Chase Secure (...0119); Posted 2026-09-10; Balance shown: $7,083.07</t>
        </is>
      </c>
    </row>
    <row r="66">
      <c r="A66" s="4" t="n">
        <v>46275</v>
      </c>
      <c r="B66" s="9">
        <f>IF(A66="","",INT(DAY(A66)/7)+1)</f>
        <v>2</v>
      </c>
      <c r="C66" s="9" t="inlineStr">
        <is>
          <t>JACKPOT DEALS BROOKLYN NY 432849 09/10 (...0119)</t>
        </is>
      </c>
      <c r="D66" s="9" t="inlineStr">
        <is>
          <t>Jackpot Deals</t>
        </is>
      </c>
      <c r="E66" s="9" t="inlineStr">
        <is>
          <t>Shopping</t>
        </is>
      </c>
      <c r="F66" s="9" t="inlineStr">
        <is>
          <t>Retail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4.59</v>
      </c>
      <c r="K66" s="9" t="inlineStr">
        <is>
          <t>9월 2주차; Chase Secure (...0119); Posted 2026-09-10; Balance shown: $7,124.13</t>
        </is>
      </c>
    </row>
    <row r="67">
      <c r="A67" s="4" t="n">
        <v>46274</v>
      </c>
      <c r="B67" s="9">
        <f>IF(A67="","",INT(DAY(A67)/7)+1)</f>
        <v>2</v>
      </c>
      <c r="C67" s="9" t="inlineStr">
        <is>
          <t>FOOD UNIVERSE # 1908 NEW YORK NY 09/09 (...0119)</t>
        </is>
      </c>
      <c r="D67" s="9" t="inlineStr">
        <is>
          <t>Food Universe</t>
        </is>
      </c>
      <c r="E67" s="9" t="inlineStr">
        <is>
          <t>Groceries</t>
        </is>
      </c>
      <c r="F67" s="9" t="inlineStr">
        <is>
          <t>Groceries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3.57</v>
      </c>
      <c r="K67" s="9" t="inlineStr">
        <is>
          <t>9월 2주차; Chase Secure (...0119); Posted 2026-09-10; Balance shown: $7,128.72</t>
        </is>
      </c>
    </row>
    <row r="68">
      <c r="A68" s="4" t="n">
        <v>46274</v>
      </c>
      <c r="B68" s="9">
        <f>IF(A68="","",INT(DAY(A68)/7)+1)</f>
        <v>2</v>
      </c>
      <c r="C68" s="9" t="inlineStr">
        <is>
          <t>TMOBILE*PREPD AUTOPY 877-778-2106 WA 09/09 (...0119)</t>
        </is>
      </c>
      <c r="D68" s="9" t="inlineStr">
        <is>
          <t>T-Mobile</t>
        </is>
      </c>
      <c r="E68" s="9" t="inlineStr">
        <is>
          <t>Utilities</t>
        </is>
      </c>
      <c r="F68" s="9" t="inlineStr">
        <is>
          <t>Mobile phone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50.19</v>
      </c>
      <c r="K68" s="9" t="inlineStr">
        <is>
          <t>9월 2주차; Chase Secure (...0119); Posted 2026-09-10; Balance shown: $7,132.29</t>
        </is>
      </c>
    </row>
    <row r="69">
      <c r="A69" s="4">
        <v>46278</v>
      </c>
      <c r="B69" s="9">
        <f>IF(A69="","",INT(DAY(A69)/7)+1)</f>
        <v>2</v>
      </c>
      <c r="C69" s="9" t="inlineStr">
        <is>
          <t>MTA*NYCT PAYGO NEW YORK NY 09/13 (...0119)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>
        <v>3.00</v>
      </c>
      <c r="K69" s="9" t="inlineStr">
        <is>
          <t>9월 2주차; Chase Secure (...0119); Posted 2026-09-14; Balance shown: $8,407.49</t>
        </is>
      </c>
    </row>
    <row r="70">
      <c r="A70" s="4">
        <v>46278</v>
      </c>
      <c r="B70" s="9">
        <f>IF(A70="","",INT(DAY(A70)/7)+1)</f>
        <v>2</v>
      </c>
      <c r="C70" s="9" t="inlineStr">
        <is>
          <t>H MART NEW YORK NY 09/13 (...0119)</t>
        </is>
      </c>
      <c r="D70" s="9" t="inlineStr">
        <is>
          <t>H Mart</t>
        </is>
      </c>
      <c r="E70" s="9" t="inlineStr">
        <is>
          <t>Groceries</t>
        </is>
      </c>
      <c r="F70" s="9" t="inlineStr">
        <is>
          <t>Groceries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>
        <v>21.59</v>
      </c>
      <c r="K70" s="9" t="inlineStr">
        <is>
          <t>9월 2주차; Chase Secure (...0119); Posted 2026-09-14; Balance shown: $8,410.49</t>
        </is>
      </c>
    </row>
    <row r="71">
      <c r="A71" s="4">
        <v>46278</v>
      </c>
      <c r="B71" s="9">
        <f>IF(A71="","",INT(DAY(A71)/7)+1)</f>
        <v>2</v>
      </c>
      <c r="C71" s="9" t="inlineStr">
        <is>
          <t>MTA*NYCT PAYGO NEW YORK NY 09/13 (...0119)</t>
        </is>
      </c>
      <c r="D71" s="9" t="inlineStr">
        <is>
          <t>MTA NYCT Paygo</t>
        </is>
      </c>
      <c r="E71" s="9" t="inlineStr">
        <is>
          <t>Transportation</t>
        </is>
      </c>
      <c r="F71" s="9" t="inlineStr">
        <is>
          <t>Public transit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>
        <v>3.00</v>
      </c>
      <c r="K71" s="9" t="inlineStr">
        <is>
          <t>9월 2주차; Chase Secure (...0119); Posted 2026-09-14; Balance shown: $8,432.08</t>
        </is>
      </c>
    </row>
    <row r="72">
      <c r="A72" s="4">
        <v>46278</v>
      </c>
      <c r="B72" s="9">
        <f>IF(A72="","",INT(DAY(A72)/7)+1)</f>
        <v>2</v>
      </c>
      <c r="C72" s="9" t="inlineStr">
        <is>
          <t>MTA*NYCT PAYGO NEW YORK NY 09/13 (...0119)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>
        <v>3.00</v>
      </c>
      <c r="K72" s="9" t="inlineStr">
        <is>
          <t>9월 2주차; Chase Secure (...0119); Posted 2026-09-14; Balance shown: $8,435.08</t>
        </is>
      </c>
    </row>
    <row r="73">
      <c r="A73" s="4">
        <v>46277</v>
      </c>
      <c r="B73" s="9">
        <f>IF(A73="","",INT(DAY(A73)/7)+1)</f>
        <v>2</v>
      </c>
      <c r="C73" s="9" t="inlineStr">
        <is>
          <t>MTA*NYCT PAYGO NEW YORK NY 09/12 (...0119)</t>
        </is>
      </c>
      <c r="D73" s="9" t="inlineStr">
        <is>
          <t>MTA NYCT Paygo</t>
        </is>
      </c>
      <c r="E73" s="9" t="inlineStr">
        <is>
          <t>Transportation</t>
        </is>
      </c>
      <c r="F73" s="9" t="inlineStr">
        <is>
          <t>Public transit</t>
        </is>
      </c>
      <c r="G73" s="9" t="inlineStr">
        <is>
          <t>Checking</t>
        </is>
      </c>
      <c r="H73" s="9" t="inlineStr">
        <is>
          <t>Debit Card</t>
        </is>
      </c>
      <c r="I73" s="9" t="inlineStr">
        <is>
          <t>Expense</t>
        </is>
      </c>
      <c r="J73" s="3">
        <v>3.00</v>
      </c>
      <c r="K73" s="9" t="inlineStr">
        <is>
          <t>9월 2주차; Chase Secure (...0119); Posted 2026-09-14; Balance shown: $8,438.08</t>
        </is>
      </c>
    </row>
    <row r="74">
      <c r="A74" s="4">
        <v>46277</v>
      </c>
      <c r="B74" s="9">
        <f>IF(A74="","",INT(DAY(A74)/7)+1)</f>
        <v>2</v>
      </c>
      <c r="C74" s="9" t="inlineStr">
        <is>
          <t>MTA*NYCT PAYGO NEW YORK NY 09/12 (...0119)</t>
        </is>
      </c>
      <c r="D74" s="9" t="inlineStr">
        <is>
          <t>MTA NYCT Paygo</t>
        </is>
      </c>
      <c r="E74" s="9" t="inlineStr">
        <is>
          <t>Transportation</t>
        </is>
      </c>
      <c r="F74" s="9" t="inlineStr">
        <is>
          <t>Public transit</t>
        </is>
      </c>
      <c r="G74" s="9" t="inlineStr">
        <is>
          <t>Checking</t>
        </is>
      </c>
      <c r="H74" s="9" t="inlineStr">
        <is>
          <t>Debit Card</t>
        </is>
      </c>
      <c r="I74" s="9" t="inlineStr">
        <is>
          <t>Expense</t>
        </is>
      </c>
      <c r="J74" s="3">
        <v>3.00</v>
      </c>
      <c r="K74" s="9" t="inlineStr">
        <is>
          <t>9월 2주차; Chase Secure (...0119); Posted 2026-09-14; Balance shown: $8,441.08</t>
        </is>
      </c>
    </row>
    <row r="75">
      <c r="A75" s="4">
        <v>46276</v>
      </c>
      <c r="B75" s="9">
        <f>IF(A75="","",INT(DAY(A75)/7)+1)</f>
        <v>2</v>
      </c>
      <c r="C75" s="9" t="inlineStr">
        <is>
          <t>FOOD UNIVERSE # 1908 NEW YORK NY 09/11 (...0119)</t>
        </is>
      </c>
      <c r="D75" s="9" t="inlineStr">
        <is>
          <t>Food Universe</t>
        </is>
      </c>
      <c r="E75" s="9" t="inlineStr">
        <is>
          <t>Groceries</t>
        </is>
      </c>
      <c r="F75" s="9" t="inlineStr">
        <is>
          <t>Groceries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>
        <v>4.11</v>
      </c>
      <c r="K75" s="9" t="inlineStr">
        <is>
          <t>9월 2주차; Chase Secure (...0119); Posted 2026-09-14; Balance shown: $8,444.08</t>
        </is>
      </c>
    </row>
    <row r="76">
      <c r="A76" s="4">
        <v>46277</v>
      </c>
      <c r="B76" s="9">
        <f>IF(A76="","",INT(DAY(A76)/7)+1)</f>
        <v>2</v>
      </c>
      <c r="C76" s="9" t="inlineStr">
        <is>
          <t>APPLE.COM/BILL 866-712-7753 CA 09/12 (...0119)</t>
        </is>
      </c>
      <c r="D76" s="9" t="inlineStr">
        <is>
          <t>Apple</t>
        </is>
      </c>
      <c r="E76" s="9" t="inlineStr">
        <is>
          <t>Shopping</t>
        </is>
      </c>
      <c r="F76" s="9" t="inlineStr">
        <is>
          <t>Digital purchase (unspecified)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>
        <v>2.99</v>
      </c>
      <c r="K76" s="9" t="inlineStr">
        <is>
          <t>9월 2주차; Chase Secure (...0119); Posted 2026-09-14; Balance shown: $8,448.19</t>
        </is>
      </c>
    </row>
    <row r="77">
      <c r="A77" s="4">
        <v>46277</v>
      </c>
      <c r="B77" s="9">
        <f>IF(A77="","",INT(DAY(A77)/7)+1)</f>
        <v>2</v>
      </c>
      <c r="C77" s="9" t="inlineStr">
        <is>
          <t>Amazon.com*5L08W22J1 Amzn.com/bill WA 09/12 (...0119)</t>
        </is>
      </c>
      <c r="D77" s="9" t="inlineStr">
        <is>
          <t>Amazon</t>
        </is>
      </c>
      <c r="E77" s="9" t="inlineStr">
        <is>
          <t>Shopping</t>
        </is>
      </c>
      <c r="F77" s="9" t="inlineStr">
        <is>
          <t>Retail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>
        <v>5.43</v>
      </c>
      <c r="K77" s="9" t="inlineStr">
        <is>
          <t>9월 2주차; Chase Secure (...0119); Posted 2026-09-14; Balance shown: $8,451.18</t>
        </is>
      </c>
    </row>
    <row r="78">
      <c r="A78" s="4">
        <v>46277</v>
      </c>
      <c r="B78" s="9">
        <f>IF(A78="","",INT(DAY(A78)/7)+1)</f>
        <v>2</v>
      </c>
      <c r="C78" s="9" t="inlineStr">
        <is>
          <t>GREAT ADVENTURE ONLIN 817-607-6121 NJ 09/12 (...0119)</t>
        </is>
      </c>
      <c r="D78" s="9" t="inlineStr">
        <is>
          <t>Great Adventure</t>
        </is>
      </c>
      <c r="E78" s="9" t="inlineStr">
        <is>
          <t>Entertainment</t>
        </is>
      </c>
      <c r="F78" s="9" t="inlineStr">
        <is>
          <t>Tickets</t>
        </is>
      </c>
      <c r="G78" s="9" t="inlineStr">
        <is>
          <t>Checking</t>
        </is>
      </c>
      <c r="H78" s="9" t="inlineStr">
        <is>
          <t>Debit Card</t>
        </is>
      </c>
      <c r="I78" s="9" t="inlineStr">
        <is>
          <t>Expense</t>
        </is>
      </c>
      <c r="J78" s="3">
        <v>104.89</v>
      </c>
      <c r="K78" s="9" t="inlineStr">
        <is>
          <t>9월 2주차; Chase Secure (...0119); Posted 2026-09-14; Balance shown: $8,456.61</t>
        </is>
      </c>
    </row>
    <row r="79">
      <c r="A79" s="4">
        <v>46276</v>
      </c>
      <c r="B79" s="9">
        <f>IF(A79="","",INT(DAY(A79)/7)+1)</f>
        <v>2</v>
      </c>
      <c r="C79" s="9" t="inlineStr">
        <is>
          <t>AMAZON MKTPL*5L66Q93 Amzn.com/bill WA 09/11 (...0119)</t>
        </is>
      </c>
      <c r="D79" s="9" t="inlineStr">
        <is>
          <t>Amazon</t>
        </is>
      </c>
      <c r="E79" s="9" t="inlineStr">
        <is>
          <t>Shopping</t>
        </is>
      </c>
      <c r="F79" s="9" t="inlineStr">
        <is>
          <t>Retail</t>
        </is>
      </c>
      <c r="G79" s="9" t="inlineStr">
        <is>
          <t>Checking</t>
        </is>
      </c>
      <c r="H79" s="9" t="inlineStr">
        <is>
          <t>Debit Card</t>
        </is>
      </c>
      <c r="I79" s="9" t="inlineStr">
        <is>
          <t>Expense</t>
        </is>
      </c>
      <c r="J79" s="3">
        <v>5.92</v>
      </c>
      <c r="K79" s="9" t="inlineStr">
        <is>
          <t>9월 2주차; Chase Secure (...0119); Posted 2026-09-14; Balance shown: $8,561.50</t>
        </is>
      </c>
    </row>
    <row r="80">
      <c r="A80" s="4">
        <v>46275</v>
      </c>
      <c r="B80" s="9">
        <f>IF(A80="","",INT(DAY(A80)/7)+1)</f>
        <v>2</v>
      </c>
      <c r="C80" s="9" t="inlineStr">
        <is>
          <t>GOLDEN DELI CORP NEW YORK NY 09/10 (...0119)</t>
        </is>
      </c>
      <c r="D80" s="9" t="inlineStr">
        <is>
          <t>Golden Deli</t>
        </is>
      </c>
      <c r="E80" s="9" t="inlineStr">
        <is>
          <t>Dining</t>
        </is>
      </c>
      <c r="F80" s="9" t="inlineStr">
        <is>
          <t>Deli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>
        <v>22.65</v>
      </c>
      <c r="K80" s="9" t="inlineStr">
        <is>
          <t>9월 2주차; Chase Secure (...0119); Posted 2026-09-14; Balance shown: $8,567.42</t>
        </is>
      </c>
    </row>
    <row r="81">
      <c r="A81" s="4">
        <v>46279</v>
      </c>
      <c r="B81" s="9">
        <f>IF(A81="","",INT(DAY(A81)/7)+1)</f>
        <v>3</v>
      </c>
      <c r="C81" s="9" t="inlineStr">
        <is>
          <t>Zelle payment from GYU-HWAN LEE 30796019703</t>
        </is>
      </c>
      <c r="D81" s="9" t="inlineStr">
        <is>
          <t>GYU-HWAN LEE</t>
        </is>
      </c>
      <c r="E81" s="9" t="inlineStr">
        <is>
          <t>Income</t>
        </is>
      </c>
      <c r="F81" s="9" t="inlineStr">
        <is>
          <t>Volunteer work</t>
        </is>
      </c>
      <c r="G81" s="9" t="inlineStr">
        <is>
          <t>Checking</t>
        </is>
      </c>
      <c r="H81" s="9" t="inlineStr">
        <is>
          <t>Venmo/Zelle/PayPal</t>
        </is>
      </c>
      <c r="I81" s="9" t="inlineStr">
        <is>
          <t>Income</t>
        </is>
      </c>
      <c r="J81" s="3">
        <v>30.00</v>
      </c>
      <c r="K81" s="9" t="inlineStr">
        <is>
          <t>9월 3주차; Chase Secure (...0119); Posted 2026-09-14; Balance shown: $8,590.07; Income for volunteer work</t>
        </is>
      </c>
    </row>
    <row r="82">
      <c r="A82" s="4" t="n">
        <v>46281</v>
      </c>
      <c r="B82" s="9">
        <f>IF(A82="","",INT(DAY(A82)/7)+1)</f>
        <v>3</v>
      </c>
      <c r="C82" s="9" t="inlineStr">
        <is>
          <t>TRADER JOE S #54 445 G NEW YORK NY 401072 09/16 (...0119)</t>
        </is>
      </c>
      <c r="D82" s="9" t="inlineStr">
        <is>
          <t>Trader Joe's</t>
        </is>
      </c>
      <c r="E82" s="9" t="inlineStr">
        <is>
          <t>Groceries</t>
        </is>
      </c>
      <c r="F82" s="9" t="inlineStr">
        <is>
          <t>Groceries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42.36</v>
      </c>
      <c r="K82" s="9" t="inlineStr">
        <is>
          <t>9월 3주차; Chase Secure (...0119); Posted 2026-09-16; Balance shown: $8,302.71</t>
        </is>
      </c>
    </row>
    <row r="83">
      <c r="A83" s="4" t="n">
        <v>46281</v>
      </c>
      <c r="B83" s="9">
        <f>IF(A83="","",INT(DAY(A83)/7)+1)</f>
        <v>3</v>
      </c>
      <c r="C83" s="9" t="inlineStr">
        <is>
          <t>JACKPOT DEALS BROOKLYN NY 523449 09/16 (...0119)</t>
        </is>
      </c>
      <c r="D83" s="9" t="inlineStr">
        <is>
          <t>Jackpot Deals</t>
        </is>
      </c>
      <c r="E83" s="9" t="inlineStr">
        <is>
          <t>Shopping</t>
        </is>
      </c>
      <c r="F83" s="9" t="inlineStr">
        <is>
          <t>Retail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5.43</v>
      </c>
      <c r="K83" s="9" t="inlineStr">
        <is>
          <t>9월 3주차; Chase Secure (...0119); Posted 2026-09-16; Balance shown: $8,345.07</t>
        </is>
      </c>
    </row>
    <row r="84">
      <c r="A84" s="4" t="n">
        <v>46281</v>
      </c>
      <c r="B84" s="9">
        <f>IF(A84="","",INT(DAY(A84)/7)+1)</f>
        <v>3</v>
      </c>
      <c r="C84" s="9" t="inlineStr">
        <is>
          <t>H MART NEW YORK NY 09/15 (...0119)</t>
        </is>
      </c>
      <c r="D84" s="9" t="inlineStr">
        <is>
          <t>H Mart</t>
        </is>
      </c>
      <c r="E84" s="9" t="inlineStr">
        <is>
          <t>Groceries</t>
        </is>
      </c>
      <c r="F84" s="9" t="inlineStr">
        <is>
          <t>Groceries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12.95</v>
      </c>
      <c r="K84" s="9" t="inlineStr">
        <is>
          <t>9월 3주차; Chase Secure (...0119); Posted 2026-09-16; Balance shown: $8,350.50</t>
        </is>
      </c>
    </row>
    <row r="85">
      <c r="A85" s="4" t="n">
        <v>46281</v>
      </c>
      <c r="B85" s="9">
        <f>IF(A85="","",INT(DAY(A85)/7)+1)</f>
        <v>3</v>
      </c>
      <c r="C85" s="9" t="inlineStr">
        <is>
          <t>MTA*NYCT PAYGO NEW YORK NY 09/15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3.00</v>
      </c>
      <c r="K85" s="9" t="inlineStr">
        <is>
          <t>9월 3주차; Chase Secure (...0119); Posted 2026-09-16; Balance shown: $8,363.45</t>
        </is>
      </c>
    </row>
    <row r="86">
      <c r="A86" s="4" t="n">
        <v>46281</v>
      </c>
      <c r="B86" s="9">
        <f>IF(A86="","",INT(DAY(A86)/7)+1)</f>
        <v>3</v>
      </c>
      <c r="C86" s="9" t="inlineStr">
        <is>
          <t>TOPIA NEWS STAND BROOKLYN NY 09/15 (...0119)</t>
        </is>
      </c>
      <c r="D86" s="9" t="inlineStr">
        <is>
          <t>Topia News Stand</t>
        </is>
      </c>
      <c r="E86" s="9" t="inlineStr">
        <is>
          <t>Shopping</t>
        </is>
      </c>
      <c r="F86" s="9" t="inlineStr">
        <is>
          <t>Newsstand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22.86</v>
      </c>
      <c r="K86" s="9" t="inlineStr">
        <is>
          <t>9월 3주차; Chase Secure (...0119); Posted 2026-09-16; Balance shown: $8,366.45; Category inferred from merchant</t>
        </is>
      </c>
    </row>
    <row r="87">
      <c r="A87" s="4" t="n">
        <v>46281</v>
      </c>
      <c r="B87" s="9">
        <f>IF(A87="","",INT(DAY(A87)/7)+1)</f>
        <v>3</v>
      </c>
      <c r="C87" s="9" t="inlineStr">
        <is>
          <t>FIVE GUYS NY 1258 QSR BROOKLYN NY 09/15 (...0119)</t>
        </is>
      </c>
      <c r="D87" s="9" t="inlineStr">
        <is>
          <t>Five Guys</t>
        </is>
      </c>
      <c r="E87" s="9" t="inlineStr">
        <is>
          <t>Dining</t>
        </is>
      </c>
      <c r="F87" s="9" t="inlineStr">
        <is>
          <t>Fast food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15.18</v>
      </c>
      <c r="K87" s="9" t="inlineStr">
        <is>
          <t>9월 3주차; Chase Secure (...0119); Posted 2026-09-16; Balance shown: $8,389.31</t>
        </is>
      </c>
    </row>
    <row r="88">
      <c r="A88" s="4" t="n">
        <v>46281</v>
      </c>
      <c r="B88" s="9">
        <f>IF(A88="","",INT(DAY(A88)/7)+1)</f>
        <v>3</v>
      </c>
      <c r="C88" s="9" t="inlineStr">
        <is>
          <t>MTA*NYCT PAYGO NEW YORK NY 09/15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3.00</v>
      </c>
      <c r="K88" s="9" t="inlineStr">
        <is>
          <t>9월 3주차; Chase Secure (...0119); Posted 2026-09-16; Balance shown: $8,404.49</t>
        </is>
      </c>
    </row>
    <row r="89">
      <c r="A89" s="4">
        <v>46282</v>
      </c>
      <c r="B89" s="9">
        <f>IF(A89="","",INT(DAY(A89)/7)+1)</f>
        <v>3</v>
      </c>
      <c r="C89" s="9" t="inlineStr">
        <is>
          <t>MTA*NYCT PAYGO NEW YORK NY 09/16 (...0119)</t>
        </is>
      </c>
      <c r="D89" s="9" t="inlineStr">
        <is>
          <t>MTA NYCT Paygo</t>
        </is>
      </c>
      <c r="E89" s="9" t="inlineStr">
        <is>
          <t>Transportation</t>
        </is>
      </c>
      <c r="F89" s="9" t="inlineStr">
        <is>
          <t>Public transit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>
        <v>3.00</v>
      </c>
      <c r="K89" s="9" t="inlineStr">
        <is>
          <t>9월 3주차; Chase Secure (...0119); Posted 2026-09-17; Balance shown: $8,296.71</t>
        </is>
      </c>
    </row>
    <row r="90">
      <c r="A90" s="4">
        <v>46282</v>
      </c>
      <c r="B90" s="9">
        <f>IF(A90="","",INT(DAY(A90)/7)+1)</f>
        <v>3</v>
      </c>
      <c r="C90" s="9" t="inlineStr">
        <is>
          <t>MTA*NYCT PAYGO NEW YORK NY 09/16 (...0119)</t>
        </is>
      </c>
      <c r="D90" s="9" t="inlineStr">
        <is>
          <t>MTA NYCT Paygo</t>
        </is>
      </c>
      <c r="E90" s="9" t="inlineStr">
        <is>
          <t>Transportation</t>
        </is>
      </c>
      <c r="F90" s="9" t="inlineStr">
        <is>
          <t>Public transit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>
        <v>3.00</v>
      </c>
      <c r="K90" s="9" t="inlineStr">
        <is>
          <t>9월 3주차; Chase Secure (...0119); Posted 2026-09-17; Balance shown: $8,299.71</t>
        </is>
      </c>
    </row>
    <row r="91">
      <c r="A91" s="4">
        <v>46283</v>
      </c>
      <c r="B91" s="9">
        <f>IF(A91="","",INT(DAY(A91)/7)+1)</f>
        <v>3</v>
      </c>
      <c r="C91" s="9" t="inlineStr">
        <is>
          <t>MTA*NYCT PAYGO NEW YORK NY 09/17 (...0119)</t>
        </is>
      </c>
      <c r="D91" s="9" t="inlineStr">
        <is>
          <t>MTA NYCT Paygo</t>
        </is>
      </c>
      <c r="E91" s="9" t="inlineStr">
        <is>
          <t>Transportation</t>
        </is>
      </c>
      <c r="F91" s="9" t="inlineStr">
        <is>
          <t>Public transit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>
        <v>3.00</v>
      </c>
      <c r="K91" s="9" t="inlineStr">
        <is>
          <t>9월 3주차; Chase Secure (...0119); Posted 2026-09-18; Balance shown: $8,284.50</t>
        </is>
      </c>
    </row>
    <row r="92">
      <c r="A92" s="4">
        <v>46283</v>
      </c>
      <c r="B92" s="9">
        <f>IF(A92="","",INT(DAY(A92)/7)+1)</f>
        <v>3</v>
      </c>
      <c r="C92" s="9" t="inlineStr">
        <is>
          <t>MTA*NYCT PAYGO NEW YORK NY 09/17 (...0119)</t>
        </is>
      </c>
      <c r="D92" s="9" t="inlineStr">
        <is>
          <t>MTA NYCT Paygo</t>
        </is>
      </c>
      <c r="E92" s="9" t="inlineStr">
        <is>
          <t>Transportation</t>
        </is>
      </c>
      <c r="F92" s="9" t="inlineStr">
        <is>
          <t>Public transit</t>
        </is>
      </c>
      <c r="G92" s="9" t="inlineStr">
        <is>
          <t>Checking</t>
        </is>
      </c>
      <c r="H92" s="9" t="inlineStr">
        <is>
          <t>Debit Card</t>
        </is>
      </c>
      <c r="I92" s="9" t="inlineStr">
        <is>
          <t>Expense</t>
        </is>
      </c>
      <c r="J92" s="3">
        <v>3.00</v>
      </c>
      <c r="K92" s="9" t="inlineStr">
        <is>
          <t>9월 3주차; Chase Secure (...0119); Posted 2026-09-18; Balance shown: $8,287.50</t>
        </is>
      </c>
    </row>
    <row r="93">
      <c r="A93" s="4">
        <v>46283</v>
      </c>
      <c r="B93" s="9">
        <f>IF(A93="","",INT(DAY(A93)/7)+1)</f>
        <v>3</v>
      </c>
      <c r="C93" s="9" t="inlineStr">
        <is>
          <t>99 CENT SUPREME PIZZA BROOKLYN NY 09/16 (...0119)</t>
        </is>
      </c>
      <c r="D93" s="9" t="inlineStr">
        <is>
          <t>99 Cent Supreme Pizza</t>
        </is>
      </c>
      <c r="E93" s="9" t="inlineStr">
        <is>
          <t>Dining</t>
        </is>
      </c>
      <c r="F93" s="9" t="inlineStr">
        <is>
          <t>Restaurant/Pizza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>
        <v>6.21</v>
      </c>
      <c r="K93" s="9" t="inlineStr">
        <is>
          <t>9월 3주차; Chase Secure (...0119); Posted 2026-09-18; Balance shown: $8,290.50</t>
        </is>
      </c>
    </row>
    <row r="94">
      <c r="A94" s="4">
        <v>46286</v>
      </c>
      <c r="B94" s="9">
        <f>IF(A94="","",INT(DAY(A94)/7)+1)</f>
        <v>4</v>
      </c>
      <c r="C94" s="9" t="inlineStr">
        <is>
          <t>Zelle payment to chefp095 30897691612</t>
        </is>
      </c>
      <c r="D94" s="9" t="inlineStr">
        <is>
          <t>chefp095</t>
        </is>
      </c>
      <c r="E94" s="9" t="inlineStr">
        <is>
          <t>Dining</t>
        </is>
      </c>
      <c r="F94" s="9" t="inlineStr">
        <is>
          <t>Alcohol settlement</t>
        </is>
      </c>
      <c r="G94" s="9" t="inlineStr">
        <is>
          <t>Checking</t>
        </is>
      </c>
      <c r="H94" s="9" t="inlineStr">
        <is>
          <t>Venmo/Zelle/PayPal</t>
        </is>
      </c>
      <c r="I94" s="9" t="inlineStr">
        <is>
          <t>Expense</t>
        </is>
      </c>
      <c r="J94" s="3">
        <v>18.68</v>
      </c>
      <c r="K94" s="9" t="inlineStr">
        <is>
          <t>9월 4주차; Chase Secure (...0119); Posted 2026-09-21; Balance shown: $8,039.59; 술값 정산; Alcohol expense</t>
        </is>
      </c>
    </row>
    <row r="95">
      <c r="A95" s="4">
        <v>46286</v>
      </c>
      <c r="B95" s="9">
        <f>IF(A95="","",INT(DAY(A95)/7)+1)</f>
        <v>4</v>
      </c>
      <c r="C95" s="9" t="inlineStr">
        <is>
          <t>KENKA RESTAURANT 212-2546363 NY 09/20 (...0119)</t>
        </is>
      </c>
      <c r="D95" s="9" t="inlineStr">
        <is>
          <t>KENKA RESTAURANT 212-2546363 NY 09/20 (...0119)</t>
        </is>
      </c>
      <c r="E95" s="9" t="inlineStr">
        <is>
          <t>Dining</t>
        </is>
      </c>
      <c r="F95" s="9" t="inlineStr">
        <is>
          <t>Restaurant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>
        <v>50.00</v>
      </c>
      <c r="K95" s="9" t="inlineStr">
        <is>
          <t>9월 4주차; Chase Secure (...0119); Posted 2026-09-21; Balance shown: $8,058.27</t>
        </is>
      </c>
    </row>
    <row r="96">
      <c r="A96" s="4">
        <v>46286</v>
      </c>
      <c r="B96" s="9">
        <f>IF(A96="","",INT(DAY(A96)/7)+1)</f>
        <v>4</v>
      </c>
      <c r="C96" s="9" t="inlineStr">
        <is>
          <t>Zelle payment to ROCKWON SEO JPM99cx86i2u</t>
        </is>
      </c>
      <c r="D96" s="9" t="inlineStr">
        <is>
          <t>ROCKWON SEO</t>
        </is>
      </c>
      <c r="E96" s="9" t="inlineStr">
        <is>
          <t>Dining</t>
        </is>
      </c>
      <c r="F96" s="9" t="inlineStr">
        <is>
          <t>Alcohol settlement</t>
        </is>
      </c>
      <c r="G96" s="9" t="inlineStr">
        <is>
          <t>Checking</t>
        </is>
      </c>
      <c r="H96" s="9" t="inlineStr">
        <is>
          <t>Venmo/Zelle/PayPal</t>
        </is>
      </c>
      <c r="I96" s="9" t="inlineStr">
        <is>
          <t>Expense</t>
        </is>
      </c>
      <c r="J96" s="3">
        <v>23.22</v>
      </c>
      <c r="K96" s="9" t="inlineStr">
        <is>
          <t>9월 4주차; Chase Secure (...0119); Posted 2026-09-21; Balance shown: $8,108.27; 술값 정산; Alcohol expense</t>
        </is>
      </c>
    </row>
    <row r="97">
      <c r="A97" s="4">
        <v>46286</v>
      </c>
      <c r="B97" s="9">
        <f>IF(A97="","",INT(DAY(A97)/7)+1)</f>
        <v>4</v>
      </c>
      <c r="C97" s="9" t="inlineStr">
        <is>
          <t>Zelle payment to JI HOON PARK JPM99cx86a98</t>
        </is>
      </c>
      <c r="D97" s="9" t="inlineStr">
        <is>
          <t>JI HOON PARK</t>
        </is>
      </c>
      <c r="E97" s="9" t="inlineStr">
        <is>
          <t>Dining</t>
        </is>
      </c>
      <c r="F97" s="9" t="inlineStr">
        <is>
          <t>Alcohol settlement</t>
        </is>
      </c>
      <c r="G97" s="9" t="inlineStr">
        <is>
          <t>Checking</t>
        </is>
      </c>
      <c r="H97" s="9" t="inlineStr">
        <is>
          <t>Venmo/Zelle/PayPal</t>
        </is>
      </c>
      <c r="I97" s="9" t="inlineStr">
        <is>
          <t>Expense</t>
        </is>
      </c>
      <c r="J97" s="3">
        <v>4.46</v>
      </c>
      <c r="K97" s="9" t="inlineStr">
        <is>
          <t>9월 4주차; Chase Secure (...0119); Posted 2026-09-21; Balance shown: $8,131.49; 술값 정산; Alcohol expense</t>
        </is>
      </c>
    </row>
    <row r="98">
      <c r="A98" s="4">
        <v>46286</v>
      </c>
      <c r="B98" s="9">
        <f>IF(A98="","",INT(DAY(A98)/7)+1)</f>
        <v>4</v>
      </c>
      <c r="C98" s="9" t="inlineStr">
        <is>
          <t>ON THE RUN FOOD TRUCK NORTH BERGEN NJ 09/20 (...0119)</t>
        </is>
      </c>
      <c r="D98" s="9" t="inlineStr">
        <is>
          <t>ON THE RUN FOOD TRUCK NORTH BERGEN NJ 09/20 (...0119)</t>
        </is>
      </c>
      <c r="E98" s="9" t="inlineStr">
        <is>
          <t>Dining</t>
        </is>
      </c>
      <c r="F98" s="9" t="inlineStr">
        <is>
          <t>Restaurant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>
        <v>3.27</v>
      </c>
      <c r="K98" s="9" t="inlineStr">
        <is>
          <t>9월 4주차; Chase Secure (...0119); Posted 2026-09-21; Balance shown: $8,135.95</t>
        </is>
      </c>
    </row>
    <row r="99">
      <c r="A99" s="4">
        <v>46286</v>
      </c>
      <c r="B99" s="9">
        <f>IF(A99="","",INT(DAY(A99)/7)+1)</f>
        <v>4</v>
      </c>
      <c r="C99" s="9" t="inlineStr">
        <is>
          <t>TST* 7TH STREET BURGER NEW YORK NY 09/21 (...0119)</t>
        </is>
      </c>
      <c r="D99" s="9" t="inlineStr">
        <is>
          <t>TST* 7TH STREET BURGER</t>
        </is>
      </c>
      <c r="E99" s="9" t="inlineStr">
        <is>
          <t>Dining</t>
        </is>
      </c>
      <c r="F99" s="9" t="inlineStr">
        <is>
          <t>Restaurant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>
        <v>28.86</v>
      </c>
      <c r="K99" s="9" t="inlineStr">
        <is>
          <t>9월 4주차; Chase Secure (...0119); Posted 2026-09-21; Balance shown: $8,139.22</t>
        </is>
      </c>
    </row>
    <row r="100">
      <c r="A100" s="4">
        <v>46286</v>
      </c>
      <c r="B100" s="9">
        <f>IF(A100="","",INT(DAY(A100)/7)+1)</f>
        <v>4</v>
      </c>
      <c r="C100" s="9" t="inlineStr">
        <is>
          <t>MTA*NYCT PAYGO NEW YORK NY 09/20 (...0119)</t>
        </is>
      </c>
      <c r="D100" s="9" t="inlineStr">
        <is>
          <t>MTA NYCT Paygo</t>
        </is>
      </c>
      <c r="E100" s="9" t="inlineStr">
        <is>
          <t>Transportation</t>
        </is>
      </c>
      <c r="F100" s="9" t="inlineStr">
        <is>
          <t>Public transit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>
        <v>2.00</v>
      </c>
      <c r="K100" s="9" t="inlineStr">
        <is>
          <t>9월 4주차; Chase Secure (...0119); Posted 2026-09-21; Balance shown: $8,168.08</t>
        </is>
      </c>
    </row>
    <row r="101">
      <c r="A101" s="4">
        <v>46286</v>
      </c>
      <c r="B101" s="9">
        <f>IF(A101="","",INT(DAY(A101)/7)+1)</f>
        <v>4</v>
      </c>
      <c r="C101" s="9" t="inlineStr">
        <is>
          <t>MTA*NYCT PAYGO NEW YORK NY 09/19 (...0119)</t>
        </is>
      </c>
      <c r="D101" s="9" t="inlineStr">
        <is>
          <t>MTA NYCT Paygo</t>
        </is>
      </c>
      <c r="E101" s="9" t="inlineStr">
        <is>
          <t>Transportation</t>
        </is>
      </c>
      <c r="F101" s="9" t="inlineStr">
        <is>
          <t>Public transit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>
        <v>3.00</v>
      </c>
      <c r="K101" s="9" t="inlineStr">
        <is>
          <t>9월 4주차; Chase Secure (...0119); Posted 2026-09-21; Balance shown: $8,170.08</t>
        </is>
      </c>
    </row>
    <row r="102">
      <c r="A102" s="4">
        <v>46286</v>
      </c>
      <c r="B102" s="9">
        <f>IF(A102="","",INT(DAY(A102)/7)+1)</f>
        <v>4</v>
      </c>
      <c r="C102" s="9" t="inlineStr">
        <is>
          <t>MTA*NYCT PAYGO NEW YORK NY 09/19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>
        <v>3.00</v>
      </c>
      <c r="K102" s="9" t="inlineStr">
        <is>
          <t>9월 4주차; Chase Secure (...0119); Posted 2026-09-21; Balance shown: $8,173.08</t>
        </is>
      </c>
    </row>
    <row r="103">
      <c r="A103" s="4">
        <v>46286</v>
      </c>
      <c r="B103" s="9">
        <f>IF(A103="","",INT(DAY(A103)/7)+1)</f>
        <v>4</v>
      </c>
      <c r="C103" s="9" t="inlineStr">
        <is>
          <t>CUTE GIFTS &amp; CONVENIENC NEW YORK NY 09/19 (...0119)</t>
        </is>
      </c>
      <c r="D103" s="9" t="inlineStr">
        <is>
          <t>CUTE GIFTS &amp; CONVENIENC</t>
        </is>
      </c>
      <c r="E103" s="9" t="inlineStr">
        <is>
          <t>Shopping</t>
        </is>
      </c>
      <c r="F103" s="9" t="inlineStr">
        <is>
          <t>Convenience store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>
        <v>5.20</v>
      </c>
      <c r="K103" s="9" t="inlineStr">
        <is>
          <t>9월 4주차; Chase Secure (...0119); Posted 2026-09-21; Balance shown: $8,176.08; Category inferred from merchant</t>
        </is>
      </c>
    </row>
    <row r="104">
      <c r="A104" s="4">
        <v>46286</v>
      </c>
      <c r="B104" s="9">
        <f>IF(A104="","",INT(DAY(A104)/7)+1)</f>
        <v>4</v>
      </c>
      <c r="C104" s="9" t="inlineStr">
        <is>
          <t>MTA*NYCT PAYGO NEW YORK NY 09/19 (...0119)</t>
        </is>
      </c>
      <c r="D104" s="9" t="inlineStr">
        <is>
          <t>MTA NYCT Paygo</t>
        </is>
      </c>
      <c r="E104" s="9" t="inlineStr">
        <is>
          <t>Transportation</t>
        </is>
      </c>
      <c r="F104" s="9" t="inlineStr">
        <is>
          <t>Public transit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>
        <v>3.00</v>
      </c>
      <c r="K104" s="9" t="inlineStr">
        <is>
          <t>9월 4주차; Chase Secure (...0119); Posted 2026-09-21; Balance shown: $8,181.28</t>
        </is>
      </c>
    </row>
    <row r="105">
      <c r="A105" s="4">
        <v>46286</v>
      </c>
      <c r="B105" s="9">
        <f>IF(A105="","",INT(DAY(A105)/7)+1)</f>
        <v>4</v>
      </c>
      <c r="C105" s="9" t="inlineStr">
        <is>
          <t>KODACHAYA 1ST FLOOR 131-27305592 NY 09/19 (...0119)</t>
        </is>
      </c>
      <c r="D105" s="9" t="inlineStr">
        <is>
          <t>KODACHAYA 1ST FLOOR 131-27305592 NY 09/19 (...0119)</t>
        </is>
      </c>
      <c r="E105" s="9" t="inlineStr">
        <is>
          <t>Dining</t>
        </is>
      </c>
      <c r="F105" s="9" t="inlineStr">
        <is>
          <t>Restaurant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>
        <v>42.47</v>
      </c>
      <c r="K105" s="9" t="inlineStr">
        <is>
          <t>9월 4주차; Chase Secure (...0119); Posted 2026-09-21; Balance shown: $8,184.28</t>
        </is>
      </c>
    </row>
    <row r="106">
      <c r="A106" s="4">
        <v>46286</v>
      </c>
      <c r="B106" s="9">
        <f>IF(A106="","",INT(DAY(A106)/7)+1)</f>
        <v>4</v>
      </c>
      <c r="C106" s="9" t="inlineStr">
        <is>
          <t>KODACHAYA 1ST FLOOR POS.CHOWBUS.C NY 09/19 (...0119)</t>
        </is>
      </c>
      <c r="D106" s="9" t="inlineStr">
        <is>
          <t>KODACHAYA 1ST FLOOR POS.CHOWBUS.C NY 09/19 (...0119)</t>
        </is>
      </c>
      <c r="E106" s="9" t="inlineStr">
        <is>
          <t>Dining</t>
        </is>
      </c>
      <c r="F106" s="9" t="inlineStr">
        <is>
          <t>Restaurant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>
        <v>26.20</v>
      </c>
      <c r="K106" s="9" t="inlineStr">
        <is>
          <t>9월 4주차; Chase Secure (...0119); Posted 2026-09-21; Balance shown: $8,226.75</t>
        </is>
      </c>
    </row>
    <row r="107">
      <c r="A107" s="4">
        <v>46286</v>
      </c>
      <c r="B107" s="9">
        <f>IF(A107="","",INT(DAY(A107)/7)+1)</f>
        <v>4</v>
      </c>
      <c r="C107" s="9" t="inlineStr">
        <is>
          <t>MTA*NYCT PAYGO NEW YORK NY 09/18 (...0119)</t>
        </is>
      </c>
      <c r="D107" s="9" t="inlineStr">
        <is>
          <t>MTA NYCT Paygo</t>
        </is>
      </c>
      <c r="E107" s="9" t="inlineStr">
        <is>
          <t>Transportation</t>
        </is>
      </c>
      <c r="F107" s="9" t="inlineStr">
        <is>
          <t>Public transit</t>
        </is>
      </c>
      <c r="G107" s="9" t="inlineStr">
        <is>
          <t>Checking</t>
        </is>
      </c>
      <c r="H107" s="9" t="inlineStr">
        <is>
          <t>Debit Card</t>
        </is>
      </c>
      <c r="I107" s="9" t="inlineStr">
        <is>
          <t>Expense</t>
        </is>
      </c>
      <c r="J107" s="3">
        <v>3.00</v>
      </c>
      <c r="K107" s="9" t="inlineStr">
        <is>
          <t>9월 4주차; Chase Secure (...0119); Posted 2026-09-21; Balance shown: $8,252.95</t>
        </is>
      </c>
    </row>
    <row r="108">
      <c r="A108" s="4">
        <v>46286</v>
      </c>
      <c r="B108" s="9">
        <f>IF(A108="","",INT(DAY(A108)/7)+1)</f>
        <v>4</v>
      </c>
      <c r="C108" s="9" t="inlineStr">
        <is>
          <t>TOPIA NEWS STAND BROOKLYN NY 09/18 (...0119)</t>
        </is>
      </c>
      <c r="D108" s="9" t="inlineStr">
        <is>
          <t>Topia News Stand</t>
        </is>
      </c>
      <c r="E108" s="9" t="inlineStr">
        <is>
          <t>Shopping</t>
        </is>
      </c>
      <c r="F108" s="9" t="inlineStr">
        <is>
          <t>Newsstand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>
        <v>30.49</v>
      </c>
      <c r="K108" s="9" t="inlineStr">
        <is>
          <t>9월 4주차; Chase Secure (...0119); Posted 2026-09-21; Balance shown: $8,255.95; Category inferred from merchant</t>
        </is>
      </c>
    </row>
    <row r="109">
      <c r="A109" s="4">
        <v>46286</v>
      </c>
      <c r="B109" s="9">
        <f>IF(A109="","",INT(DAY(A109)/7)+1)</f>
        <v>4</v>
      </c>
      <c r="C109" s="9" t="inlineStr">
        <is>
          <t>99 CENT SUPREME PIZZA BROOKLYN NY 09/18 (...0119)</t>
        </is>
      </c>
      <c r="D109" s="9" t="inlineStr">
        <is>
          <t>99 Cent Supreme Pizza</t>
        </is>
      </c>
      <c r="E109" s="9" t="inlineStr">
        <is>
          <t>Dining</t>
        </is>
      </c>
      <c r="F109" s="9" t="inlineStr">
        <is>
          <t>Restaurant/Pizza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>
        <v>3.67</v>
      </c>
      <c r="K109" s="9" t="inlineStr">
        <is>
          <t>9월 4주차; Chase Secure (...0119); Posted 2026-09-21; Balance shown: $8,286.44</t>
        </is>
      </c>
    </row>
    <row r="110">
      <c r="A110" s="4">
        <v>46286</v>
      </c>
      <c r="B110" s="9">
        <f>IF(A110="","",INT(DAY(A110)/7)+1)</f>
        <v>4</v>
      </c>
      <c r="C110" s="9" t="inlineStr">
        <is>
          <t>MTA*NYCT PAYGO NEW YORK NY 09/18 (...0119)</t>
        </is>
      </c>
      <c r="D110" s="9" t="inlineStr">
        <is>
          <t>MTA NYCT Paygo</t>
        </is>
      </c>
      <c r="E110" s="9" t="inlineStr">
        <is>
          <t>Transportation</t>
        </is>
      </c>
      <c r="F110" s="9" t="inlineStr">
        <is>
          <t>Public transit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>
        <v>3.00</v>
      </c>
      <c r="K110" s="9" t="inlineStr">
        <is>
          <t>9월 4주차; Chase Secure (...0119); Posted 2026-09-21; Balance shown: $8,290.11</t>
        </is>
      </c>
    </row>
    <row r="111">
      <c r="A111" s="4">
        <v>46286</v>
      </c>
      <c r="B111" s="9">
        <f>IF(A111="","",INT(DAY(A111)/7)+1)</f>
        <v>4</v>
      </c>
      <c r="C111" s="9" t="inlineStr">
        <is>
          <t>KAMSA KAMSAUS.ORG NY 09/18 (...0119)</t>
        </is>
      </c>
      <c r="D111" s="9" t="inlineStr">
        <is>
          <t>KAMSA</t>
        </is>
      </c>
      <c r="E111" s="9" t="inlineStr">
        <is>
          <t>Entertainment</t>
        </is>
      </c>
      <c r="F111" s="9" t="inlineStr">
        <is>
          <t>Social event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>
        <v>10.00</v>
      </c>
      <c r="K111" s="9" t="inlineStr">
        <is>
          <t>9월 4주차; Chase Secure (...0119); Posted 2026-09-21; Balance shown: $8,293.11; Social event attendance (user confirmed)</t>
        </is>
      </c>
    </row>
    <row r="112">
      <c r="A112" s="4">
        <v>46286</v>
      </c>
      <c r="B112" s="9">
        <f>IF(A112="","",INT(DAY(A112)/7)+1)</f>
        <v>4</v>
      </c>
      <c r="C112" s="9" t="inlineStr">
        <is>
          <t>99 CENT SUPREME PIZZA BROOKLYN NY 09/17 (...0119)</t>
        </is>
      </c>
      <c r="D112" s="9" t="inlineStr">
        <is>
          <t>99 Cent Supreme Pizza</t>
        </is>
      </c>
      <c r="E112" s="9" t="inlineStr">
        <is>
          <t>Dining</t>
        </is>
      </c>
      <c r="F112" s="9" t="inlineStr">
        <is>
          <t>Restaurant/Pizza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>
        <v>3.39</v>
      </c>
      <c r="K112" s="9" t="inlineStr">
        <is>
          <t>9월 4주차; Chase Secure (...0119); Posted 2026-09-21; Balance shown: $8,303.11</t>
        </is>
      </c>
    </row>
    <row r="113">
      <c r="A113" s="4">
        <v>46286</v>
      </c>
      <c r="B113" s="9">
        <f>IF(A113="","",INT(DAY(A113)/7)+1)</f>
        <v>4</v>
      </c>
      <c r="C113" s="9" t="inlineStr">
        <is>
          <t>Zelle payment from EUN YEOB YEO 30882320902</t>
        </is>
      </c>
      <c r="D113" s="9" t="inlineStr">
        <is>
          <t>EUN YEOB YEO</t>
        </is>
      </c>
      <c r="E113" s="9" t="inlineStr">
        <is>
          <t>Dining</t>
        </is>
      </c>
      <c r="F113" s="9" t="inlineStr">
        <is>
          <t>Alcohol settlement</t>
        </is>
      </c>
      <c r="G113" s="9" t="inlineStr">
        <is>
          <t>Checking</t>
        </is>
      </c>
      <c r="H113" s="9" t="inlineStr">
        <is>
          <t>Venmo/Zelle/PayPal</t>
        </is>
      </c>
      <c r="I113" s="9" t="inlineStr">
        <is>
          <t>Expense</t>
        </is>
      </c>
      <c r="J113" s="3">
        <v>-22.00</v>
      </c>
      <c r="K113" s="9" t="inlineStr">
        <is>
          <t>9월 4주차; Chase Secure (...0119); Posted 2026-09-21; Balance shown: $8,306.50; 술값 정산; Reimbursement reduces alcohol expenses; not income</t>
        </is>
      </c>
    </row>
    <row r="114">
      <c r="A114" s="4" t="n">
        <v>46287</v>
      </c>
      <c r="B114" s="9">
        <f>IF(A114="","",INT(DAY(A114)/7)+1)</f>
        <v>4</v>
      </c>
      <c r="C114" s="9" t="inlineStr">
        <is>
          <t>SQ *ADAM79ST NEW YORK NY 09/21 (...0119)</t>
        </is>
      </c>
      <c r="D114" s="9" t="inlineStr">
        <is>
          <t>ADAM79ST</t>
        </is>
      </c>
      <c r="E114" s="9" t="inlineStr">
        <is>
          <t>Dining</t>
        </is>
      </c>
      <c r="F114" s="9" t="inlineStr">
        <is>
          <t>Unspecified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4.60</v>
      </c>
      <c r="K114" s="9" t="inlineStr">
        <is>
          <t>9월 4주차; Chase Secure (...0119); Posted 2026-09-22; Balance shown: $8,056.99; Category inferred from merchant; purpose unconfirmed</t>
        </is>
      </c>
    </row>
    <row r="115">
      <c r="A115" s="4" t="n">
        <v>46287</v>
      </c>
      <c r="B115" s="9">
        <f>IF(A115="","",INT(DAY(A115)/7)+1)</f>
        <v>4</v>
      </c>
      <c r="C115" s="9" t="inlineStr">
        <is>
          <t>VENMO CASHOUT PPD ID: 5264681992</t>
        </is>
      </c>
      <c r="D115" s="9" t="inlineStr">
        <is>
          <t>Venmo</t>
        </is>
      </c>
      <c r="E115" s="9" t="inlineStr">
        <is>
          <t>Dining</t>
        </is>
      </c>
      <c r="F115" s="9" t="inlineStr">
        <is>
          <t>Alcohol settlement</t>
        </is>
      </c>
      <c r="G115" s="9" t="inlineStr">
        <is>
          <t>Checking</t>
        </is>
      </c>
      <c r="H115" s="9" t="inlineStr">
        <is>
          <t>ACH</t>
        </is>
      </c>
      <c r="I115" s="9" t="inlineStr">
        <is>
          <t>Expense</t>
        </is>
      </c>
      <c r="J115" s="3" t="n">
        <v>-22.00</v>
      </c>
      <c r="K115" s="9" t="inlineStr">
        <is>
          <t>9월 4주차; Chase Secure (...0119); Posted 2026-09-22; Balance shown: $8,061.59; User confirmed alcohol payment purpose; bank entry is a $22.00 credit. Recorded as alcohol reimbursement reducing Dining expense, not income.</t>
        </is>
      </c>
    </row>
    <row r="116">
      <c r="A116" s="4" t="n">
        <v>46288</v>
      </c>
      <c r="B116" s="9">
        <f>IF(A116="","",INT(DAY(A116)/7)+1)</f>
        <v>4</v>
      </c>
      <c r="C116" s="9" t="inlineStr">
        <is>
          <t>MTA*NYCT PAYGO NEW YORK NY 09/22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3.00</v>
      </c>
      <c r="K116" s="9" t="inlineStr">
        <is>
          <t>9월 4주차; Chase Secure (...0119); Posted 2026-09-23; Balance shown: $7,979.02</t>
        </is>
      </c>
    </row>
    <row r="117">
      <c r="A117" s="4" t="n">
        <v>46288</v>
      </c>
      <c r="B117" s="9">
        <f>IF(A117="","",INT(DAY(A117)/7)+1)</f>
        <v>4</v>
      </c>
      <c r="C117" s="9" t="inlineStr">
        <is>
          <t>TST*SAPERAVI - SMB POS New York NY 09/22 (...0119)</t>
        </is>
      </c>
      <c r="D117" s="9" t="inlineStr">
        <is>
          <t>Saperavi</t>
        </is>
      </c>
      <c r="E117" s="9" t="inlineStr">
        <is>
          <t>Dining</t>
        </is>
      </c>
      <c r="F117" s="9" t="inlineStr">
        <is>
          <t>Shared meal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108.44</v>
      </c>
      <c r="K117" s="9" t="inlineStr">
        <is>
          <t>9월 4주차; Chase Secure (...0119); Posted 2026-09-23; Balance shown: $7,982.02; Paid $108.44 for 2 people on 2026-09-22; $46.00 reimbursed by SUNG HEE JUNG via Zelle BACo2fokowb5 on 2026-09-23; own share $62.44. Reimbursement recorded separately as negative Dining expense.</t>
        </is>
      </c>
    </row>
    <row r="118">
      <c r="A118" s="4" t="n">
        <v>46288</v>
      </c>
      <c r="B118" s="9">
        <f>IF(A118="","",INT(DAY(A118)/7)+1)</f>
        <v>4</v>
      </c>
      <c r="C118" s="9" t="inlineStr">
        <is>
          <t>MTA*NYCT PAYGO NEW YORK NY 09/22 (...0119)</t>
        </is>
      </c>
      <c r="D118" s="9" t="inlineStr">
        <is>
          <t>MTA NYCT Paygo</t>
        </is>
      </c>
      <c r="E118" s="9" t="inlineStr">
        <is>
          <t>Transportation</t>
        </is>
      </c>
      <c r="F118" s="9" t="inlineStr">
        <is>
          <t>Public transit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3.00</v>
      </c>
      <c r="K118" s="9" t="inlineStr">
        <is>
          <t>9월 4주차; Chase Secure (...0119); Posted 2026-09-23; Balance shown: $8,090.46</t>
        </is>
      </c>
    </row>
    <row r="119">
      <c r="A119" s="4" t="n">
        <v>46288</v>
      </c>
      <c r="B119" s="9">
        <f>IF(A119="","",INT(DAY(A119)/7)+1)</f>
        <v>4</v>
      </c>
      <c r="C119" s="9" t="inlineStr">
        <is>
          <t>TEA MAKERS BROOKLYN BROOKLYN NY 09/22 (...0119)</t>
        </is>
      </c>
      <c r="D119" s="9" t="inlineStr">
        <is>
          <t>Tea Makers Brooklyn</t>
        </is>
      </c>
      <c r="E119" s="9" t="inlineStr">
        <is>
          <t>Dining</t>
        </is>
      </c>
      <c r="F119" s="9" t="inlineStr">
        <is>
          <t>Cafe</t>
        </is>
      </c>
      <c r="G119" s="9" t="inlineStr">
        <is>
          <t>Checking</t>
        </is>
      </c>
      <c r="H119" s="9" t="inlineStr">
        <is>
          <t>Debit Card</t>
        </is>
      </c>
      <c r="I119" s="9" t="inlineStr">
        <is>
          <t>Expense</t>
        </is>
      </c>
      <c r="J119" s="3" t="n">
        <v>6.53</v>
      </c>
      <c r="K119" s="9" t="inlineStr">
        <is>
          <t>9월 4주차; Chase Secure (...0119); Posted 2026-09-23; Balance shown: $8,093.46</t>
        </is>
      </c>
    </row>
    <row r="120">
      <c r="A120" s="4" t="n">
        <v>46288</v>
      </c>
      <c r="B120" s="9">
        <f>IF(A120="","",INT(DAY(A120)/7)+1)</f>
        <v>4</v>
      </c>
      <c r="C120" s="9" t="inlineStr">
        <is>
          <t>MTA*NYCT PAYGO NEW YORK NY 09/22 (...0119)</t>
        </is>
      </c>
      <c r="D120" s="9" t="inlineStr">
        <is>
          <t>MTA NYCT Paygo</t>
        </is>
      </c>
      <c r="E120" s="9" t="inlineStr">
        <is>
          <t>Transportation</t>
        </is>
      </c>
      <c r="F120" s="9" t="inlineStr">
        <is>
          <t>Public transit</t>
        </is>
      </c>
      <c r="G120" s="9" t="inlineStr">
        <is>
          <t>Checking</t>
        </is>
      </c>
      <c r="H120" s="9" t="inlineStr">
        <is>
          <t>Debit Card</t>
        </is>
      </c>
      <c r="I120" s="9" t="inlineStr">
        <is>
          <t>Expense</t>
        </is>
      </c>
      <c r="J120" s="3" t="n">
        <v>3.00</v>
      </c>
      <c r="K120" s="9" t="inlineStr">
        <is>
          <t>9월 4주차; Chase Secure (...0119); Posted 2026-09-23; Balance shown: $8,099.99</t>
        </is>
      </c>
    </row>
    <row r="121">
      <c r="A121" s="4" t="n">
        <v>46288</v>
      </c>
      <c r="B121" s="9">
        <f>IF(A121="","",INT(DAY(A121)/7)+1)</f>
        <v>4</v>
      </c>
      <c r="C121" s="9" t="inlineStr">
        <is>
          <t>Zelle payment from SUNG HEE JUNG BACo2fokowb5</t>
        </is>
      </c>
      <c r="D121" s="9" t="inlineStr">
        <is>
          <t>SUNG HEE JUNG</t>
        </is>
      </c>
      <c r="E121" s="9" t="inlineStr">
        <is>
          <t>Dining</t>
        </is>
      </c>
      <c r="F121" s="9" t="inlineStr">
        <is>
          <t>Shared meal reimbursement</t>
        </is>
      </c>
      <c r="G121" s="9" t="inlineStr">
        <is>
          <t>Checking</t>
        </is>
      </c>
      <c r="H121" s="9" t="inlineStr">
        <is>
          <t>Venmo/Zelle/PayPal</t>
        </is>
      </c>
      <c r="I121" s="9" t="inlineStr">
        <is>
          <t>Expense</t>
        </is>
      </c>
      <c r="J121" s="3" t="n">
        <v>-46.00</v>
      </c>
      <c r="K121" s="9" t="inlineStr">
        <is>
          <t>9월 4주차; Chase Secure (...0119); Posted 2026-09-23; Balance shown: $8,102.99; Reimbursement for TST*SAPERAVI meal on 2026-09-22 (posted 2026-09-23): paid $108.44 for 2 people, received $46.00, own share $62.44; reduces Dining expenses, not income.</t>
        </is>
      </c>
    </row>
    <row r="122">
      <c r="A122" s="4" t="n">
        <v>46289</v>
      </c>
      <c r="B122" s="9">
        <f>IF(A122="","",INT(DAY(A122)/7)+1)</f>
        <v>4</v>
      </c>
      <c r="C122" s="9" t="inlineStr">
        <is>
          <t>TRADER JOE S #54 445 G NEW YORK NY 262586 09/24 (...0119)</t>
        </is>
      </c>
      <c r="D122" s="9" t="inlineStr">
        <is>
          <t>Trader Joe's</t>
        </is>
      </c>
      <c r="E122" s="9" t="inlineStr">
        <is>
          <t>Groceries</t>
        </is>
      </c>
      <c r="F122" s="9" t="inlineStr">
        <is>
          <t>Groceries</t>
        </is>
      </c>
      <c r="G122" s="9" t="inlineStr">
        <is>
          <t>Checking</t>
        </is>
      </c>
      <c r="H122" s="9" t="inlineStr">
        <is>
          <t>Debit Card</t>
        </is>
      </c>
      <c r="I122" s="9" t="inlineStr">
        <is>
          <t>Expense</t>
        </is>
      </c>
      <c r="J122" s="3" t="n">
        <v>25.64</v>
      </c>
      <c r="K122" s="9" t="inlineStr">
        <is>
          <t>9월 4주차; Chase Secure (...0119); Posted 2026-09-24; Balance shown: $7,927.11</t>
        </is>
      </c>
    </row>
    <row r="123">
      <c r="A123" s="4" t="n">
        <v>46289</v>
      </c>
      <c r="B123" s="9">
        <f>IF(A123="","",INT(DAY(A123)/7)+1)</f>
        <v>4</v>
      </c>
      <c r="C123" s="9" t="inlineStr">
        <is>
          <t>MTA*NYCT PAYGO NEW YORK NY 09/23 (...0119)</t>
        </is>
      </c>
      <c r="D123" s="9" t="inlineStr">
        <is>
          <t>MTA NYCT Paygo</t>
        </is>
      </c>
      <c r="E123" s="9" t="inlineStr">
        <is>
          <t>Transportation</t>
        </is>
      </c>
      <c r="F123" s="9" t="inlineStr">
        <is>
          <t>Public transit</t>
        </is>
      </c>
      <c r="G123" s="9" t="inlineStr">
        <is>
          <t>Checking</t>
        </is>
      </c>
      <c r="H123" s="9" t="inlineStr">
        <is>
          <t>Debit Card</t>
        </is>
      </c>
      <c r="I123" s="9" t="inlineStr">
        <is>
          <t>Expense</t>
        </is>
      </c>
      <c r="J123" s="3" t="n">
        <v>3.00</v>
      </c>
      <c r="K123" s="9" t="inlineStr">
        <is>
          <t>9월 4주차; Chase Secure (...0119); Posted 2026-09-24; Balance shown: $7,952.75</t>
        </is>
      </c>
    </row>
    <row r="124">
      <c r="A124" s="4" t="n">
        <v>46289</v>
      </c>
      <c r="B124" s="9">
        <f>IF(A124="","",INT(DAY(A124)/7)+1)</f>
        <v>4</v>
      </c>
      <c r="C124" s="9" t="inlineStr">
        <is>
          <t>LEGENDS@YANKEE STDM-RE BRONX NY 09/23 (...0119)</t>
        </is>
      </c>
      <c r="D124" s="9" t="inlineStr">
        <is>
          <t>Legends at Yankee Stadium</t>
        </is>
      </c>
      <c r="E124" s="9" t="inlineStr">
        <is>
          <t>Dining</t>
        </is>
      </c>
      <c r="F124" s="9" t="inlineStr">
        <is>
          <t>Stadium concessions</t>
        </is>
      </c>
      <c r="G124" s="9" t="inlineStr">
        <is>
          <t>Checking</t>
        </is>
      </c>
      <c r="H124" s="9" t="inlineStr">
        <is>
          <t>Debit Card</t>
        </is>
      </c>
      <c r="I124" s="9" t="inlineStr">
        <is>
          <t>Expense</t>
        </is>
      </c>
      <c r="J124" s="3" t="n">
        <v>10.88</v>
      </c>
      <c r="K124" s="9" t="inlineStr">
        <is>
          <t>9월 4주차; Chase Secure (...0119); Posted 2026-09-24; Balance shown: $7,955.75; Category inferred from merchant</t>
        </is>
      </c>
    </row>
    <row r="125">
      <c r="A125" s="4" t="n">
        <v>46289</v>
      </c>
      <c r="B125" s="9">
        <f>IF(A125="","",INT(DAY(A125)/7)+1)</f>
        <v>4</v>
      </c>
      <c r="C125" s="9" t="inlineStr">
        <is>
          <t>MTA*NYCT PAYGO NEW YORK NY 09/23 (...0119)</t>
        </is>
      </c>
      <c r="D125" s="9" t="inlineStr">
        <is>
          <t>MTA NYCT Paygo</t>
        </is>
      </c>
      <c r="E125" s="9" t="inlineStr">
        <is>
          <t>Transportation</t>
        </is>
      </c>
      <c r="F125" s="9" t="inlineStr">
        <is>
          <t>Public transit</t>
        </is>
      </c>
      <c r="G125" s="9" t="inlineStr">
        <is>
          <t>Checking</t>
        </is>
      </c>
      <c r="H125" s="9" t="inlineStr">
        <is>
          <t>Debit Card</t>
        </is>
      </c>
      <c r="I125" s="9" t="inlineStr">
        <is>
          <t>Expense</t>
        </is>
      </c>
      <c r="J125" s="3" t="n">
        <v>3.00</v>
      </c>
      <c r="K125" s="9" t="inlineStr">
        <is>
          <t>9월 4주차; Chase Secure (...0119); Posted 2026-09-24; Balance shown: $7,966.63</t>
        </is>
      </c>
    </row>
    <row r="126">
      <c r="A126" s="4" t="n">
        <v>46289</v>
      </c>
      <c r="B126" s="9">
        <f>IF(A126="","",INT(DAY(A126)/7)+1)</f>
        <v>4</v>
      </c>
      <c r="C126" s="9" t="inlineStr">
        <is>
          <t>MTA*NYCT PAYGO NEW YORK NY 09/23 (...0119)</t>
        </is>
      </c>
      <c r="D126" s="9" t="inlineStr">
        <is>
          <t>MTA NYCT Paygo</t>
        </is>
      </c>
      <c r="E126" s="9" t="inlineStr">
        <is>
          <t>Transportation</t>
        </is>
      </c>
      <c r="F126" s="9" t="inlineStr">
        <is>
          <t>Public transit</t>
        </is>
      </c>
      <c r="G126" s="9" t="inlineStr">
        <is>
          <t>Checking</t>
        </is>
      </c>
      <c r="H126" s="9" t="inlineStr">
        <is>
          <t>Debit Card</t>
        </is>
      </c>
      <c r="I126" s="9" t="inlineStr">
        <is>
          <t>Expense</t>
        </is>
      </c>
      <c r="J126" s="3" t="n">
        <v>3.00</v>
      </c>
      <c r="K126" s="9" t="inlineStr">
        <is>
          <t>9월 4주차; Chase Secure (...0119); Posted 2026-09-24; Balance shown: $7,969.63</t>
        </is>
      </c>
    </row>
    <row r="127">
      <c r="A127" s="4" t="n">
        <v>46289</v>
      </c>
      <c r="B127" s="9">
        <f>IF(A127="","",INT(DAY(A127)/7)+1)</f>
        <v>4</v>
      </c>
      <c r="C127" s="9" t="inlineStr">
        <is>
          <t>MTA*NYCT PAYGO NEW YORK NY 09/23 (...0119)</t>
        </is>
      </c>
      <c r="D127" s="9" t="inlineStr">
        <is>
          <t>MTA NYCT Paygo</t>
        </is>
      </c>
      <c r="E127" s="9" t="inlineStr">
        <is>
          <t>Transportation</t>
        </is>
      </c>
      <c r="F127" s="9" t="inlineStr">
        <is>
          <t>Public transit</t>
        </is>
      </c>
      <c r="G127" s="9" t="inlineStr">
        <is>
          <t>Checking</t>
        </is>
      </c>
      <c r="H127" s="9" t="inlineStr">
        <is>
          <t>Debit Card</t>
        </is>
      </c>
      <c r="I127" s="9" t="inlineStr">
        <is>
          <t>Expense</t>
        </is>
      </c>
      <c r="J127" s="3" t="n">
        <v>3.00</v>
      </c>
      <c r="K127" s="9" t="inlineStr">
        <is>
          <t>9월 4주차; Chase Secure (...0119); Posted 2026-09-24; Balance shown: $7,972.63</t>
        </is>
      </c>
    </row>
    <row r="128">
      <c r="A128" s="4" t="n">
        <v>46289</v>
      </c>
      <c r="B128" s="9">
        <f>IF(A128="","",INT(DAY(A128)/7)+1)</f>
        <v>4</v>
      </c>
      <c r="C128" s="9" t="inlineStr">
        <is>
          <t>99 CENT SUPREME PIZZA BROOKLYN NY 09/22 (...0119)</t>
        </is>
      </c>
      <c r="D128" s="9" t="inlineStr">
        <is>
          <t>99 Cent Supreme Pizza</t>
        </is>
      </c>
      <c r="E128" s="9" t="inlineStr">
        <is>
          <t>Dining</t>
        </is>
      </c>
      <c r="F128" s="9" t="inlineStr">
        <is>
          <t>Restaurant/Pizza</t>
        </is>
      </c>
      <c r="G128" s="9" t="inlineStr">
        <is>
          <t>Checking</t>
        </is>
      </c>
      <c r="H128" s="9" t="inlineStr">
        <is>
          <t>Debit Card</t>
        </is>
      </c>
      <c r="I128" s="9" t="inlineStr">
        <is>
          <t>Expense</t>
        </is>
      </c>
      <c r="J128" s="3" t="n">
        <v>3.39</v>
      </c>
      <c r="K128" s="9" t="inlineStr">
        <is>
          <t>9월 4주차; Chase Secure (...0119); Posted 2026-09-24; Balance shown: $7,975.63</t>
        </is>
      </c>
    </row>
    <row r="129">
      <c r="A129" s="4" t="n">
        <v>46290</v>
      </c>
      <c r="B129" s="9">
        <f>IF(A129="","",INT(DAY(A129)/7)+1)</f>
        <v>4</v>
      </c>
      <c r="C129" s="9" t="inlineStr">
        <is>
          <t>VENMO PAYMENT 1053282556410 WEB ID: 3264681992</t>
        </is>
      </c>
      <c r="D129" s="9" t="inlineStr">
        <is>
          <t>Venmo</t>
        </is>
      </c>
      <c r="E129" s="9" t="inlineStr">
        <is>
          <t>Entertainment</t>
        </is>
      </c>
      <c r="F129" s="9" t="inlineStr">
        <is>
          <t>Yankee Stadium visit</t>
        </is>
      </c>
      <c r="G129" s="9" t="inlineStr">
        <is>
          <t>Checking</t>
        </is>
      </c>
      <c r="H129" s="9" t="inlineStr">
        <is>
          <t>ACH</t>
        </is>
      </c>
      <c r="I129" s="9" t="inlineStr">
        <is>
          <t>Expense</t>
        </is>
      </c>
      <c r="J129" s="3" t="n">
        <v>28.00</v>
      </c>
      <c r="K129" s="9" t="inlineStr">
        <is>
          <t>9월 4주차; Chase Secure (...0119); Posted 2026-09-25; Balance shown: $7,888.03; User confirmed spending during Yankee Stadium visit; Entertainment expense paid via Venmo.</t>
        </is>
      </c>
    </row>
    <row r="130">
      <c r="A130" s="4" t="n">
        <v>46290</v>
      </c>
      <c r="B130" s="9">
        <f>IF(A130="","",INT(DAY(A130)/7)+1)</f>
        <v>4</v>
      </c>
      <c r="C130" s="9" t="inlineStr">
        <is>
          <t>MTA*NYCT PAYGO NEW YORK NY 09/24 (...0119)</t>
        </is>
      </c>
      <c r="D130" s="9" t="inlineStr">
        <is>
          <t>MTA NYCT Paygo</t>
        </is>
      </c>
      <c r="E130" s="9" t="inlineStr">
        <is>
          <t>Transportation</t>
        </is>
      </c>
      <c r="F130" s="9" t="inlineStr">
        <is>
          <t>Public transit</t>
        </is>
      </c>
      <c r="G130" s="9" t="inlineStr">
        <is>
          <t>Checking</t>
        </is>
      </c>
      <c r="H130" s="9" t="inlineStr">
        <is>
          <t>Debit Card</t>
        </is>
      </c>
      <c r="I130" s="9" t="inlineStr">
        <is>
          <t>Expense</t>
        </is>
      </c>
      <c r="J130" s="3" t="n">
        <v>3.00</v>
      </c>
      <c r="K130" s="9" t="inlineStr">
        <is>
          <t>9월 4주차; Chase Secure (...0119); Posted 2026-09-25; Balance shown: $7,916.03</t>
        </is>
      </c>
    </row>
    <row r="131">
      <c r="A131" s="4" t="n">
        <v>46290</v>
      </c>
      <c r="B131" s="9">
        <f>IF(A131="","",INT(DAY(A131)/7)+1)</f>
        <v>4</v>
      </c>
      <c r="C131" s="9" t="inlineStr">
        <is>
          <t>MTA*NYCT PAYGO NEW YORK NY 09/24 (...0119)</t>
        </is>
      </c>
      <c r="D131" s="9" t="inlineStr">
        <is>
          <t>MTA NYCT Paygo</t>
        </is>
      </c>
      <c r="E131" s="9" t="inlineStr">
        <is>
          <t>Transportation</t>
        </is>
      </c>
      <c r="F131" s="9" t="inlineStr">
        <is>
          <t>Public transit</t>
        </is>
      </c>
      <c r="G131" s="9" t="inlineStr">
        <is>
          <t>Checking</t>
        </is>
      </c>
      <c r="H131" s="9" t="inlineStr">
        <is>
          <t>Debit Card</t>
        </is>
      </c>
      <c r="I131" s="9" t="inlineStr">
        <is>
          <t>Expense</t>
        </is>
      </c>
      <c r="J131" s="3" t="n">
        <v>3.00</v>
      </c>
      <c r="K131" s="9" t="inlineStr">
        <is>
          <t>9월 4주차; Chase Secure (...0119); Posted 2026-09-25; Balance shown: $7,919.03</t>
        </is>
      </c>
    </row>
    <row r="132">
      <c r="A132" s="4" t="n">
        <v>46290</v>
      </c>
      <c r="B132" s="9">
        <f>IF(A132="","",INT(DAY(A132)/7)+1)</f>
        <v>4</v>
      </c>
      <c r="C132" s="9" t="inlineStr">
        <is>
          <t>MTA*NYCT PAYGO NEW YORK NY 09/24 (...0119)</t>
        </is>
      </c>
      <c r="D132" s="9" t="inlineStr">
        <is>
          <t>MTA NYCT Paygo</t>
        </is>
      </c>
      <c r="E132" s="9" t="inlineStr">
        <is>
          <t>Transportation</t>
        </is>
      </c>
      <c r="F132" s="9" t="inlineStr">
        <is>
          <t>Public transit</t>
        </is>
      </c>
      <c r="G132" s="9" t="inlineStr">
        <is>
          <t>Checking</t>
        </is>
      </c>
      <c r="H132" s="9" t="inlineStr">
        <is>
          <t>Debit Card</t>
        </is>
      </c>
      <c r="I132" s="9" t="inlineStr">
        <is>
          <t>Expense</t>
        </is>
      </c>
      <c r="J132" s="3" t="n">
        <v>3.00</v>
      </c>
      <c r="K132" s="9" t="inlineStr">
        <is>
          <t>9월 4주차; Chase Secure (...0119); Posted 2026-09-25; Balance shown: $7,922.03</t>
        </is>
      </c>
    </row>
    <row r="133">
      <c r="A133" s="4" t="n">
        <v>46290</v>
      </c>
      <c r="B133" s="9">
        <f>IF(A133="","",INT(DAY(A133)/7)+1)</f>
        <v>4</v>
      </c>
      <c r="C133" s="9" t="inlineStr">
        <is>
          <t>CUTE GIFTS &amp; CONVENIENC NEW YORK NY 09/23 (...0119)</t>
        </is>
      </c>
      <c r="D133" s="9" t="inlineStr">
        <is>
          <t>CUTE GIFTS &amp; CONVENIENC</t>
        </is>
      </c>
      <c r="E133" s="9" t="inlineStr">
        <is>
          <t>Shopping</t>
        </is>
      </c>
      <c r="F133" s="9" t="inlineStr">
        <is>
          <t>Convenience store</t>
        </is>
      </c>
      <c r="G133" s="9" t="inlineStr">
        <is>
          <t>Checking</t>
        </is>
      </c>
      <c r="H133" s="9" t="inlineStr">
        <is>
          <t>Debit Card</t>
        </is>
      </c>
      <c r="I133" s="9" t="inlineStr">
        <is>
          <t>Expense</t>
        </is>
      </c>
      <c r="J133" s="3" t="n">
        <v>2.08</v>
      </c>
      <c r="K133" s="9" t="inlineStr">
        <is>
          <t>9월 4주차; Chase Secure (...0119); Posted 2026-09-25; Balance shown: $7,925.03; Category inferred from merchant</t>
        </is>
      </c>
    </row>
    <row r="134">
      <c r="A134" s="4">
        <v>46293</v>
      </c>
      <c r="B134" s="9">
        <f>IF(A134="","",INT(DAY(A134)/7)+1)</f>
        <v>5</v>
      </c>
      <c r="C134" s="9" t="inlineStr">
        <is>
          <t>CVS/PHARMACY #10826 NEW YORK NY 004791 09/27 (...0119)</t>
        </is>
      </c>
      <c r="D134" s="9" t="inlineStr">
        <is>
          <t>CVS Pharmacy</t>
        </is>
      </c>
      <c r="E134" s="9" t="inlineStr">
        <is>
          <t>Shopping</t>
        </is>
      </c>
      <c r="F134" s="9" t="inlineStr">
        <is>
          <t>Pharmacy retail (unconfirmed)</t>
        </is>
      </c>
      <c r="G134" s="9" t="inlineStr">
        <is>
          <t>Checking</t>
        </is>
      </c>
      <c r="H134" s="9" t="inlineStr">
        <is>
          <t>Debit Card</t>
        </is>
      </c>
      <c r="I134" s="9" t="inlineStr">
        <is>
          <t>Expense</t>
        </is>
      </c>
      <c r="J134" s="3">
        <v>21.76</v>
      </c>
      <c r="K134" s="9" t="inlineStr">
        <is>
          <t>9월 5주차; Chase Secure (...0119); Posted 2026-09-28; Balance shown: $7,719.31; Category inferred from merchant; purchase details unconfirmed</t>
        </is>
      </c>
    </row>
    <row r="135">
      <c r="A135" s="4">
        <v>46293</v>
      </c>
      <c r="B135" s="9">
        <f>IF(A135="","",INT(DAY(A135)/7)+1)</f>
        <v>5</v>
      </c>
      <c r="C135" s="9" t="inlineStr">
        <is>
          <t>TST*RAKU EAST VILLAGE New York NY 09/27 (...0119)</t>
        </is>
      </c>
      <c r="D135" s="9" t="inlineStr">
        <is>
          <t>Raku East Village</t>
        </is>
      </c>
      <c r="E135" s="9" t="inlineStr">
        <is>
          <t>Dining</t>
        </is>
      </c>
      <c r="F135" s="9" t="inlineStr">
        <is>
          <t>Restaurant</t>
        </is>
      </c>
      <c r="G135" s="9" t="inlineStr">
        <is>
          <t>Checking</t>
        </is>
      </c>
      <c r="H135" s="9" t="inlineStr">
        <is>
          <t>Debit Card</t>
        </is>
      </c>
      <c r="I135" s="9" t="inlineStr">
        <is>
          <t>Expense</t>
        </is>
      </c>
      <c r="J135" s="3">
        <v>73.45</v>
      </c>
      <c r="K135" s="9" t="inlineStr">
        <is>
          <t>9월 5주차; Chase Secure (...0119); Posted 2026-09-28; Balance shown: $7,741.07</t>
        </is>
      </c>
    </row>
    <row r="136">
      <c r="A136" s="4">
        <v>46293</v>
      </c>
      <c r="B136" s="9">
        <f>IF(A136="","",INT(DAY(A136)/7)+1)</f>
        <v>5</v>
      </c>
      <c r="C136" s="9" t="inlineStr">
        <is>
          <t>BP#2141158491 ROUTE 4 ENGLEWOOD NJ 097650 09/26 (...0119)</t>
        </is>
      </c>
      <c r="D136" s="9" t="inlineStr">
        <is>
          <t>BP Route 4</t>
        </is>
      </c>
      <c r="E136" s="9" t="inlineStr">
        <is>
          <t>Shopping</t>
        </is>
      </c>
      <c r="F136" s="9" t="inlineStr">
        <is>
          <t>Gas station purchase (unconfirmed)</t>
        </is>
      </c>
      <c r="G136" s="9" t="inlineStr">
        <is>
          <t>Checking</t>
        </is>
      </c>
      <c r="H136" s="9" t="inlineStr">
        <is>
          <t>Debit Card</t>
        </is>
      </c>
      <c r="I136" s="9" t="inlineStr">
        <is>
          <t>Expense</t>
        </is>
      </c>
      <c r="J136" s="3">
        <v>5.44</v>
      </c>
      <c r="K136" s="9" t="inlineStr">
        <is>
          <t>9월 5주차; Chase Secure (...0119); Posted 2026-09-28; Balance shown: $7,814.52; Category inferred from merchant; purchase details unconfirmed</t>
        </is>
      </c>
    </row>
    <row r="137">
      <c r="A137" s="4">
        <v>46293</v>
      </c>
      <c r="B137" s="9">
        <f>IF(A137="","",INT(DAY(A137)/7)+1)</f>
        <v>5</v>
      </c>
      <c r="C137" s="9" t="inlineStr">
        <is>
          <t>7-ELEVEN 11427 COYTESVILLE NJ 09/27 (...0119)</t>
        </is>
      </c>
      <c r="D137" s="9" t="inlineStr">
        <is>
          <t>7-Eleven</t>
        </is>
      </c>
      <c r="E137" s="9" t="inlineStr">
        <is>
          <t>Shopping</t>
        </is>
      </c>
      <c r="F137" s="9" t="inlineStr">
        <is>
          <t>Convenience store</t>
        </is>
      </c>
      <c r="G137" s="9" t="inlineStr">
        <is>
          <t>Checking</t>
        </is>
      </c>
      <c r="H137" s="9" t="inlineStr">
        <is>
          <t>Debit Card</t>
        </is>
      </c>
      <c r="I137" s="9" t="inlineStr">
        <is>
          <t>Expense</t>
        </is>
      </c>
      <c r="J137" s="3">
        <v>2.99</v>
      </c>
      <c r="K137" s="9" t="inlineStr">
        <is>
          <t>9월 5주차; Chase Secure (...0119); Posted 2026-09-28; Balance shown: $7,819.96; Category inferred from merchant; purchase details unconfirmed</t>
        </is>
      </c>
    </row>
    <row r="138">
      <c r="A138" s="4">
        <v>46293</v>
      </c>
      <c r="B138" s="9">
        <f>IF(A138="","",INT(DAY(A138)/7)+1)</f>
        <v>5</v>
      </c>
      <c r="C138" s="9" t="inlineStr">
        <is>
          <t>7-ELEVEN 11427 COYTESVILLE NJ 09/27 (...0119)</t>
        </is>
      </c>
      <c r="D138" s="9" t="inlineStr">
        <is>
          <t>7-Eleven</t>
        </is>
      </c>
      <c r="E138" s="9" t="inlineStr">
        <is>
          <t>Shopping</t>
        </is>
      </c>
      <c r="F138" s="9" t="inlineStr">
        <is>
          <t>Convenience store</t>
        </is>
      </c>
      <c r="G138" s="9" t="inlineStr">
        <is>
          <t>Checking</t>
        </is>
      </c>
      <c r="H138" s="9" t="inlineStr">
        <is>
          <t>Debit Card</t>
        </is>
      </c>
      <c r="I138" s="9" t="inlineStr">
        <is>
          <t>Expense</t>
        </is>
      </c>
      <c r="J138" s="3">
        <v>2.99</v>
      </c>
      <c r="K138" s="9" t="inlineStr">
        <is>
          <t>9월 5주차; Chase Secure (...0119); Posted 2026-09-28; Balance shown: $7,822.95; Category inferred from merchant; purchase details unconfirmed</t>
        </is>
      </c>
    </row>
    <row r="139">
      <c r="A139" s="4">
        <v>46293</v>
      </c>
      <c r="B139" s="9">
        <f>IF(A139="","",INT(DAY(A139)/7)+1)</f>
        <v>5</v>
      </c>
      <c r="C139" s="9" t="inlineStr">
        <is>
          <t>NJT BUS MY-TIX JWAITE@NJTRAN NJ 09/26 (...0119)</t>
        </is>
      </c>
      <c r="D139" s="9" t="inlineStr">
        <is>
          <t>NJ Transit</t>
        </is>
      </c>
      <c r="E139" s="9" t="inlineStr">
        <is>
          <t>Transportation</t>
        </is>
      </c>
      <c r="F139" s="9" t="inlineStr">
        <is>
          <t>Public transit</t>
        </is>
      </c>
      <c r="G139" s="9" t="inlineStr">
        <is>
          <t>Checking</t>
        </is>
      </c>
      <c r="H139" s="9" t="inlineStr">
        <is>
          <t>Debit Card</t>
        </is>
      </c>
      <c r="I139" s="9" t="inlineStr">
        <is>
          <t>Expense</t>
        </is>
      </c>
      <c r="J139" s="3">
        <v>2.20</v>
      </c>
      <c r="K139" s="9" t="inlineStr">
        <is>
          <t>9월 5주차; Chase Secure (...0119); Posted 2026-09-28; Balance shown: $7,825.94</t>
        </is>
      </c>
    </row>
    <row r="140">
      <c r="A140" s="4">
        <v>46293</v>
      </c>
      <c r="B140" s="9">
        <f>IF(A140="","",INT(DAY(A140)/7)+1)</f>
        <v>5</v>
      </c>
      <c r="C140" s="9" t="inlineStr">
        <is>
          <t>SHOPRITE ENGLEWOOD S1 ENGLEWOOD NJ 09/26 (...0119)</t>
        </is>
      </c>
      <c r="D140" s="9" t="inlineStr">
        <is>
          <t>ShopRite</t>
        </is>
      </c>
      <c r="E140" s="9" t="inlineStr">
        <is>
          <t>Groceries</t>
        </is>
      </c>
      <c r="F140" s="9" t="inlineStr">
        <is>
          <t>Groceries</t>
        </is>
      </c>
      <c r="G140" s="9" t="inlineStr">
        <is>
          <t>Checking</t>
        </is>
      </c>
      <c r="H140" s="9" t="inlineStr">
        <is>
          <t>Debit Card</t>
        </is>
      </c>
      <c r="I140" s="9" t="inlineStr">
        <is>
          <t>Expense</t>
        </is>
      </c>
      <c r="J140" s="3">
        <v>16.47</v>
      </c>
      <c r="K140" s="9" t="inlineStr">
        <is>
          <t>9월 5주차; Chase Secure (...0119); Posted 2026-09-28; Balance shown: $7,828.14</t>
        </is>
      </c>
    </row>
    <row r="141">
      <c r="A141" s="4">
        <v>46293</v>
      </c>
      <c r="B141" s="9">
        <f>IF(A141="","",INT(DAY(A141)/7)+1)</f>
        <v>5</v>
      </c>
      <c r="C141" s="9" t="inlineStr">
        <is>
          <t>C &amp; R BEVERAGE ENGLEWOOD NJ 09/25 (...0119)</t>
        </is>
      </c>
      <c r="D141" s="9" t="inlineStr">
        <is>
          <t>C &amp; R Beverage</t>
        </is>
      </c>
      <c r="E141" s="9" t="inlineStr">
        <is>
          <t>Dining</t>
        </is>
      </c>
      <c r="F141" s="9" t="inlineStr">
        <is>
          <t>Alcohol (inferred)</t>
        </is>
      </c>
      <c r="G141" s="9" t="inlineStr">
        <is>
          <t>Checking</t>
        </is>
      </c>
      <c r="H141" s="9" t="inlineStr">
        <is>
          <t>Debit Card</t>
        </is>
      </c>
      <c r="I141" s="9" t="inlineStr">
        <is>
          <t>Expense</t>
        </is>
      </c>
      <c r="J141" s="3">
        <v>27.45</v>
      </c>
      <c r="K141" s="9" t="inlineStr">
        <is>
          <t>9월 5주차; Chase Secure (...0119); Posted 2026-09-28; Balance shown: $7,844.61; Category inferred from merchant; purchase details unconfirmed</t>
        </is>
      </c>
    </row>
    <row r="142">
      <c r="A142" s="4">
        <v>46293</v>
      </c>
      <c r="B142" s="9">
        <f>IF(A142="","",INT(DAY(A142)/7)+1)</f>
        <v>5</v>
      </c>
      <c r="C142" s="9" t="inlineStr">
        <is>
          <t>NJTRANSIT PAYGO MARK PATERSON NJ 09/25 (...0119)</t>
        </is>
      </c>
      <c r="D142" s="9" t="inlineStr">
        <is>
          <t>NJ Transit</t>
        </is>
      </c>
      <c r="E142" s="9" t="inlineStr">
        <is>
          <t>Transportation</t>
        </is>
      </c>
      <c r="F142" s="9" t="inlineStr">
        <is>
          <t>Public transit</t>
        </is>
      </c>
      <c r="G142" s="9" t="inlineStr">
        <is>
          <t>Checking</t>
        </is>
      </c>
      <c r="H142" s="9" t="inlineStr">
        <is>
          <t>Debit Card</t>
        </is>
      </c>
      <c r="I142" s="9" t="inlineStr">
        <is>
          <t>Expense</t>
        </is>
      </c>
      <c r="J142" s="3">
        <v>4.20</v>
      </c>
      <c r="K142" s="9" t="inlineStr">
        <is>
          <t>9월 5주차; Chase Secure (...0119); Posted 2026-09-28; Balance shown: $7,872.06</t>
        </is>
      </c>
    </row>
    <row r="143">
      <c r="A143" s="4">
        <v>46293</v>
      </c>
      <c r="B143" s="9">
        <f>IF(A143="","",INT(DAY(A143)/7)+1)</f>
        <v>5</v>
      </c>
      <c r="C143" s="9" t="inlineStr">
        <is>
          <t>MTA*NYCT PAYGO NEW YORK NY 09/25 (...0119)</t>
        </is>
      </c>
      <c r="D143" s="9" t="inlineStr">
        <is>
          <t>MTA NYCT Paygo</t>
        </is>
      </c>
      <c r="E143" s="9" t="inlineStr">
        <is>
          <t>Transportation</t>
        </is>
      </c>
      <c r="F143" s="9" t="inlineStr">
        <is>
          <t>Public transit</t>
        </is>
      </c>
      <c r="G143" s="9" t="inlineStr">
        <is>
          <t>Checking</t>
        </is>
      </c>
      <c r="H143" s="9" t="inlineStr">
        <is>
          <t>Debit Card</t>
        </is>
      </c>
      <c r="I143" s="9" t="inlineStr">
        <is>
          <t>Expense</t>
        </is>
      </c>
      <c r="J143" s="3">
        <v>2.00</v>
      </c>
      <c r="K143" s="9" t="inlineStr">
        <is>
          <t>9월 5주차; Chase Secure (...0119); Posted 2026-09-28; Balance shown: $7,876.26</t>
        </is>
      </c>
    </row>
    <row r="144">
      <c r="A144" s="4">
        <v>46293</v>
      </c>
      <c r="B144" s="9">
        <f>IF(A144="","",INT(DAY(A144)/7)+1)</f>
        <v>5</v>
      </c>
      <c r="C144" s="9" t="inlineStr">
        <is>
          <t>99 CENT SUPREME PIZZA BROOKLYN NY 09/25 (...0119)</t>
        </is>
      </c>
      <c r="D144" s="9" t="inlineStr">
        <is>
          <t>99 Cent Supreme Pizza</t>
        </is>
      </c>
      <c r="E144" s="9" t="inlineStr">
        <is>
          <t>Dining</t>
        </is>
      </c>
      <c r="F144" s="9" t="inlineStr">
        <is>
          <t>Restaurant/Pizza</t>
        </is>
      </c>
      <c r="G144" s="9" t="inlineStr">
        <is>
          <t>Checking</t>
        </is>
      </c>
      <c r="H144" s="9" t="inlineStr">
        <is>
          <t>Debit Card</t>
        </is>
      </c>
      <c r="I144" s="9" t="inlineStr">
        <is>
          <t>Expense</t>
        </is>
      </c>
      <c r="J144" s="3">
        <v>6.77</v>
      </c>
      <c r="K144" s="9" t="inlineStr">
        <is>
          <t>9월 5주차; Chase Secure (...0119); Posted 2026-09-28; Balance shown: $7,878.26</t>
        </is>
      </c>
    </row>
    <row r="145">
      <c r="A145" s="4">
        <v>46293</v>
      </c>
      <c r="B145" s="9">
        <f>IF(A145="","",INT(DAY(A145)/7)+1)</f>
        <v>5</v>
      </c>
      <c r="C145" s="9" t="inlineStr">
        <is>
          <t>MTA*NYCT PAYGO NEW YORK NY 09/25 (...0119)</t>
        </is>
      </c>
      <c r="D145" s="9" t="inlineStr">
        <is>
          <t>MTA NYCT Paygo</t>
        </is>
      </c>
      <c r="E145" s="9" t="inlineStr">
        <is>
          <t>Transportation</t>
        </is>
      </c>
      <c r="F145" s="9" t="inlineStr">
        <is>
          <t>Public transit</t>
        </is>
      </c>
      <c r="G145" s="9" t="inlineStr">
        <is>
          <t>Checking</t>
        </is>
      </c>
      <c r="H145" s="9" t="inlineStr">
        <is>
          <t>Debit Card</t>
        </is>
      </c>
      <c r="I145" s="9" t="inlineStr">
        <is>
          <t>Expense</t>
        </is>
      </c>
      <c r="J145" s="3">
        <v>3.00</v>
      </c>
      <c r="K145" s="9" t="inlineStr">
        <is>
          <t>9월 5주차; Chase Secure (...0119); Posted 2026-09-28; Balance shown: $7,885.03</t>
        </is>
      </c>
    </row>
    <row r="146">
      <c r="A146" s="4">
        <v>46294</v>
      </c>
      <c r="B146" s="9">
        <f>IF(A146="","",INT(DAY(A146)/7)+1)</f>
        <v>5</v>
      </c>
      <c r="C146" s="9" t="inlineStr">
        <is>
          <t>NEW YORK UNIVERS DIRECT DEP PPD ID: 5135562308</t>
        </is>
      </c>
      <c r="D146" s="9" t="inlineStr">
        <is>
          <t>New York University</t>
        </is>
      </c>
      <c r="E146" s="9" t="inlineStr">
        <is>
          <t>Income</t>
        </is>
      </c>
      <c r="F146" s="9" t="inlineStr">
        <is>
          <t>Direct deposit</t>
        </is>
      </c>
      <c r="G146" s="9" t="inlineStr">
        <is>
          <t>Checking</t>
        </is>
      </c>
      <c r="H146" s="9" t="inlineStr">
        <is>
          <t>ACH</t>
        </is>
      </c>
      <c r="I146" s="9" t="inlineStr">
        <is>
          <t>Income</t>
        </is>
      </c>
      <c r="J146" s="3">
        <v>1548.00</v>
      </c>
      <c r="K146" s="9" t="inlineStr">
        <is>
          <t>9월 5주차; Chase Secure (...0119); Posted 2026-09-29; Balance shown: $9,267.31</t>
        </is>
      </c>
    </row>
    <row r="147">
      <c r="A147" s="4">
        <v>46295</v>
      </c>
      <c r="B147" s="9">
        <f>IF(A147="","",INT(DAY(A147)/7)+1)</f>
        <v>5</v>
      </c>
      <c r="C147" s="9" t="inlineStr">
        <is>
          <t>Zelle payment to wwhy28 31023804151</t>
        </is>
      </c>
      <c r="D147" s="9" t="inlineStr">
        <is>
          <t>wwhy28</t>
        </is>
      </c>
      <c r="E147" s="9" t="inlineStr">
        <is>
          <t>Dining</t>
        </is>
      </c>
      <c r="F147" s="9" t="inlineStr">
        <is>
          <t>Alcohol settlement</t>
        </is>
      </c>
      <c r="G147" s="9" t="inlineStr">
        <is>
          <t>Checking</t>
        </is>
      </c>
      <c r="H147" s="9" t="inlineStr">
        <is>
          <t>Venmo/Zelle/PayPal</t>
        </is>
      </c>
      <c r="I147" s="9" t="inlineStr">
        <is>
          <t>Expense</t>
        </is>
      </c>
      <c r="J147" s="3">
        <v>28.00</v>
      </c>
      <c r="K147" s="9" t="inlineStr">
        <is>
          <t>9월 5주차; Chase Secure (...0119); Posted 2026-09-30; Balance shown: $9,127.06; 술값 정산 (user confirmed)</t>
        </is>
      </c>
    </row>
    <row r="148">
      <c r="A148" s="4">
        <v>46295</v>
      </c>
      <c r="B148" s="9">
        <f>IF(A148="","",INT(DAY(A148)/7)+1)</f>
        <v>5</v>
      </c>
      <c r="C148" s="9" t="inlineStr">
        <is>
          <t>Zelle payment to wwhy28 31011487486</t>
        </is>
      </c>
      <c r="D148" s="9" t="inlineStr">
        <is>
          <t>wwhy28</t>
        </is>
      </c>
      <c r="E148" s="9" t="inlineStr">
        <is>
          <t>Dining</t>
        </is>
      </c>
      <c r="F148" s="9" t="inlineStr">
        <is>
          <t>Alcohol settlement</t>
        </is>
      </c>
      <c r="G148" s="9" t="inlineStr">
        <is>
          <t>Checking</t>
        </is>
      </c>
      <c r="H148" s="9" t="inlineStr">
        <is>
          <t>Venmo/Zelle/PayPal</t>
        </is>
      </c>
      <c r="I148" s="9" t="inlineStr">
        <is>
          <t>Expense</t>
        </is>
      </c>
      <c r="J148" s="3">
        <v>30.00</v>
      </c>
      <c r="K148" s="9" t="inlineStr">
        <is>
          <t>9월 5주차; Chase Secure (...0119); Posted 2026-09-30; Balance shown: $9,155.06; 술값 정산 (user confirmed)</t>
        </is>
      </c>
    </row>
    <row r="149">
      <c r="A149" s="4">
        <v>46295</v>
      </c>
      <c r="B149" s="9">
        <f>IF(A149="","",INT(DAY(A149)/7)+1)</f>
        <v>5</v>
      </c>
      <c r="C149" s="9" t="inlineStr">
        <is>
          <t>Zelle payment to wwhy28 31010693624</t>
        </is>
      </c>
      <c r="D149" s="9" t="inlineStr">
        <is>
          <t>wwhy28</t>
        </is>
      </c>
      <c r="E149" s="9" t="inlineStr">
        <is>
          <t>Dining</t>
        </is>
      </c>
      <c r="F149" s="9" t="inlineStr">
        <is>
          <t>Alcohol settlement</t>
        </is>
      </c>
      <c r="G149" s="9" t="inlineStr">
        <is>
          <t>Checking</t>
        </is>
      </c>
      <c r="H149" s="9" t="inlineStr">
        <is>
          <t>Venmo/Zelle/PayPal</t>
        </is>
      </c>
      <c r="I149" s="9" t="inlineStr">
        <is>
          <t>Expense</t>
        </is>
      </c>
      <c r="J149" s="3">
        <v>68.00</v>
      </c>
      <c r="K149" s="9" t="inlineStr">
        <is>
          <t>9월 5주차; Chase Secure (...0119); Posted 2026-09-30; Balance shown: $9,185.06; 술값 정산 (user confirmed)</t>
        </is>
      </c>
    </row>
    <row r="150">
      <c r="A150" s="4">
        <v>46295</v>
      </c>
      <c r="B150" s="9">
        <f>IF(A150="","",INT(DAY(A150)/7)+1)</f>
        <v>5</v>
      </c>
      <c r="C150" s="9" t="inlineStr">
        <is>
          <t>MTA*LIRR ETIX TICKET 718-217-5477 NY 09/30 (...0119)</t>
        </is>
      </c>
      <c r="D150" s="9" t="inlineStr">
        <is>
          <t>MTA LIRR</t>
        </is>
      </c>
      <c r="E150" s="9" t="inlineStr">
        <is>
          <t>Transportation</t>
        </is>
      </c>
      <c r="F150" s="9" t="inlineStr">
        <is>
          <t>Rail ticket</t>
        </is>
      </c>
      <c r="G150" s="9" t="inlineStr">
        <is>
          <t>Checking</t>
        </is>
      </c>
      <c r="H150" s="9" t="inlineStr">
        <is>
          <t>Debit Card</t>
        </is>
      </c>
      <c r="I150" s="9" t="inlineStr">
        <is>
          <t>Expense</t>
        </is>
      </c>
      <c r="J150" s="3">
        <v>5.25</v>
      </c>
      <c r="K150" s="9" t="inlineStr">
        <is>
          <t>9월 5주차; Chase Secure (...0119); Posted 2026-09-30; Balance shown: $9,253.06</t>
        </is>
      </c>
    </row>
    <row r="151">
      <c r="A151" s="4">
        <v>46295</v>
      </c>
      <c r="B151" s="9">
        <f>IF(A151="","",INT(DAY(A151)/7)+1)</f>
        <v>5</v>
      </c>
      <c r="C151" s="9" t="inlineStr">
        <is>
          <t>MTA*NYCT PAYGO NEW YORK NY 09/29 (...0119)</t>
        </is>
      </c>
      <c r="D151" s="9" t="inlineStr">
        <is>
          <t>MTA NYCT Paygo</t>
        </is>
      </c>
      <c r="E151" s="9" t="inlineStr">
        <is>
          <t>Transportation</t>
        </is>
      </c>
      <c r="F151" s="9" t="inlineStr">
        <is>
          <t>Public transit</t>
        </is>
      </c>
      <c r="G151" s="9" t="inlineStr">
        <is>
          <t>Checking</t>
        </is>
      </c>
      <c r="H151" s="9" t="inlineStr">
        <is>
          <t>Debit Card</t>
        </is>
      </c>
      <c r="I151" s="9" t="inlineStr">
        <is>
          <t>Expense</t>
        </is>
      </c>
      <c r="J151" s="3">
        <v>3.00</v>
      </c>
      <c r="K151" s="9" t="inlineStr">
        <is>
          <t>9월 5주차; Chase Secure (...0119); Posted 2026-09-30; Balance shown: $9,258.31</t>
        </is>
      </c>
    </row>
    <row r="152">
      <c r="A152" s="4">
        <v>46295</v>
      </c>
      <c r="B152" s="9">
        <f>IF(A152="","",INT(DAY(A152)/7)+1)</f>
        <v>5</v>
      </c>
      <c r="C152" s="9" t="inlineStr">
        <is>
          <t>MTA*NYCT PAYGO NEW YORK NY 09/29 (...0119)</t>
        </is>
      </c>
      <c r="D152" s="9" t="inlineStr">
        <is>
          <t>MTA NYCT Paygo</t>
        </is>
      </c>
      <c r="E152" s="9" t="inlineStr">
        <is>
          <t>Transportation</t>
        </is>
      </c>
      <c r="F152" s="9" t="inlineStr">
        <is>
          <t>Public transit</t>
        </is>
      </c>
      <c r="G152" s="9" t="inlineStr">
        <is>
          <t>Checking</t>
        </is>
      </c>
      <c r="H152" s="9" t="inlineStr">
        <is>
          <t>Debit Card</t>
        </is>
      </c>
      <c r="I152" s="9" t="inlineStr">
        <is>
          <t>Expense</t>
        </is>
      </c>
      <c r="J152" s="3">
        <v>3.00</v>
      </c>
      <c r="K152" s="9" t="inlineStr">
        <is>
          <t>9월 5주차; Chase Secure (...0119); Posted 2026-09-30; Balance shown: $9,261.31</t>
        </is>
      </c>
    </row>
    <row r="153">
      <c r="A153" s="4">
        <v>46295</v>
      </c>
      <c r="B153" s="9">
        <f>IF(A153="","",INT(DAY(A153)/7)+1)</f>
        <v>5</v>
      </c>
      <c r="C153" s="9" t="inlineStr">
        <is>
          <t>MTA*NYCT PAYGO NEW YORK NY 09/29 (...0119)</t>
        </is>
      </c>
      <c r="D153" s="9" t="inlineStr">
        <is>
          <t>MTA NYCT Paygo</t>
        </is>
      </c>
      <c r="E153" s="9" t="inlineStr">
        <is>
          <t>Transportation</t>
        </is>
      </c>
      <c r="F153" s="9" t="inlineStr">
        <is>
          <t>Public transit</t>
        </is>
      </c>
      <c r="G153" s="9" t="inlineStr">
        <is>
          <t>Checking</t>
        </is>
      </c>
      <c r="H153" s="9" t="inlineStr">
        <is>
          <t>Debit Card</t>
        </is>
      </c>
      <c r="I153" s="9" t="inlineStr">
        <is>
          <t>Expense</t>
        </is>
      </c>
      <c r="J153" s="3">
        <v>3.00</v>
      </c>
      <c r="K153" s="9" t="inlineStr">
        <is>
          <t>9월 5주차; Chase Secure (...0119); Posted 2026-09-30; Balance shown: $9,264.31</t>
        </is>
      </c>
    </row>
    <row r="154">
      <c r="A154" s="4" t="n"/>
      <c r="B154" s="9">
        <f>IF(A154="","",INT(DAY(A154)/7)+1)</f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IF(A155="","",INT(DAY(A155)/7)+1)</f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IF(A156="","",INT(DAY(A156)/7)+1)</f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IF(A157="","",INT(DAY(A157)/7)+1)</f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IF(A158="","",INT(DAY(A158)/7)+1)</f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IF(A159="","",INT(DAY(A159)/7)+1)</f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IF(A160="","",INT(DAY(A160)/7)+1)</f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IF(A161="","",INT(DAY(A161)/7)+1)</f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IF(A162="","",INT(DAY(A162)/7)+1)</f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IF(A163="","",INT(DAY(A163)/7)+1)</f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IF(A164="","",INT(DAY(A164)/7)+1)</f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IF(A165="","",INT(DAY(A165)/7)+1)</f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IF(A166="","",INT(DAY(A166)/7)+1)</f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IF(A167="","",INT(DAY(A167)/7)+1)</f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IF(A168="","",INT(DAY(A168)/7)+1)</f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IF(A169="","",INT(DAY(A169)/7)+1)</f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IF(A170="","",INT(DAY(A170)/7)+1)</f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IF(A171="","",INT(DAY(A171)/7)+1)</f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IF(A172="","",INT(DAY(A172)/7)+1)</f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IF(A173="","",INT(DAY(A173)/7)+1)</f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IF(A174="","",INT(DAY(A174)/7)+1)</f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IF(A175="","",INT(DAY(A175)/7)+1)</f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IF(A176="","",INT(DAY(A176)/7)+1)</f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IF(A177="","",INT(DAY(A177)/7)+1)</f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IF(A178="","",INT(DAY(A178)/7)+1)</f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IF(A179="","",INT(DAY(A179)/7)+1)</f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IF(A180="","",INT(DAY(A180)/7)+1)</f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IF(A181="","",INT(DAY(A181)/7)+1)</f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IF(A182="","",INT(DAY(A182)/7)+1)</f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IF(A183="","",INT(DAY(A183)/7)+1)</f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IF(A184="","",INT(DAY(A184)/7)+1)</f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IF(A185="","",INT(DAY(A185)/7)+1)</f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IF(A186="","",INT(DAY(A186)/7)+1)</f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IF(A187="","",INT(DAY(A187)/7)+1)</f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IF(A188="","",INT(DAY(A188)/7)+1)</f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IF(A189="","",INT(DAY(A189)/7)+1)</f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IF(A190="","",INT(DAY(A190)/7)+1)</f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IF(A191="","",INT(DAY(A191)/7)+1)</f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IF(A192="","",INT(DAY(A192)/7)+1)</f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IF(A193="","",INT(DAY(A193)/7)+1)</f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IF(A194="","",INT(DAY(A194)/7)+1)</f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IF(A195="","",INT(DAY(A195)/7)+1)</f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IF(A196="","",INT(DAY(A196)/7)+1)</f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IF(A197="","",INT(DAY(A197)/7)+1)</f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IF(A198="","",INT(DAY(A198)/7)+1)</f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IF(A199="","",INT(DAY(A199)/7)+1)</f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IF(A200="","",INT(DAY(A200)/7)+1)</f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IF(A201="","",INT(DAY(A201)/7)+1)</f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IF(A202="","",INT(DAY(A202)/7)+1)</f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IF(A203="","",INT(DAY(A203)/7)+1)</f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IF(A204="","",INT(DAY(A204)/7)+1)</f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IF(A205="","",INT(DAY(A205)/7)+1)</f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IF(A206="","",INT(DAY(A206)/7)+1)</f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IF(A207="","",INT(DAY(A207)/7)+1)</f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IF(A208="","",INT(DAY(A208)/7)+1)</f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IF(A209="","",INT(DAY(A209)/7)+1)</f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IF(A210="","",INT(DAY(A210)/7)+1)</f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IF(A211="","",INT(DAY(A211)/7)+1)</f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IF(A212="","",INT(DAY(A212)/7)+1)</f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IF(A213="","",INT(DAY(A213)/7)+1)</f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IF(A214="","",INT(DAY(A214)/7)+1)</f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IF(A215="","",INT(DAY(A215)/7)+1)</f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IF(A216="","",INT(DAY(A216)/7)+1)</f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IF(A217="","",INT(DAY(A217)/7)+1)</f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IF(A218="","",INT(DAY(A218)/7)+1)</f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IF(A219="","",INT(DAY(A219)/7)+1)</f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IF(A220="","",INT(DAY(A220)/7)+1)</f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IF(A221="","",INT(DAY(A221)/7)+1)</f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IF(A222="","",INT(DAY(A222)/7)+1)</f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IF(A223="","",INT(DAY(A223)/7)+1)</f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IF(A224="","",INT(DAY(A224)/7)+1)</f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IF(A225="","",INT(DAY(A225)/7)+1)</f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IF(A226="","",INT(DAY(A226)/7)+1)</f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IF(A227="","",INT(DAY(A227)/7)+1)</f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IF(A228="","",INT(DAY(A228)/7)+1)</f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IF(A229="","",INT(DAY(A229)/7)+1)</f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IF(A230="","",INT(DAY(A230)/7)+1)</f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IF(A231="","",INT(DAY(A231)/7)+1)</f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IF(A232="","",INT(DAY(A232)/7)+1)</f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IF(A233="","",INT(DAY(A233)/7)+1)</f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IF(A234="","",INT(DAY(A234)/7)+1)</f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IF(A235="","",INT(DAY(A235)/7)+1)</f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IF(A236="","",INT(DAY(A236)/7)+1)</f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IF(A237="","",INT(DAY(A237)/7)+1)</f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IF(A238="","",INT(DAY(A238)/7)+1)</f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IF(A239="","",INT(DAY(A239)/7)+1)</f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IF(A240="","",INT(DAY(A240)/7)+1)</f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IF(A241="","",INT(DAY(A241)/7)+1)</f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IF(A242="","",INT(DAY(A242)/7)+1)</f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IF(A243="","",INT(DAY(A243)/7)+1)</f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IF(A244="","",INT(DAY(A244)/7)+1)</f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IF(A245="","",INT(DAY(A245)/7)+1)</f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IF(A246="","",INT(DAY(A246)/7)+1)</f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IF(A247="","",INT(DAY(A247)/7)+1)</f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IF(A248="","",INT(DAY(A248)/7)+1)</f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IF(A249="","",INT(DAY(A249)/7)+1)</f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IF(A250="","",INT(DAY(A250)/7)+1)</f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IF(A251="","",INT(DAY(A251)/7)+1)</f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IF(A252="","",INT(DAY(A252)/7)+1)</f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IF(A253="","",INT(DAY(A253)/7)+1)</f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IF(A254="","",INT(DAY(A254)/7)+1)</f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IF(A255="","",INT(DAY(A255)/7)+1)</f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IF(A256="","",INT(DAY(A256)/7)+1)</f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IF(A257="","",INT(DAY(A257)/7)+1)</f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IF(A258="","",INT(DAY(A258)/7)+1)</f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IF(A259="","",INT(DAY(A259)/7)+1)</f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IF(A260="","",INT(DAY(A260)/7)+1)</f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IF(A261="","",INT(DAY(A261)/7)+1)</f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IF(A262="","",INT(DAY(A262)/7)+1)</f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IF(A263="","",INT(DAY(A263)/7)+1)</f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IF(A264="","",INT(DAY(A264)/7)+1)</f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IF(A265="","",INT(DAY(A265)/7)+1)</f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IF(A266="","",INT(DAY(A266)/7)+1)</f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IF(A267="","",INT(DAY(A267)/7)+1)</f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IF(A268="","",INT(DAY(A268)/7)+1)</f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IF(A269="","",INT(DAY(A269)/7)+1)</f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IF(A270="","",INT(DAY(A270)/7)+1)</f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IF(A271="","",INT(DAY(A271)/7)+1)</f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IF(A272="","",INT(DAY(A272)/7)+1)</f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IF(A273="","",INT(DAY(A273)/7)+1)</f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IF(A274="","",INT(DAY(A274)/7)+1)</f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IF(A275="","",INT(DAY(A275)/7)+1)</f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IF(A276="","",INT(DAY(A276)/7)+1)</f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IF(A277="","",INT(DAY(A277)/7)+1)</f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IF(A278="","",INT(DAY(A278)/7)+1)</f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IF(A279="","",INT(DAY(A279)/7)+1)</f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IF(A280="","",INT(DAY(A280)/7)+1)</f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IF(A281="","",INT(DAY(A281)/7)+1)</f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IF(A282="","",INT(DAY(A282)/7)+1)</f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IF(A283="","",INT(DAY(A283)/7)+1)</f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IF(A284="","",INT(DAY(A284)/7)+1)</f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IF(A285="","",INT(DAY(A285)/7)+1)</f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IF(A286="","",INT(DAY(A286)/7)+1)</f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IF(A287="","",INT(DAY(A287)/7)+1)</f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IF(A288="","",INT(DAY(A288)/7)+1)</f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IF(A289="","",INT(DAY(A289)/7)+1)</f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IF(A290="","",INT(DAY(A290)/7)+1)</f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IF(A291="","",INT(DAY(A291)/7)+1)</f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IF(A292="","",INT(DAY(A292)/7)+1)</f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IF(A293="","",INT(DAY(A293)/7)+1)</f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IF(A294="","",INT(DAY(A294)/7)+1)</f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IF(A295="","",INT(DAY(A295)/7)+1)</f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IF(A296="","",INT(DAY(A296)/7)+1)</f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IF(A297="","",INT(DAY(A297)/7)+1)</f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IF(A298="","",INT(DAY(A298)/7)+1)</f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IF(A299="","",INT(DAY(A299)/7)+1)</f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IF(A300="","",INT(DAY(A300)/7)+1)</f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IF(A301="","",INT(DAY(A301)/7)+1)</f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IF(A302="","",INT(DAY(A302)/7)+1)</f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IF(A303="","",INT(DAY(A303)/7)+1)</f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IF(A304="","",INT(DAY(A304)/7)+1)</f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IF(A305="","",INT(DAY(A305)/7)+1)</f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IF(A306="","",INT(DAY(A306)/7)+1)</f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IF(A307="","",INT(DAY(A307)/7)+1)</f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IF(A308="","",INT(DAY(A308)/7)+1)</f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IF(A309="","",INT(DAY(A309)/7)+1)</f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IF(A310="","",INT(DAY(A310)/7)+1)</f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IF(A311="","",INT(DAY(A311)/7)+1)</f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IF(A312="","",INT(DAY(A312)/7)+1)</f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IF(A313="","",INT(DAY(A313)/7)+1)</f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IF(A314="","",INT(DAY(A314)/7)+1)</f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IF(A315="","",INT(DAY(A315)/7)+1)</f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IF(A316="","",INT(DAY(A316)/7)+1)</f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IF(A317="","",INT(DAY(A317)/7)+1)</f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IF(A318="","",INT(DAY(A318)/7)+1)</f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IF(A319="","",INT(DAY(A319)/7)+1)</f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IF(A320="","",INT(DAY(A320)/7)+1)</f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IF(A321="","",INT(DAY(A321)/7)+1)</f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IF(A322="","",INT(DAY(A322)/7)+1)</f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IF(A323="","",INT(DAY(A323)/7)+1)</f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IF(A324="","",INT(DAY(A324)/7)+1)</f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IF(A325="","",INT(DAY(A325)/7)+1)</f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IF(A326="","",INT(DAY(A326)/7)+1)</f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IF(A327="","",INT(DAY(A327)/7)+1)</f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IF(A328="","",INT(DAY(A328)/7)+1)</f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IF(A329="","",INT(DAY(A329)/7)+1)</f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IF(A330="","",INT(DAY(A330)/7)+1)</f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IF(A331="","",INT(DAY(A331)/7)+1)</f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IF(A332="","",INT(DAY(A332)/7)+1)</f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IF(A333="","",INT(DAY(A333)/7)+1)</f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IF(A334="","",INT(DAY(A334)/7)+1)</f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IF(A335="","",INT(DAY(A335)/7)+1)</f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IF(A336="","",INT(DAY(A336)/7)+1)</f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IF(A337="","",INT(DAY(A337)/7)+1)</f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IF(A338="","",INT(DAY(A338)/7)+1)</f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IF(A339="","",INT(DAY(A339)/7)+1)</f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IF(A340="","",INT(DAY(A340)/7)+1)</f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IF(A341="","",INT(DAY(A341)/7)+1)</f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IF(A342="","",INT(DAY(A342)/7)+1)</f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IF(A343="","",INT(DAY(A343)/7)+1)</f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IF(A344="","",INT(DAY(A344)/7)+1)</f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IF(A345="","",INT(DAY(A345)/7)+1)</f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IF(A346="","",INT(DAY(A346)/7)+1)</f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IF(A347="","",INT(DAY(A347)/7)+1)</f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IF(A348="","",INT(DAY(A348)/7)+1)</f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IF(A349="","",INT(DAY(A349)/7)+1)</f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IF(A350="","",INT(DAY(A350)/7)+1)</f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IF(A351="","",INT(DAY(A351)/7)+1)</f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IF(A352="","",INT(DAY(A352)/7)+1)</f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IF(A353="","",INT(DAY(A353)/7)+1)</f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IF(A354="","",INT(DAY(A354)/7)+1)</f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IF(A355="","",INT(DAY(A355)/7)+1)</f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IF(A356="","",INT(DAY(A356)/7)+1)</f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IF(A357="","",INT(DAY(A357)/7)+1)</f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IF(A358="","",INT(DAY(A358)/7)+1)</f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IF(A359="","",INT(DAY(A359)/7)+1)</f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IF(A360="","",INT(DAY(A360)/7)+1)</f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IF(A361="","",INT(DAY(A361)/7)+1)</f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IF(A362="","",INT(DAY(A362)/7)+1)</f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IF(A363="","",INT(DAY(A363)/7)+1)</f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IF(A364="","",INT(DAY(A364)/7)+1)</f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IF(A365="","",INT(DAY(A365)/7)+1)</f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IF(A366="","",INT(DAY(A366)/7)+1)</f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IF(A367="","",INT(DAY(A367)/7)+1)</f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IF(A368="","",INT(DAY(A368)/7)+1)</f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IF(A369="","",INT(DAY(A369)/7)+1)</f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IF(A370="","",INT(DAY(A370)/7)+1)</f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IF(A371="","",INT(DAY(A371)/7)+1)</f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IF(A372="","",INT(DAY(A372)/7)+1)</f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IF(A373="","",INT(DAY(A373)/7)+1)</f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IF(A374="","",INT(DAY(A374)/7)+1)</f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IF(A375="","",INT(DAY(A375)/7)+1)</f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IF(A376="","",INT(DAY(A376)/7)+1)</f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IF(A377="","",INT(DAY(A377)/7)+1)</f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IF(A378="","",INT(DAY(A378)/7)+1)</f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IF(A379="","",INT(DAY(A379)/7)+1)</f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IF(A380="","",INT(DAY(A380)/7)+1)</f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IF(A381="","",INT(DAY(A381)/7)+1)</f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IF(A382="","",INT(DAY(A382)/7)+1)</f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IF(A383="","",INT(DAY(A383)/7)+1)</f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IF(A384="","",INT(DAY(A384)/7)+1)</f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IF(A385="","",INT(DAY(A385)/7)+1)</f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IF(A386="","",INT(DAY(A386)/7)+1)</f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IF(A387="","",INT(DAY(A387)/7)+1)</f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IF(A388="","",INT(DAY(A388)/7)+1)</f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IF(A389="","",INT(DAY(A389)/7)+1)</f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IF(A390="","",INT(DAY(A390)/7)+1)</f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IF(A391="","",INT(DAY(A391)/7)+1)</f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IF(A392="","",INT(DAY(A392)/7)+1)</f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IF(A393="","",INT(DAY(A393)/7)+1)</f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IF(A394="","",INT(DAY(A394)/7)+1)</f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IF(A395="","",INT(DAY(A395)/7)+1)</f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IF(A396="","",INT(DAY(A396)/7)+1)</f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IF(A397="","",INT(DAY(A397)/7)+1)</f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IF(A398="","",INT(DAY(A398)/7)+1)</f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IF(A399="","",INT(DAY(A399)/7)+1)</f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IF(A400="","",INT(DAY(A400)/7)+1)</f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IF(A401="","",INT(DAY(A401)/7)+1)</f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IF(A402="","",INT(DAY(A402)/7)+1)</f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IF(A403="","",INT(DAY(A403)/7)+1)</f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IF(A404="","",INT(DAY(A404)/7)+1)</f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IF(A405="","",INT(DAY(A405)/7)+1)</f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IF(A406="","",INT(DAY(A406)/7)+1)</f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IF(A407="","",INT(DAY(A407)/7)+1)</f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IF(A408="","",INT(DAY(A408)/7)+1)</f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IF(A409="","",INT(DAY(A409)/7)+1)</f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IF(A410="","",INT(DAY(A410)/7)+1)</f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IF(A411="","",INT(DAY(A411)/7)+1)</f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IF(A412="","",INT(DAY(A412)/7)+1)</f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IF(A413="","",INT(DAY(A413)/7)+1)</f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IF(A414="","",INT(DAY(A414)/7)+1)</f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IF(A415="","",INT(DAY(A415)/7)+1)</f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IF(A416="","",INT(DAY(A416)/7)+1)</f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IF(A417="","",INT(DAY(A417)/7)+1)</f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IF(A418="","",INT(DAY(A418)/7)+1)</f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IF(A419="","",INT(DAY(A419)/7)+1)</f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IF(A420="","",INT(DAY(A420)/7)+1)</f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IF(A421="","",INT(DAY(A421)/7)+1)</f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IF(A422="","",INT(DAY(A422)/7)+1)</f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IF(A423="","",INT(DAY(A423)/7)+1)</f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IF(A424="","",INT(DAY(A424)/7)+1)</f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IF(A425="","",INT(DAY(A425)/7)+1)</f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IF(A426="","",INT(DAY(A426)/7)+1)</f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IF(A427="","",INT(DAY(A427)/7)+1)</f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IF(A428="","",INT(DAY(A428)/7)+1)</f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IF(A429="","",INT(DAY(A429)/7)+1)</f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IF(A430="","",INT(DAY(A430)/7)+1)</f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IF(A431="","",INT(DAY(A431)/7)+1)</f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IF(A432="","",INT(DAY(A432)/7)+1)</f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IF(A433="","",INT(DAY(A433)/7)+1)</f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IF(A434="","",INT(DAY(A434)/7)+1)</f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IF(A435="","",INT(DAY(A435)/7)+1)</f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IF(A436="","",INT(DAY(A436)/7)+1)</f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IF(A437="","",INT(DAY(A437)/7)+1)</f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IF(A438="","",INT(DAY(A438)/7)+1)</f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IF(A439="","",INT(DAY(A439)/7)+1)</f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IF(A440="","",INT(DAY(A440)/7)+1)</f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IF(A441="","",INT(DAY(A441)/7)+1)</f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IF(A442="","",INT(DAY(A442)/7)+1)</f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IF(A443="","",INT(DAY(A443)/7)+1)</f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IF(A444="","",INT(DAY(A444)/7)+1)</f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IF(A445="","",INT(DAY(A445)/7)+1)</f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IF(A446="","",INT(DAY(A446)/7)+1)</f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IF(A447="","",INT(DAY(A447)/7)+1)</f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IF(A448="","",INT(DAY(A448)/7)+1)</f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IF(A449="","",INT(DAY(A449)/7)+1)</f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IF(A450="","",INT(DAY(A450)/7)+1)</f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IF(A451="","",INT(DAY(A451)/7)+1)</f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IF(A452="","",INT(DAY(A452)/7)+1)</f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IF(A453="","",INT(DAY(A453)/7)+1)</f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IF(A454="","",INT(DAY(A454)/7)+1)</f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IF(A455="","",INT(DAY(A455)/7)+1)</f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IF(A456="","",INT(DAY(A456)/7)+1)</f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IF(A457="","",INT(DAY(A457)/7)+1)</f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IF(A458="","",INT(DAY(A458)/7)+1)</f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IF(A459="","",INT(DAY(A459)/7)+1)</f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IF(A460="","",INT(DAY(A460)/7)+1)</f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IF(A461="","",INT(DAY(A461)/7)+1)</f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IF(A462="","",INT(DAY(A462)/7)+1)</f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IF(A463="","",INT(DAY(A463)/7)+1)</f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IF(A464="","",INT(DAY(A464)/7)+1)</f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IF(A465="","",INT(DAY(A465)/7)+1)</f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IF(A466="","",INT(DAY(A466)/7)+1)</f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IF(A467="","",INT(DAY(A467)/7)+1)</f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IF(A468="","",INT(DAY(A468)/7)+1)</f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IF(A469="","",INT(DAY(A469)/7)+1)</f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IF(A470="","",INT(DAY(A470)/7)+1)</f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IF(A471="","",INT(DAY(A471)/7)+1)</f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IF(A472="","",INT(DAY(A472)/7)+1)</f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IF(A473="","",INT(DAY(A473)/7)+1)</f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IF(A474="","",INT(DAY(A474)/7)+1)</f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IF(A475="","",INT(DAY(A475)/7)+1)</f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IF(A476="","",INT(DAY(A476)/7)+1)</f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IF(A477="","",INT(DAY(A477)/7)+1)</f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IF(A478="","",INT(DAY(A478)/7)+1)</f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IF(A479="","",INT(DAY(A479)/7)+1)</f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IF(A480="","",INT(DAY(A480)/7)+1)</f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IF(A481="","",INT(DAY(A481)/7)+1)</f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IF(A482="","",INT(DAY(A482)/7)+1)</f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IF(A483="","",INT(DAY(A483)/7)+1)</f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IF(A484="","",INT(DAY(A484)/7)+1)</f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IF(A485="","",INT(DAY(A485)/7)+1)</f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IF(A486="","",INT(DAY(A486)/7)+1)</f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IF(A487="","",INT(DAY(A487)/7)+1)</f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IF(A488="","",INT(DAY(A488)/7)+1)</f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IF(A489="","",INT(DAY(A489)/7)+1)</f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IF(A490="","",INT(DAY(A490)/7)+1)</f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IF(A491="","",INT(DAY(A491)/7)+1)</f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IF(A492="","",INT(DAY(A492)/7)+1)</f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IF(A493="","",INT(DAY(A493)/7)+1)</f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IF(A494="","",INT(DAY(A494)/7)+1)</f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IF(A495="","",INT(DAY(A495)/7)+1)</f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IF(A496="","",INT(DAY(A496)/7)+1)</f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IF(A497="","",INT(DAY(A497)/7)+1)</f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IF(A498="","",INT(DAY(A498)/7)+1)</f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IF(A499="","",INT(DAY(A499)/7)+1)</f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IF(A500="","",INT(DAY(A500)/7)+1)</f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IF(A501="","",INT(DAY(A501)/7)+1)</f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IF(A502="","",INT(DAY(A502)/7)+1)</f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IF(A503="","",INT(DAY(A503)/7)+1)</f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IF(A504="","",INT(DAY(A504)/7)+1)</f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IF(A505="","",INT(DAY(A505)/7)+1)</f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IF(A506="","",INT(DAY(A506)/7)+1)</f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IF(A507="","",INT(DAY(A507)/7)+1)</f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IF(A508="","",INT(DAY(A508)/7)+1)</f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IF(A509="","",INT(DAY(A509)/7)+1)</f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IF(A510="","",INT(DAY(A510)/7)+1)</f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IF(A511="","",INT(DAY(A511)/7)+1)</f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IF(A512="","",INT(DAY(A512)/7)+1)</f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IF(A513="","",INT(DAY(A513)/7)+1)</f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IF(A514="","",INT(DAY(A514)/7)+1)</f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IF(A515="","",INT(DAY(A515)/7)+1)</f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IF(A516="","",INT(DAY(A516)/7)+1)</f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IF(A517="","",INT(DAY(A517)/7)+1)</f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IF(A518="","",INT(DAY(A518)/7)+1)</f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IF(A519="","",INT(DAY(A519)/7)+1)</f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IF(A520="","",INT(DAY(A520)/7)+1)</f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IF(A521="","",INT(DAY(A521)/7)+1)</f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IF(A522="","",INT(DAY(A522)/7)+1)</f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IF(A523="","",INT(DAY(A523)/7)+1)</f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IF(A524="","",INT(DAY(A524)/7)+1)</f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IF(A525="","",INT(DAY(A525)/7)+1)</f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IF(A526="","",INT(DAY(A526)/7)+1)</f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IF(A527="","",INT(DAY(A527)/7)+1)</f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IF(A528="","",INT(DAY(A528)/7)+1)</f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1536.47</v>
      </c>
      <c r="D6" s="5" t="inlineStr">
        <is>
          <t>Housing</t>
        </is>
      </c>
      <c r="E6" s="3">
        <f>SUMIFS($J$29:$J$528,$E$29:$E$528,$D6,$I$29:$I$528,"Expense")</f>
        <v>1100.00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>436.47</v>
      </c>
      <c r="J6" s="3">
        <f>SUMIFS($J$29:$J$528,$B$29:$B$528,1,$I$29:$I$528,"Income")</f>
        <v>0</v>
      </c>
      <c r="K6" s="3">
        <f>J6-I6</f>
        <v>-436.47</v>
      </c>
    </row>
    <row r="7">
      <c r="A7" s="5" t="inlineStr">
        <is>
          <t>Existing Savings</t>
        </is>
      </c>
      <c r="B7" s="3">
        <f>SUMIFS($J$29:$J$528,$I$29:$I$528,"Opening Balance")</f>
        <v>0</v>
      </c>
      <c r="D7" s="5" t="inlineStr">
        <is>
          <t>Utilities</t>
        </is>
      </c>
      <c r="E7" s="3">
        <f>SUMIFS($J$29:$J$528,$E$29:$E$528,$D7,$I$29:$I$528,"Expense")</f>
        <v>0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>0</v>
      </c>
      <c r="J7" s="3">
        <f>SUMIFS($J$29:$J$528,$B$29:$B$528,2,$I$29:$I$528,"Income")</f>
        <v>0</v>
      </c>
      <c r="K7" s="3">
        <f>J7-I7</f>
        <v>0</v>
      </c>
    </row>
    <row r="8">
      <c r="A8" s="5" t="inlineStr">
        <is>
          <t>Transfers</t>
        </is>
      </c>
      <c r="B8" s="3">
        <f>SUMIFS($J$29:$J$528,$I$29:$I$528,"Transfer")</f>
        <v>0.00</v>
      </c>
      <c r="D8" s="5" t="inlineStr">
        <is>
          <t>Groceries</t>
        </is>
      </c>
      <c r="E8" s="3">
        <f>SUMIFS($J$29:$J$528,$E$29:$E$528,$D8,$I$29:$I$528,"Expense")</f>
        <v>98.76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>0</v>
      </c>
      <c r="J8" s="3">
        <f>SUMIFS($J$29:$J$528,$B$29:$B$528,3,$I$29:$I$528,"Income")</f>
        <v>0</v>
      </c>
      <c r="K8" s="3">
        <f>J8-I8</f>
        <v>0</v>
      </c>
    </row>
    <row r="9">
      <c r="A9" s="5" t="inlineStr">
        <is>
          <t>Net Cash Flow</t>
        </is>
      </c>
      <c r="B9" s="3">
        <f>B5-B6</f>
        <v>-1536.47</v>
      </c>
      <c r="D9" s="5" t="inlineStr">
        <is>
          <t>Dining</t>
        </is>
      </c>
      <c r="E9" s="3">
        <f>SUMIFS($J$29:$J$528,$E$29:$E$528,$D9,$I$29:$I$528,"Expense")</f>
        <v>136.15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>0</v>
      </c>
      <c r="J9" s="3">
        <f>SUMIFS($J$29:$J$528,$B$29:$B$528,4,$I$29:$I$528,"Income")</f>
        <v>0</v>
      </c>
      <c r="K9" s="3">
        <f>J9-I9</f>
        <v>0</v>
      </c>
    </row>
    <row r="10">
      <c r="A10" s="5" t="inlineStr">
        <is>
          <t>Current Balance</t>
        </is>
      </c>
      <c r="B10" s="3">
        <v>7577.09</v>
      </c>
      <c r="D10" s="5" t="inlineStr">
        <is>
          <t>Transportation</t>
        </is>
      </c>
      <c r="E10" s="3">
        <f>SUMIFS($J$29:$J$528,$E$29:$E$528,$D10,$I$29:$I$528,"Expense")</f>
        <v>35.00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>0</v>
      </c>
      <c r="J10" s="3">
        <f>SUMIFS($J$29:$J$528,$B$29:$B$528,5,$I$29:$I$528,"Income")</f>
        <v>0</v>
      </c>
      <c r="K10" s="3">
        <f>J10-I10</f>
        <v>0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47.78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0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118.78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0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46296</v>
      </c>
      <c r="B29" s="9">
        <f>IF(A29="","",INT((DAY(A29)-1)/7)+1)</f>
        <v>1</v>
      </c>
      <c r="C29" s="9" t="inlineStr">
        <is>
          <t>Zelle payment to Joshua 31037164703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Venmo/Zelle/PayPal</t>
        </is>
      </c>
      <c r="I29" s="9" t="inlineStr">
        <is>
          <t>Expense</t>
        </is>
      </c>
      <c r="J29" s="3">
        <v>100.00</v>
      </c>
      <c r="K29" s="9" t="inlineStr">
        <is>
          <t>10월 1주차; Chase Secure (...0119); Posted 2026-10-01; Balance shown: $8,020.85; Rent (user confirmed)</t>
        </is>
      </c>
    </row>
    <row r="30">
      <c r="A30" s="4">
        <v>46296</v>
      </c>
      <c r="B30" s="9">
        <f>IF(A30="","",INT((DAY(A30)-1)/7)+1)</f>
        <v>1</v>
      </c>
      <c r="C30" s="9" t="inlineStr">
        <is>
          <t>ATM WITHDRAWAL 002164 10/013359 BROA (...0119)</t>
        </is>
      </c>
      <c r="D30" s="9" t="inlineStr">
        <is>
          <t>ATM</t>
        </is>
      </c>
      <c r="E30" s="9" t="inlineStr">
        <is>
          <t>Housing</t>
        </is>
      </c>
      <c r="F30" s="9" t="inlineStr">
        <is>
          <t>Rent</t>
        </is>
      </c>
      <c r="G30" s="9" t="inlineStr">
        <is>
          <t>Checking</t>
        </is>
      </c>
      <c r="H30" s="9" t="inlineStr">
        <is>
          <t>Other</t>
        </is>
      </c>
      <c r="I30" s="9" t="inlineStr">
        <is>
          <t>Expense</t>
        </is>
      </c>
      <c r="J30" s="3">
        <v>500.00</v>
      </c>
      <c r="K30" s="9" t="inlineStr">
        <is>
          <t>10월 1주차; Chase Secure (...0119); Posted 2026-10-01; Balance shown: $8,120.85; ATM withdrawal used for rent (user confirmed); counted as Housing/Rent expense</t>
        </is>
      </c>
    </row>
    <row r="31">
      <c r="A31" s="4">
        <v>46296</v>
      </c>
      <c r="B31" s="9">
        <f>IF(A31="","",INT((DAY(A31)-1)/7)+1)</f>
        <v>1</v>
      </c>
      <c r="C31" s="9" t="inlineStr">
        <is>
          <t>ATM WITHDRAWAL 002162 10/013359 BROA (...0119)</t>
        </is>
      </c>
      <c r="D31" s="9" t="inlineStr">
        <is>
          <t>ATM</t>
        </is>
      </c>
      <c r="E31" s="9" t="inlineStr">
        <is>
          <t>Housing</t>
        </is>
      </c>
      <c r="F31" s="9" t="inlineStr">
        <is>
          <t>Rent</t>
        </is>
      </c>
      <c r="G31" s="9" t="inlineStr">
        <is>
          <t>Checking</t>
        </is>
      </c>
      <c r="H31" s="9" t="inlineStr">
        <is>
          <t>Other</t>
        </is>
      </c>
      <c r="I31" s="9" t="inlineStr">
        <is>
          <t>Expense</t>
        </is>
      </c>
      <c r="J31" s="3">
        <v>500.00</v>
      </c>
      <c r="K31" s="9" t="inlineStr">
        <is>
          <t>10월 1주차; Chase Secure (...0119); Posted 2026-10-01; Balance shown: $8,620.85; ATM withdrawal used for rent (user confirmed); counted as Housing/Rent expense</t>
        </is>
      </c>
    </row>
    <row r="32">
      <c r="A32" s="4">
        <v>46296</v>
      </c>
      <c r="B32" s="9">
        <f>IF(A32="","",INT((DAY(A32)-1)/7)+1)</f>
        <v>1</v>
      </c>
      <c r="C32" s="9" t="inlineStr">
        <is>
          <t>99 CENT SUPREME PIZZA BROOKLYN NY 09/29 (...0119)</t>
        </is>
      </c>
      <c r="D32" s="9" t="inlineStr">
        <is>
          <t>99 Cent Supreme Pizza</t>
        </is>
      </c>
      <c r="E32" s="9" t="inlineStr">
        <is>
          <t>Dining</t>
        </is>
      </c>
      <c r="F32" s="9" t="inlineStr">
        <is>
          <t>Restaurant/Pizza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>
        <v>6.21</v>
      </c>
      <c r="K32" s="9" t="inlineStr">
        <is>
          <t>10월 1주차; Chase Secure (...0119); Posted 2026-10-01; Balance shown: $9,120.85</t>
        </is>
      </c>
    </row>
    <row r="33">
      <c r="A33" s="4">
        <v>46297</v>
      </c>
      <c r="B33" s="9">
        <f>IF(A33="","",INT((DAY(A33)-1)/7)+1)</f>
        <v>1</v>
      </c>
      <c r="C33" s="9" t="inlineStr">
        <is>
          <t>TRADER JOE S #54 445 G NEW YORK NY 172057 10/02 (...0119)</t>
        </is>
      </c>
      <c r="D33" s="9" t="inlineStr">
        <is>
          <t>Trader Joe's</t>
        </is>
      </c>
      <c r="E33" s="9" t="inlineStr">
        <is>
          <t>Groceries</t>
        </is>
      </c>
      <c r="F33" s="9" t="inlineStr">
        <is>
          <t>Groceries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>
        <v>46.07</v>
      </c>
      <c r="K33" s="9" t="inlineStr">
        <is>
          <t>10월 1주차; Chase Secure (...0119); Posted 2026-10-02; Balance shown: $7,907.87</t>
        </is>
      </c>
    </row>
    <row r="34">
      <c r="A34" s="4">
        <v>46297</v>
      </c>
      <c r="B34" s="9">
        <f>IF(A34="","",INT((DAY(A34)-1)/7)+1)</f>
        <v>1</v>
      </c>
      <c r="C34" s="9" t="inlineStr">
        <is>
          <t>MTA*NYCT PAYGO NEW YORK NY 10/01 (...0119)</t>
        </is>
      </c>
      <c r="D34" s="9" t="inlineStr">
        <is>
          <t>MTA NYCT Paygo</t>
        </is>
      </c>
      <c r="E34" s="9" t="inlineStr">
        <is>
          <t>Transportation</t>
        </is>
      </c>
      <c r="F34" s="9" t="inlineStr">
        <is>
          <t>Public transit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>
        <v>3.00</v>
      </c>
      <c r="K34" s="9" t="inlineStr">
        <is>
          <t>10월 1주차; Chase Secure (...0119); Posted 2026-10-02; Balance shown: $7,953.94</t>
        </is>
      </c>
    </row>
    <row r="35">
      <c r="A35" s="4">
        <v>46297</v>
      </c>
      <c r="B35" s="9">
        <f>IF(A35="","",INT((DAY(A35)-1)/7)+1)</f>
        <v>1</v>
      </c>
      <c r="C35" s="9" t="inlineStr">
        <is>
          <t>MTA*NYCT PAYGO NEW YORK NY 10/01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>
        <v>3.00</v>
      </c>
      <c r="K35" s="9" t="inlineStr">
        <is>
          <t>10월 1주차; Chase Secure (...0119); Posted 2026-10-02; Balance shown: $7,956.94</t>
        </is>
      </c>
    </row>
    <row r="36">
      <c r="A36" s="4">
        <v>46297</v>
      </c>
      <c r="B36" s="9">
        <f>IF(A36="","",INT((DAY(A36)-1)/7)+1)</f>
        <v>1</v>
      </c>
      <c r="C36" s="9" t="inlineStr">
        <is>
          <t>IHOP 3503 OLO BROOKLYN NY 10/01 (...0119)</t>
        </is>
      </c>
      <c r="D36" s="9" t="inlineStr">
        <is>
          <t>IHOP</t>
        </is>
      </c>
      <c r="E36" s="9" t="inlineStr">
        <is>
          <t>Dining</t>
        </is>
      </c>
      <c r="F36" s="9" t="inlineStr">
        <is>
          <t>Restaurant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>
        <v>20.24</v>
      </c>
      <c r="K36" s="9" t="inlineStr">
        <is>
          <t>10월 1주차; Chase Secure (...0119); Posted 2026-10-02; Balance shown: $7,959.94</t>
        </is>
      </c>
    </row>
    <row r="37">
      <c r="A37" s="4">
        <v>46297</v>
      </c>
      <c r="B37" s="9">
        <f>IF(A37="","",INT((DAY(A37)-1)/7)+1)</f>
        <v>1</v>
      </c>
      <c r="C37" s="9" t="inlineStr">
        <is>
          <t>CHIPOTLE 2090 BROOKLYN NY 10/01 (...0119)</t>
        </is>
      </c>
      <c r="D37" s="9" t="inlineStr">
        <is>
          <t>Chipotle</t>
        </is>
      </c>
      <c r="E37" s="9" t="inlineStr">
        <is>
          <t>Dining</t>
        </is>
      </c>
      <c r="F37" s="9" t="inlineStr">
        <is>
          <t>Restaurant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>
        <v>15.02</v>
      </c>
      <c r="K37" s="9" t="inlineStr">
        <is>
          <t>10월 1주차; Chase Secure (...0119); Posted 2026-10-02; Balance shown: $7,980.18</t>
        </is>
      </c>
    </row>
    <row r="38">
      <c r="A38" s="4">
        <v>46297</v>
      </c>
      <c r="B38" s="9">
        <f>IF(A38="","",INT((DAY(A38)-1)/7)+1)</f>
        <v>1</v>
      </c>
      <c r="C38" s="9" t="inlineStr">
        <is>
          <t>MTA*NYCT PAYGO NEW YORK NY 10/01 (...0119)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>
        <v>3.00</v>
      </c>
      <c r="K38" s="9" t="inlineStr">
        <is>
          <t>10월 1주차; Chase Secure (...0119); Posted 2026-10-02; Balance shown: $7,995.20</t>
        </is>
      </c>
    </row>
    <row r="39">
      <c r="A39" s="4">
        <v>46297</v>
      </c>
      <c r="B39" s="9">
        <f>IF(A39="","",INT((DAY(A39)-1)/7)+1)</f>
        <v>1</v>
      </c>
      <c r="C39" s="9" t="inlineStr">
        <is>
          <t>GOLDEN DELI CORP NEW YORK NY 09/30 (...0119)</t>
        </is>
      </c>
      <c r="D39" s="9" t="inlineStr">
        <is>
          <t>Golden Deli</t>
        </is>
      </c>
      <c r="E39" s="9" t="inlineStr">
        <is>
          <t>Dining</t>
        </is>
      </c>
      <c r="F39" s="9" t="inlineStr">
        <is>
          <t>Deli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>
        <v>22.65</v>
      </c>
      <c r="K39" s="9" t="inlineStr">
        <is>
          <t>10월 1주차; Chase Secure (...0119); Posted 2026-10-02; Balance shown: $7,998.20; Category inferred from merchant; purchase details unconfirmed</t>
        </is>
      </c>
    </row>
    <row r="40">
      <c r="A40" s="4">
        <v>46300</v>
      </c>
      <c r="B40" s="9">
        <f>IF(A40="","",INT((DAY(A40)-1)/7)+1)</f>
        <v>1</v>
      </c>
      <c r="C40" s="9" t="inlineStr">
        <is>
          <t>Amazon.com*5924406G1 Amzn.com/bill WA 10/05 (...0119)</t>
        </is>
      </c>
      <c r="D40" s="9" t="inlineStr">
        <is>
          <t>Amazon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>
        <v>6.42</v>
      </c>
      <c r="K40" s="9" t="inlineStr">
        <is>
          <t>10월 1주차; Chase Secure (...0119); Posted 2026-10-05; Balance shown: $7,764.09; Category inferred from merchant; purchase details unconfirmed</t>
        </is>
      </c>
    </row>
    <row r="41">
      <c r="A41" s="4">
        <v>46300</v>
      </c>
      <c r="B41" s="9">
        <f>IF(A41="","",INT((DAY(A41)-1)/7)+1)</f>
        <v>1</v>
      </c>
      <c r="C41" s="9" t="inlineStr">
        <is>
          <t>HANA MART COLUMBIA CORP NEW YORK NY 10/04 (...0119)</t>
        </is>
      </c>
      <c r="D41" s="9" t="inlineStr">
        <is>
          <t>Hana Mart</t>
        </is>
      </c>
      <c r="E41" s="9" t="inlineStr">
        <is>
          <t>Groceries</t>
        </is>
      </c>
      <c r="F41" s="9" t="inlineStr">
        <is>
          <t>Groceries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>
        <v>52.69</v>
      </c>
      <c r="K41" s="9" t="inlineStr">
        <is>
          <t>10월 1주차; Chase Secure (...0119); Posted 2026-10-05; Balance shown: $7,770.51</t>
        </is>
      </c>
    </row>
    <row r="42">
      <c r="A42" s="4">
        <v>46300</v>
      </c>
      <c r="B42" s="9">
        <f>IF(A42="","",INT((DAY(A42)-1)/7)+1)</f>
        <v>1</v>
      </c>
      <c r="C42" s="9" t="inlineStr">
        <is>
          <t>MTA*NYCT PAYGO NEW YORK NY 10/04 (...0119)</t>
        </is>
      </c>
      <c r="D42" s="9" t="inlineStr">
        <is>
          <t>MTA NYCT Paygo</t>
        </is>
      </c>
      <c r="E42" s="9" t="inlineStr">
        <is>
          <t>Transportation</t>
        </is>
      </c>
      <c r="F42" s="9" t="inlineStr">
        <is>
          <t>Public transit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>
        <v>3.00</v>
      </c>
      <c r="K42" s="9" t="inlineStr">
        <is>
          <t>10월 1주차; Chase Secure (...0119); Posted 2026-10-05; Balance shown: $7,823.20</t>
        </is>
      </c>
    </row>
    <row r="43">
      <c r="A43" s="4">
        <v>46300</v>
      </c>
      <c r="B43" s="9">
        <f>IF(A43="","",INT((DAY(A43)-1)/7)+1)</f>
        <v>1</v>
      </c>
      <c r="C43" s="9" t="inlineStr">
        <is>
          <t>STARBUCKS STORE 26286 NEW YORK NY 10/04 (...0119)</t>
        </is>
      </c>
      <c r="D43" s="9" t="inlineStr">
        <is>
          <t>Starbucks</t>
        </is>
      </c>
      <c r="E43" s="9" t="inlineStr">
        <is>
          <t>Dining</t>
        </is>
      </c>
      <c r="F43" s="9" t="inlineStr">
        <is>
          <t>Coffee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>
        <v>7.57</v>
      </c>
      <c r="K43" s="9" t="inlineStr">
        <is>
          <t>10월 1주차; Chase Secure (...0119); Posted 2026-10-05; Balance shown: $7,826.20</t>
        </is>
      </c>
    </row>
    <row r="44">
      <c r="A44" s="4">
        <v>46300</v>
      </c>
      <c r="B44" s="9">
        <f>IF(A44="","",INT((DAY(A44)-1)/7)+1)</f>
        <v>1</v>
      </c>
      <c r="C44" s="9" t="inlineStr">
        <is>
          <t>MTA*NYCT PAYGO NEW YORK NY 10/03 (...0119)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>
        <v>3.00</v>
      </c>
      <c r="K44" s="9" t="inlineStr">
        <is>
          <t>10월 1주차; Chase Secure (...0119); Posted 2026-10-05; Balance shown: $7,833.77</t>
        </is>
      </c>
    </row>
    <row r="45">
      <c r="A45" s="4">
        <v>46300</v>
      </c>
      <c r="B45" s="9">
        <f>IF(A45="","",INT((DAY(A45)-1)/7)+1)</f>
        <v>1</v>
      </c>
      <c r="C45" s="9" t="inlineStr">
        <is>
          <t>MTA*NYCT PAYGO NEW YORK NY 10/03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>
        <v>3.00</v>
      </c>
      <c r="K45" s="9" t="inlineStr">
        <is>
          <t>10월 1주차; Chase Secure (...0119); Posted 2026-10-05; Balance shown: $7,836.77</t>
        </is>
      </c>
    </row>
    <row r="46">
      <c r="A46" s="4">
        <v>46300</v>
      </c>
      <c r="B46" s="9">
        <f>IF(A46="","",INT((DAY(A46)-1)/7)+1)</f>
        <v>1</v>
      </c>
      <c r="C46" s="9" t="inlineStr">
        <is>
          <t>TST* SALT AND STRAW - H NEW YORK NY 10/04 (...0119)</t>
        </is>
      </c>
      <c r="D46" s="9" t="inlineStr">
        <is>
          <t>Salt &amp; Straw</t>
        </is>
      </c>
      <c r="E46" s="9" t="inlineStr">
        <is>
          <t>Dining</t>
        </is>
      </c>
      <c r="F46" s="9" t="inlineStr">
        <is>
          <t>Ice cream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>
        <v>8.44</v>
      </c>
      <c r="K46" s="9" t="inlineStr">
        <is>
          <t>10월 1주차; Chase Secure (...0119); Posted 2026-10-05; Balance shown: $7,839.77</t>
        </is>
      </c>
    </row>
    <row r="47">
      <c r="A47" s="4">
        <v>46300</v>
      </c>
      <c r="B47" s="9">
        <f>IF(A47="","",INT((DAY(A47)-1)/7)+1)</f>
        <v>1</v>
      </c>
      <c r="C47" s="9" t="inlineStr">
        <is>
          <t>MTA*NYCT PAYGO NEW YORK NY 10/03 (...0119)</t>
        </is>
      </c>
      <c r="D47" s="9" t="inlineStr">
        <is>
          <t>MTA NYCT Paygo</t>
        </is>
      </c>
      <c r="E47" s="9" t="inlineStr">
        <is>
          <t>Transportation</t>
        </is>
      </c>
      <c r="F47" s="9" t="inlineStr">
        <is>
          <t>Public transit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3.00</v>
      </c>
      <c r="K47" s="9" t="inlineStr">
        <is>
          <t>10월 1주차; Chase Secure (...0119); Posted 2026-10-05; Balance shown: $7,848.21</t>
        </is>
      </c>
    </row>
    <row r="48">
      <c r="A48" s="4">
        <v>46300</v>
      </c>
      <c r="B48" s="9">
        <f>IF(A48="","",INT((DAY(A48)-1)/7)+1)</f>
        <v>1</v>
      </c>
      <c r="C48" s="9" t="inlineStr">
        <is>
          <t>MTA*NYCT PAYGO NEW YORK NY 10/02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3.00</v>
      </c>
      <c r="K48" s="9" t="inlineStr">
        <is>
          <t>10월 1주차; Chase Secure (...0119); Posted 2026-10-05; Balance shown: $7,851.21</t>
        </is>
      </c>
    </row>
    <row r="49">
      <c r="A49" s="4">
        <v>46300</v>
      </c>
      <c r="B49" s="9">
        <f>IF(A49="","",INT((DAY(A49)-1)/7)+1)</f>
        <v>1</v>
      </c>
      <c r="C49" s="9" t="inlineStr">
        <is>
          <t>TOPIA NEWS STAND BROOKLYN NY 10/02 (...0119)</t>
        </is>
      </c>
      <c r="D49" s="9" t="inlineStr">
        <is>
          <t>Topia News Stand</t>
        </is>
      </c>
      <c r="E49" s="9" t="inlineStr">
        <is>
          <t>Shopping</t>
        </is>
      </c>
      <c r="F49" s="9" t="inlineStr">
        <is>
          <t>Newsstand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31.57</v>
      </c>
      <c r="K49" s="9" t="inlineStr">
        <is>
          <t>10월 1주차; Chase Secure (...0119); Posted 2026-10-05; Balance shown: $7,854.21; Category inferred from merchant; purchase details unconfirmed</t>
        </is>
      </c>
    </row>
    <row r="50">
      <c r="A50" s="4">
        <v>46300</v>
      </c>
      <c r="B50" s="9">
        <f>IF(A50="","",INT((DAY(A50)-1)/7)+1)</f>
        <v>1</v>
      </c>
      <c r="C50" s="9" t="inlineStr">
        <is>
          <t>TST* 7TH STREET BURGER BROOKLYN NY 10/03 (...0119)</t>
        </is>
      </c>
      <c r="D50" s="9" t="inlineStr">
        <is>
          <t>7th Street Burger</t>
        </is>
      </c>
      <c r="E50" s="9" t="inlineStr">
        <is>
          <t>Dining</t>
        </is>
      </c>
      <c r="F50" s="9" t="inlineStr">
        <is>
          <t>Restaurant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10.89</v>
      </c>
      <c r="K50" s="9" t="inlineStr">
        <is>
          <t>10월 1주차; Chase Secure (...0119); Posted 2026-10-05; Balance shown: $7,885.78</t>
        </is>
      </c>
    </row>
    <row r="51">
      <c r="A51" s="4">
        <v>46300</v>
      </c>
      <c r="B51" s="9">
        <f>IF(A51="","",INT((DAY(A51)-1)/7)+1)</f>
        <v>1</v>
      </c>
      <c r="C51" s="9" t="inlineStr">
        <is>
          <t>99 CENT SUPREME PIZZA BROOKLYN NY 10/02 (...0119)</t>
        </is>
      </c>
      <c r="D51" s="9" t="inlineStr">
        <is>
          <t>99 Cent Supreme Pizza</t>
        </is>
      </c>
      <c r="E51" s="9" t="inlineStr">
        <is>
          <t>Dining</t>
        </is>
      </c>
      <c r="F51" s="9" t="inlineStr">
        <is>
          <t>Restaurant/Pizza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3.39</v>
      </c>
      <c r="K51" s="9" t="inlineStr">
        <is>
          <t>10월 1주차; Chase Secure (...0119); Posted 2026-10-05; Balance shown: $7,896.67</t>
        </is>
      </c>
    </row>
    <row r="52">
      <c r="A52" s="4">
        <v>46300</v>
      </c>
      <c r="B52" s="9">
        <f>IF(A52="","",INT((DAY(A52)-1)/7)+1)</f>
        <v>1</v>
      </c>
      <c r="C52" s="9" t="inlineStr">
        <is>
          <t>MTA*NYCT PAYGO NEW YORK NY 10/02 (...0119)</t>
        </is>
      </c>
      <c r="D52" s="9" t="inlineStr">
        <is>
          <t>MTA NYCT Paygo</t>
        </is>
      </c>
      <c r="E52" s="9" t="inlineStr">
        <is>
          <t>Transportation</t>
        </is>
      </c>
      <c r="F52" s="9" t="inlineStr">
        <is>
          <t>Public transit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3.00</v>
      </c>
      <c r="K52" s="9" t="inlineStr">
        <is>
          <t>10월 1주차; Chase Secure (...0119); Posted 2026-10-05; Balance shown: $7,900.06</t>
        </is>
      </c>
    </row>
    <row r="53">
      <c r="A53" s="4">
        <v>46300</v>
      </c>
      <c r="B53" s="9">
        <f>IF(A53="","",INT((DAY(A53)-1)/7)+1)</f>
        <v>1</v>
      </c>
      <c r="C53" s="9" t="inlineStr">
        <is>
          <t>MILANO PIZZA &amp; PASTA NEW YORK NY 10/01 (...0119)</t>
        </is>
      </c>
      <c r="D53" s="9" t="inlineStr">
        <is>
          <t>Milano Pizza &amp; Pasta</t>
        </is>
      </c>
      <c r="E53" s="9" t="inlineStr">
        <is>
          <t>Dining</t>
        </is>
      </c>
      <c r="F53" s="9" t="inlineStr">
        <is>
          <t>Restaurant/Pizza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4.81</v>
      </c>
      <c r="K53" s="9" t="inlineStr">
        <is>
          <t>10월 1주차; Chase Secure (...0119); Posted 2026-10-05; Balance shown: $7,903.06</t>
        </is>
      </c>
    </row>
    <row r="54">
      <c r="A54" s="4">
        <v>46301</v>
      </c>
      <c r="B54" s="9">
        <f>IF(A54="","",INT((DAY(A54)-1)/7)+1)</f>
        <v>1</v>
      </c>
      <c r="C54" s="9" t="inlineStr">
        <is>
          <t>MTA*NYCT PAYGO NEW YORK NY 10/05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2.00</v>
      </c>
      <c r="K54" s="9" t="inlineStr">
        <is>
          <t>10월 1주차; Chase Secure (...0119); Posted 2026-10-06; Balance shown: $7,762.09</t>
        </is>
      </c>
    </row>
    <row r="55">
      <c r="A55" s="4">
        <v>46302</v>
      </c>
      <c r="B55" s="9">
        <f>IF(A55="","",INT((DAY(A55)-1)/7)+1)</f>
        <v>1</v>
      </c>
      <c r="C55" s="9" t="inlineStr">
        <is>
          <t>MTA*NYCT PAYGO NEW YORK NY 10/06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3.00</v>
      </c>
      <c r="K55" s="9" t="inlineStr">
        <is>
          <t>10월 1주차; Chase Secure (...0119); Posted 2026-10-07; Balance shown: $7,590.59</t>
        </is>
      </c>
    </row>
    <row r="56">
      <c r="A56" s="4">
        <v>46302</v>
      </c>
      <c r="B56" s="9">
        <f>IF(A56="","",INT((DAY(A56)-1)/7)+1)</f>
        <v>1</v>
      </c>
      <c r="C56" s="9" t="inlineStr">
        <is>
          <t>TST* 7TH STREET BURGER BROOKLYN NY 10/07 (...0119)</t>
        </is>
      </c>
      <c r="D56" s="9" t="inlineStr">
        <is>
          <t>7th Street Burger</t>
        </is>
      </c>
      <c r="E56" s="9" t="inlineStr">
        <is>
          <t>Dining</t>
        </is>
      </c>
      <c r="F56" s="9" t="inlineStr">
        <is>
          <t>Restaurant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>
        <v>10.89</v>
      </c>
      <c r="K56" s="9" t="inlineStr">
        <is>
          <t>10월 1주차; Chase Secure (...0119); Posted 2026-10-07; Balance shown: $7,593.59</t>
        </is>
      </c>
    </row>
    <row r="57">
      <c r="A57" s="4">
        <v>46302</v>
      </c>
      <c r="B57" s="9">
        <f>IF(A57="","",INT((DAY(A57)-1)/7)+1)</f>
        <v>1</v>
      </c>
      <c r="C57" s="9" t="inlineStr">
        <is>
          <t>OPENAI *CHATGPT SUBSCR OPENAI.COM CA 10/06 (...0119)</t>
        </is>
      </c>
      <c r="D57" s="9" t="inlineStr">
        <is>
          <t>OpenAI ChatGPT</t>
        </is>
      </c>
      <c r="E57" s="9" t="inlineStr">
        <is>
          <t>Education</t>
        </is>
      </c>
      <c r="F57" s="9" t="inlineStr">
        <is>
          <t>Software subscription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>
        <v>118.78</v>
      </c>
      <c r="K57" s="9" t="inlineStr">
        <is>
          <t>10월 1주차; Chase Secure (...0119); Posted 2026-10-07; Balance shown: $7,604.48</t>
        </is>
      </c>
    </row>
    <row r="58">
      <c r="A58" s="4">
        <v>46302</v>
      </c>
      <c r="B58" s="9">
        <f>IF(A58="","",INT((DAY(A58)-1)/7)+1)</f>
        <v>1</v>
      </c>
      <c r="C58" s="9" t="inlineStr">
        <is>
          <t>MTA*NYCT PAYGO NEW YORK NY 10/06 (...0119)</t>
        </is>
      </c>
      <c r="D58" s="9" t="inlineStr">
        <is>
          <t>MTA NYCT Paygo</t>
        </is>
      </c>
      <c r="E58" s="9" t="inlineStr">
        <is>
          <t>Transportation</t>
        </is>
      </c>
      <c r="F58" s="9" t="inlineStr">
        <is>
          <t>Public transit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>
        <v>3.00</v>
      </c>
      <c r="K58" s="9" t="inlineStr">
        <is>
          <t>10월 1주차; Chase Secure (...0119); Posted 2026-10-07; Balance shown: $7,723.26</t>
        </is>
      </c>
    </row>
    <row r="59">
      <c r="A59" s="4">
        <v>46302</v>
      </c>
      <c r="B59" s="9">
        <f>IF(A59="","",INT((DAY(A59)-1)/7)+1)</f>
        <v>1</v>
      </c>
      <c r="C59" s="9" t="inlineStr">
        <is>
          <t>GOLDEN DELI CORP NEW YORK NY 10/06 (...0119)</t>
        </is>
      </c>
      <c r="D59" s="9" t="inlineStr">
        <is>
          <t>Golden Deli</t>
        </is>
      </c>
      <c r="E59" s="9" t="inlineStr">
        <is>
          <t>Dining</t>
        </is>
      </c>
      <c r="F59" s="9" t="inlineStr">
        <is>
          <t>Deli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>
        <v>22.65</v>
      </c>
      <c r="K59" s="9" t="inlineStr">
        <is>
          <t>10월 1주차; Chase Secure (...0119); Posted 2026-10-07; Balance shown: $7,726.26; Category inferred from merchant; purchase details unconfirmed</t>
        </is>
      </c>
    </row>
    <row r="60">
      <c r="A60" s="4">
        <v>46302</v>
      </c>
      <c r="B60" s="9">
        <f>IF(A60="","",INT((DAY(A60)-1)/7)+1)</f>
        <v>1</v>
      </c>
      <c r="C60" s="9" t="inlineStr">
        <is>
          <t>AMAZON MKTPL*594TT0X Amzn.com/bill WA 10/06 (...0119)</t>
        </is>
      </c>
      <c r="D60" s="9" t="inlineStr">
        <is>
          <t>Amazon</t>
        </is>
      </c>
      <c r="E60" s="9" t="inlineStr">
        <is>
          <t>Shopping</t>
        </is>
      </c>
      <c r="F60" s="9" t="inlineStr">
        <is>
          <t>Retail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>
        <v>9.79</v>
      </c>
      <c r="K60" s="9" t="inlineStr">
        <is>
          <t>10월 1주차; Chase Secure (...0119); Posted 2026-10-07; Balance shown: $7,748.91; Category inferred from merchant; purchase details unconfirmed</t>
        </is>
      </c>
    </row>
    <row r="61">
      <c r="A61" s="4">
        <v>46302</v>
      </c>
      <c r="B61" s="9">
        <f>IF(A61="","",INT((DAY(A61)-1)/7)+1)</f>
        <v>1</v>
      </c>
      <c r="C61" s="9" t="inlineStr">
        <is>
          <t>99 CENT SUPREME PIZZA BROOKLYN NY 10/05 (...0119)</t>
        </is>
      </c>
      <c r="D61" s="9" t="inlineStr">
        <is>
          <t>99 Cent Supreme Pizza</t>
        </is>
      </c>
      <c r="E61" s="9" t="inlineStr">
        <is>
          <t>Dining</t>
        </is>
      </c>
      <c r="F61" s="9" t="inlineStr">
        <is>
          <t>Restaurant/Pizza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>
        <v>3.39</v>
      </c>
      <c r="K61" s="9" t="inlineStr">
        <is>
          <t>10월 1주차; Chase Secure (...0119); Posted 2026-10-07; Balance shown: $7,758.70</t>
        </is>
      </c>
    </row>
    <row r="62">
      <c r="A62" s="4">
        <v>46304</v>
      </c>
      <c r="B62" s="9">
        <f>IF(A62="","",INT((DAY(A62)-1)/7)+1)</f>
        <v>2</v>
      </c>
      <c r="C62" s="9" t="inlineStr">
        <is>
          <t>Zelle payment to YI HUANG 31139004829</t>
        </is>
      </c>
      <c r="D62" s="9" t="inlineStr">
        <is>
          <t>YI HUANG</t>
        </is>
      </c>
      <c r="E62" s="9" t="inlineStr">
        <is>
          <t>Dining</t>
        </is>
      </c>
      <c r="F62" s="9" t="inlineStr">
        <is>
          <t>Restaurant</t>
        </is>
      </c>
      <c r="G62" s="9" t="inlineStr">
        <is>
          <t>Checking</t>
        </is>
      </c>
      <c r="H62" s="9" t="inlineStr">
        <is>
          <t>Venmo/Zelle/PayPal</t>
        </is>
      </c>
      <c r="I62" s="9" t="inlineStr">
        <is>
          <t>Expense</t>
        </is>
      </c>
      <c r="J62" s="3">
        <v>2.50</v>
      </c>
      <c r="K62" s="9" t="inlineStr">
        <is>
          <t>10월 2주차; Chase Secure (...0119); Posted 2026-10-08; Balance shown: $7,586.09</t>
        </is>
      </c>
    </row>
    <row r="63">
      <c r="A63" s="4">
        <v>46304</v>
      </c>
      <c r="B63" s="9">
        <f>IF(A63="","",INT((DAY(A63)-1)/7)+1)</f>
        <v>2</v>
      </c>
      <c r="C63" s="9" t="inlineStr">
        <is>
          <t>Zelle payment to SORA KAKIGI JPM99cz7fxgk</t>
        </is>
      </c>
      <c r="D63" s="9" t="inlineStr">
        <is>
          <t>SORA KAKIGI</t>
        </is>
      </c>
      <c r="E63" s="9" t="inlineStr">
        <is>
          <t>Dining</t>
        </is>
      </c>
      <c r="F63" s="9" t="inlineStr">
        <is>
          <t>Restaurant</t>
        </is>
      </c>
      <c r="G63" s="9" t="inlineStr">
        <is>
          <t>Checking</t>
        </is>
      </c>
      <c r="H63" s="9" t="inlineStr">
        <is>
          <t>Venmo/Zelle/PayPal</t>
        </is>
      </c>
      <c r="I63" s="9" t="inlineStr">
        <is>
          <t>Expense</t>
        </is>
      </c>
      <c r="J63" s="3">
        <v>2.00</v>
      </c>
      <c r="K63" s="9" t="inlineStr">
        <is>
          <t>10월 2주차; Chase Secure (...0119); Posted 2026-10-08; Balance shown: $7,588.59</t>
        </is>
      </c>
    </row>
    <row r="64">
      <c r="A64" s="4">
        <v>46305</v>
      </c>
      <c r="B64" s="9">
        <f>IF(A64="","",INT((DAY(A64)-1)/7)+1)</f>
        <v>2</v>
      </c>
      <c r="C64" s="9" t="inlineStr">
        <is>
          <t>MTA*NYCT PAYGO NEW YORK NY 10/08 (...0119)</t>
        </is>
      </c>
      <c r="D64" s="9" t="inlineStr">
        <is>
          <t>MTA NYCT Paygo</t>
        </is>
      </c>
      <c r="E64" s="9" t="inlineStr">
        <is>
          <t>Transportation</t>
        </is>
      </c>
      <c r="F64" s="9" t="inlineStr">
        <is>
          <t>Public transit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>
        <v>3.00</v>
      </c>
      <c r="K64" s="9" t="inlineStr">
        <is>
          <t>10월 2주차; Chase Secure (...0119); Posted 2026-10-09; Balance shown: $7,580.09</t>
        </is>
      </c>
    </row>
    <row r="65">
      <c r="A65" s="4">
        <v>46305</v>
      </c>
      <c r="B65" s="9">
        <f>IF(A65="","",INT((DAY(A65)-1)/7)+1)</f>
        <v>2</v>
      </c>
      <c r="C65" s="9" t="inlineStr">
        <is>
          <t>MTA*NYCT PAYGO NEW YORK NY 10/08 (...0119)</t>
        </is>
      </c>
      <c r="D65" s="9" t="inlineStr">
        <is>
          <t>MTA NYCT Paygo</t>
        </is>
      </c>
      <c r="E65" s="9" t="inlineStr">
        <is>
          <t>Transportation</t>
        </is>
      </c>
      <c r="F65" s="9" t="inlineStr">
        <is>
          <t>Public transit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>
        <v>3.00</v>
      </c>
      <c r="K65" s="9" t="inlineStr">
        <is>
          <t>10월 2주차; Chase Secure (...0119); Posted 2026-10-09; Balance shown: $7,583.09</t>
        </is>
      </c>
    </row>
    <row r="66">
      <c r="A66" s="4">
        <v>46305</v>
      </c>
      <c r="B66" s="9">
        <f>IF(A66="","",INT((DAY(A66)-1)/7)+1)</f>
        <v>2</v>
      </c>
      <c r="C66" s="9" t="inlineStr">
        <is>
          <t>MTA*NYCT PAYGO NEW YORK NY 10/08 (...0119)</t>
        </is>
      </c>
      <c r="D66" s="9" t="inlineStr">
        <is>
          <t>MTA NYCT Paygo</t>
        </is>
      </c>
      <c r="E66" s="9" t="inlineStr">
        <is>
          <t>Transportation</t>
        </is>
      </c>
      <c r="F66" s="9" t="inlineStr">
        <is>
          <t>Public transit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>
        <v>3.00</v>
      </c>
      <c r="K66" s="9" t="inlineStr">
        <is>
          <t>10월 2주차; Chase Secure (...0119); Posted 2026-10-09; Balance shown: $7,577.09</t>
        </is>
      </c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