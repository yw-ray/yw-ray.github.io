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Summary" sheetId="1" state="visible" r:id="rId1"/>
    <sheet name="Jan 2026" sheetId="2" state="visible" r:id="rId2"/>
    <sheet name="Feb 2026" sheetId="3" state="visible" r:id="rId3"/>
    <sheet name="Mar 2026" sheetId="4" state="visible" r:id="rId4"/>
    <sheet name="Apr 2026" sheetId="5" state="visible" r:id="rId5"/>
    <sheet name="May 2026" sheetId="6" state="visible" r:id="rId6"/>
    <sheet name="Jun 2026" sheetId="7" state="visible" r:id="rId7"/>
    <sheet name="Jul 2026" sheetId="8" state="visible" r:id="rId8"/>
    <sheet name="Aug 2026" sheetId="9" state="visible" r:id="rId9"/>
    <sheet name="Sep 2026" sheetId="10" state="visible" r:id="rId10"/>
    <sheet name="Oct 2026" sheetId="11" state="visible" r:id="rId11"/>
    <sheet name="Nov 2026" sheetId="12" state="visible" r:id="rId12"/>
    <sheet name="Dec 2026" sheetId="13" state="visible" r:id="rId13"/>
    <sheet name="Lists" sheetId="14" state="hidden" r:id="rId14"/>
  </sheets>
  <definedNames>
    <definedName name="_xlnm._FilterDatabase" localSheetId="1" hidden="1">'Jan 2026'!$A$28:$K$528</definedName>
    <definedName name="_xlnm._FilterDatabase" localSheetId="2" hidden="1">'Feb 2026'!$A$28:$K$528</definedName>
    <definedName name="_xlnm._FilterDatabase" localSheetId="3" hidden="1">'Mar 2026'!$A$28:$K$528</definedName>
    <definedName name="_xlnm._FilterDatabase" localSheetId="4" hidden="1">'Apr 2026'!$A$28:$K$528</definedName>
    <definedName name="_xlnm._FilterDatabase" localSheetId="5" hidden="1">'May 2026'!$A$28:$K$528</definedName>
    <definedName name="_xlnm._FilterDatabase" localSheetId="6" hidden="1">'Jun 2026'!$A$28:$K$528</definedName>
    <definedName name="_xlnm._FilterDatabase" localSheetId="7" hidden="1">'Jul 2026'!$A$28:$K$528</definedName>
    <definedName name="_xlnm._FilterDatabase" localSheetId="8" hidden="1">'Aug 2026'!$A$28:$K$528</definedName>
    <definedName name="_xlnm._FilterDatabase" localSheetId="9" hidden="1">'Sep 2026'!$A$28:$K$528</definedName>
    <definedName name="_xlnm._FilterDatabase" localSheetId="10" hidden="1">'Oct 2026'!$A$28:$K$528</definedName>
    <definedName name="_xlnm._FilterDatabase" localSheetId="11" hidden="1">'Nov 2026'!$A$28:$K$528</definedName>
    <definedName name="_xlnm._FilterDatabase" localSheetId="12" hidden="1">'Dec 2026'!$A$28:$K$528</definedName>
  </definedNames>
  <calcPr calcId="191029" fullCalcOnLoad="1" forceFullCalc="1" calcMode="auto"/>
</workbook>
</file>

<file path=xl/styles.xml><?xml version="1.0" encoding="utf-8"?>
<styleSheet xmlns="http://schemas.openxmlformats.org/spreadsheetml/2006/main">
  <numFmts count="2">
    <numFmt numFmtId="164" formatCode="$#,##0.00;[Red]-$#,##0.00"/>
    <numFmt numFmtId="165" formatCode="yyyy-mm-dd"/>
  </numFmts>
  <fonts count="5">
    <font>
      <name val="Calibri"/>
      <sz val="11"/>
    </font>
    <font>
      <name val="Calibri"/>
      <b val="1"/>
      <sz val="16"/>
    </font>
    <font>
      <name val="Calibri"/>
      <b val="1"/>
      <color rgb="FFFFFFFF"/>
      <sz val="11"/>
    </font>
    <font>
      <name val="Calibri"/>
      <color rgb="FF666666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1" pivotButton="0" quotePrefix="0" xfId="0"/>
    <xf numFmtId="0" fontId="1" fillId="0" borderId="0" pivotButton="0" quotePrefix="0" xfId="0"/>
    <xf numFmtId="0" fontId="2" fillId="2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4" fillId="3" borderId="1" pivotButton="0" quotePrefix="0" xfId="0"/>
    <xf numFmtId="10" fontId="0" fillId="0" borderId="1" pivotButton="0" quotePrefix="0" xfId="0"/>
    <xf numFmtId="0" fontId="3" fillId="0" borderId="0" pivotButton="0" quotePrefix="0" xfId="0"/>
    <xf numFmtId="0" fontId="3" fillId="4" borderId="1" pivotButton="0" quotePrefix="0" xfId="0"/>
    <xf numFmtId="0" fontId="0" fillId="0" borderId="1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pane xSplit="0" ySplit="5" topLeftCell="A6" activePane="bottomLeft" state="frozen"/>
      <selection pane="bottomLeft" activeCell="A6" sqref="A6"/>
    </sheetView>
  </sheetViews>
  <sheetFormatPr baseColWidth="8" defaultRowHeight="15"/>
  <cols>
    <col width="26" customWidth="1" style="10" min="1" max="1"/>
    <col width="18" customWidth="1" style="10" min="2" max="6"/>
  </cols>
  <sheetData>
    <row r="1">
      <c r="A1" s="1" t="inlineStr">
        <is>
          <t>Personal Ledger Summary</t>
        </is>
      </c>
    </row>
    <row r="2">
      <c r="A2" s="7" t="inlineStr">
        <is>
          <t>Workbook year: 2026</t>
        </is>
      </c>
    </row>
    <row r="4">
      <c r="A4" s="1" t="inlineStr">
        <is>
          <t>Annual Overview</t>
        </is>
      </c>
    </row>
    <row r="5">
      <c r="A5" s="2" t="inlineStr">
        <is>
          <t>Month</t>
        </is>
      </c>
      <c r="B5" s="2" t="inlineStr">
        <is>
          <t>Income</t>
        </is>
      </c>
      <c r="C5" s="2" t="inlineStr">
        <is>
          <t>Expenses</t>
        </is>
      </c>
      <c r="D5" s="2" t="inlineStr">
        <is>
          <t>Existing Savings</t>
        </is>
      </c>
      <c r="E5" s="2" t="inlineStr">
        <is>
          <t>Transfers</t>
        </is>
      </c>
      <c r="F5" s="2" t="inlineStr">
        <is>
          <t>Net Cash Flow</t>
        </is>
      </c>
      <c r="G5" s="2" t="inlineStr">
        <is>
          <t>Current Balance</t>
        </is>
      </c>
    </row>
    <row r="6">
      <c r="A6" s="5" t="inlineStr">
        <is>
          <t>Jan 2026</t>
        </is>
      </c>
      <c r="B6" s="3">
        <f>'Jan 2026'!$B$5</f>
        <v/>
      </c>
      <c r="C6" s="3">
        <f>'Jan 2026'!$B$6</f>
        <v/>
      </c>
      <c r="D6" s="3">
        <f>'Jan 2026'!$B$7</f>
        <v/>
      </c>
      <c r="E6" s="3">
        <f>'Jan 2026'!$B$8</f>
        <v/>
      </c>
      <c r="F6" s="3">
        <f>'Jan 2026'!$B$9</f>
        <v/>
      </c>
      <c r="G6" s="3">
        <f>'Jan 2026'!$B$10</f>
        <v>0</v>
      </c>
    </row>
    <row r="7">
      <c r="A7" s="5" t="inlineStr">
        <is>
          <t>Feb 2026</t>
        </is>
      </c>
      <c r="B7" s="3">
        <f>'Feb 2026'!$B$5</f>
        <v/>
      </c>
      <c r="C7" s="3">
        <f>'Feb 2026'!$B$6</f>
        <v/>
      </c>
      <c r="D7" s="3">
        <f>'Feb 2026'!$B$7</f>
        <v/>
      </c>
      <c r="E7" s="3">
        <f>'Feb 2026'!$B$8</f>
        <v/>
      </c>
      <c r="F7" s="3">
        <f>'Feb 2026'!$B$9</f>
        <v/>
      </c>
      <c r="G7" s="3">
        <f>'Feb 2026'!$B$10</f>
        <v>0</v>
      </c>
    </row>
    <row r="8">
      <c r="A8" s="5" t="inlineStr">
        <is>
          <t>Mar 2026</t>
        </is>
      </c>
      <c r="B8" s="3">
        <f>'Mar 2026'!$B$5</f>
        <v/>
      </c>
      <c r="C8" s="3">
        <f>'Mar 2026'!$B$6</f>
        <v/>
      </c>
      <c r="D8" s="3">
        <f>'Mar 2026'!$B$7</f>
        <v/>
      </c>
      <c r="E8" s="3">
        <f>'Mar 2026'!$B$8</f>
        <v/>
      </c>
      <c r="F8" s="3">
        <f>'Mar 2026'!$B$9</f>
        <v/>
      </c>
      <c r="G8" s="3">
        <f>'Mar 2026'!$B$10</f>
        <v>0</v>
      </c>
    </row>
    <row r="9">
      <c r="A9" s="5" t="inlineStr">
        <is>
          <t>Apr 2026</t>
        </is>
      </c>
      <c r="B9" s="3">
        <f>'Apr 2026'!$B$5</f>
        <v/>
      </c>
      <c r="C9" s="3">
        <f>'Apr 2026'!$B$6</f>
        <v/>
      </c>
      <c r="D9" s="3">
        <f>'Apr 2026'!$B$7</f>
        <v/>
      </c>
      <c r="E9" s="3">
        <f>'Apr 2026'!$B$8</f>
        <v/>
      </c>
      <c r="F9" s="3">
        <f>'Apr 2026'!$B$9</f>
        <v/>
      </c>
      <c r="G9" s="3">
        <f>'Apr 2026'!$B$10</f>
        <v>0</v>
      </c>
    </row>
    <row r="10">
      <c r="A10" s="5" t="inlineStr">
        <is>
          <t>May 2026</t>
        </is>
      </c>
      <c r="B10" s="3">
        <f>'May 2026'!$B$5</f>
        <v/>
      </c>
      <c r="C10" s="3">
        <f>'May 2026'!$B$6</f>
        <v/>
      </c>
      <c r="D10" s="3">
        <f>'May 2026'!$B$7</f>
        <v/>
      </c>
      <c r="E10" s="3">
        <f>'May 2026'!$B$8</f>
        <v/>
      </c>
      <c r="F10" s="3">
        <f>'May 2026'!$B$9</f>
        <v/>
      </c>
      <c r="G10" s="3">
        <f>'May 2026'!$B$10</f>
        <v>0</v>
      </c>
    </row>
    <row r="11">
      <c r="A11" s="5" t="inlineStr">
        <is>
          <t>Jun 2026</t>
        </is>
      </c>
      <c r="B11" s="3">
        <f>'Jun 2026'!$B$5</f>
        <v/>
      </c>
      <c r="C11" s="3">
        <f>'Jun 2026'!$B$6</f>
        <v/>
      </c>
      <c r="D11" s="3">
        <f>'Jun 2026'!$B$7</f>
        <v/>
      </c>
      <c r="E11" s="3">
        <f>'Jun 2026'!$B$8</f>
        <v/>
      </c>
      <c r="F11" s="3">
        <f>'Jun 2026'!$B$9</f>
        <v/>
      </c>
      <c r="G11" s="3">
        <f>'Jun 2026'!$B$10</f>
        <v>0</v>
      </c>
    </row>
    <row r="12">
      <c r="A12" s="5" t="inlineStr">
        <is>
          <t>Jul 2026</t>
        </is>
      </c>
      <c r="B12" s="3">
        <f>'Jul 2026'!$B$5</f>
        <v/>
      </c>
      <c r="C12" s="3">
        <f>'Jul 2026'!$B$6</f>
        <v/>
      </c>
      <c r="D12" s="3">
        <f>'Jul 2026'!$B$7</f>
        <v/>
      </c>
      <c r="E12" s="3">
        <f>'Jul 2026'!$B$8</f>
        <v/>
      </c>
      <c r="F12" s="3">
        <f>'Jul 2026'!$B$9</f>
        <v/>
      </c>
      <c r="G12" s="3">
        <f>'Jul 2026'!$B$10</f>
        <v>0</v>
      </c>
    </row>
    <row r="13">
      <c r="A13" s="5" t="inlineStr">
        <is>
          <t>Aug 2026</t>
        </is>
      </c>
      <c r="B13" s="3">
        <f>'Aug 2026'!$B$5</f>
        <v>4988.0</v>
      </c>
      <c r="C13" s="3">
        <f>'Aug 2026'!$B$6</f>
        <v>2741.56</v>
      </c>
      <c r="D13" s="3">
        <f>'Aug 2026'!$B$7</f>
        <v>7300.0</v>
      </c>
      <c r="E13" s="3">
        <f>'Aug 2026'!$B$8</f>
        <v>1700.0</v>
      </c>
      <c r="F13" s="3">
        <f>'Aug 2026'!$B$9</f>
        <v>2246.44</v>
      </c>
      <c r="G13" s="3">
        <f>'Aug 2026'!$B$10</f>
        <v>8242.24</v>
      </c>
    </row>
    <row r="14">
      <c r="A14" s="5" t="inlineStr">
        <is>
          <t>Sep 2026</t>
        </is>
      </c>
      <c r="B14" s="3">
        <f>'Sep 2026'!$B$5</f>
        <v>3126.00</v>
      </c>
      <c r="C14" s="3">
        <f>'Sep 2026'!$B$6</f>
        <v>2841.18</v>
      </c>
      <c r="D14" s="3">
        <f>'Sep 2026'!$B$7</f>
        <v>0</v>
      </c>
      <c r="E14" s="3">
        <f>'Sep 2026'!$B$8</f>
        <v>106.00</v>
      </c>
      <c r="F14" s="3">
        <f>'Sep 2026'!$B$9</f>
        <v>284.82</v>
      </c>
      <c r="G14" s="3">
        <f>'Sep 2026'!$B$10</f>
        <v>9127.06</v>
      </c>
    </row>
    <row r="15">
      <c r="A15" s="5" t="inlineStr">
        <is>
          <t>Oct 2026</t>
        </is>
      </c>
      <c r="B15" s="3">
        <f>'Oct 2026'!$B$5</f>
        <v>0</v>
      </c>
      <c r="C15" s="3">
        <f>'Oct 2026'!$B$6</f>
        <v>1536.47</v>
      </c>
      <c r="D15" s="3">
        <f>'Oct 2026'!$B$7</f>
        <v>0</v>
      </c>
      <c r="E15" s="3">
        <f>'Oct 2026'!$B$8</f>
        <v>0.00</v>
      </c>
      <c r="F15" s="3">
        <f>'Oct 2026'!$B$9</f>
        <v>-1536.47</v>
      </c>
      <c r="G15" s="3">
        <f>'Oct 2026'!$B$10</f>
        <v>7590.59</v>
      </c>
    </row>
    <row r="16">
      <c r="A16" s="5" t="inlineStr">
        <is>
          <t>Nov 2026</t>
        </is>
      </c>
      <c r="B16" s="3">
        <f>'Nov 2026'!$B$5</f>
        <v/>
      </c>
      <c r="C16" s="3">
        <f>'Nov 2026'!$B$6</f>
        <v/>
      </c>
      <c r="D16" s="3">
        <f>'Nov 2026'!$B$7</f>
        <v/>
      </c>
      <c r="E16" s="3">
        <f>'Nov 2026'!$B$8</f>
        <v/>
      </c>
      <c r="F16" s="3">
        <f>'Nov 2026'!$B$9</f>
        <v/>
      </c>
      <c r="G16" s="3">
        <f>'Nov 2026'!$B$10</f>
        <v>0</v>
      </c>
    </row>
    <row r="17">
      <c r="A17" s="5" t="inlineStr">
        <is>
          <t>Dec 2026</t>
        </is>
      </c>
      <c r="B17" s="3">
        <f>'Dec 2026'!$B$5</f>
        <v/>
      </c>
      <c r="C17" s="3">
        <f>'Dec 2026'!$B$6</f>
        <v/>
      </c>
      <c r="D17" s="3">
        <f>'Dec 2026'!$B$7</f>
        <v/>
      </c>
      <c r="E17" s="3">
        <f>'Dec 2026'!$B$8</f>
        <v/>
      </c>
      <c r="F17" s="3">
        <f>'Dec 2026'!$B$9</f>
        <v/>
      </c>
      <c r="G17" s="3">
        <f>'Dec 2026'!$B$10</f>
        <v>0</v>
      </c>
    </row>
    <row r="18">
      <c r="A18" s="2" t="inlineStr">
        <is>
          <t>Total</t>
        </is>
      </c>
      <c r="B18" s="3">
        <f>SUM(B6:B17)</f>
        <v>8114.00</v>
      </c>
      <c r="C18" s="3">
        <f>SUM(C6:C17)</f>
        <v>7119.21</v>
      </c>
      <c r="D18" s="3">
        <f>SUM(D6:D17)</f>
        <v>7300.0</v>
      </c>
      <c r="E18" s="3">
        <f>SUM(E6:E17)</f>
        <v>1806.00</v>
      </c>
      <c r="F18" s="3">
        <f>SUM(F6:F17)</f>
        <v>994.79</v>
      </c>
      <c r="G18" s="3">
        <f>LOOKUP(2,1/(G6:G17&lt;&gt;0),G6:G17)</f>
        <v>7590.59</v>
      </c>
    </row>
    <row r="20">
      <c r="A20" s="1" t="inlineStr">
        <is>
          <t>Annual Category Summary</t>
        </is>
      </c>
    </row>
    <row r="21">
      <c r="A21" s="2" t="inlineStr">
        <is>
          <t>Category</t>
        </is>
      </c>
      <c r="B21" s="2" t="inlineStr">
        <is>
          <t>Expenses</t>
        </is>
      </c>
      <c r="C21" s="2" t="inlineStr">
        <is>
          <t>Income</t>
        </is>
      </c>
      <c r="D21" s="2" t="inlineStr">
        <is>
          <t>Existing Savings</t>
        </is>
      </c>
      <c r="E21" s="2" t="inlineStr">
        <is>
          <t>Net</t>
        </is>
      </c>
    </row>
    <row r="22">
      <c r="A22" s="5" t="inlineStr">
        <is>
          <t>Housing</t>
        </is>
      </c>
      <c r="B22" s="3">
        <f>SUMIFS('Jan 2026'!$J$29:$J$528,'Jan 2026'!$E$29:$E$528,$A22,'Jan 2026'!$I$29:$I$528,"Expense")+SUMIFS('Feb 2026'!$J$29:$J$528,'Feb 2026'!$E$29:$E$528,$A22,'Feb 2026'!$I$29:$I$528,"Expense")+SUMIFS('Mar 2026'!$J$29:$J$528,'Mar 2026'!$E$29:$E$528,$A22,'Mar 2026'!$I$29:$I$528,"Expense")+SUMIFS('Apr 2026'!$J$29:$J$528,'Apr 2026'!$E$29:$E$528,$A22,'Apr 2026'!$I$29:$I$528,"Expense")+SUMIFS('May 2026'!$J$29:$J$528,'May 2026'!$E$29:$E$528,$A22,'May 2026'!$I$29:$I$528,"Expense")+SUMIFS('Jun 2026'!$J$29:$J$528,'Jun 2026'!$E$29:$E$528,$A22,'Jun 2026'!$I$29:$I$528,"Expense")+SUMIFS('Jul 2026'!$J$29:$J$528,'Jul 2026'!$E$29:$E$528,$A22,'Jul 2026'!$I$29:$I$528,"Expense")+SUMIFS('Aug 2026'!$J$29:$J$528,'Aug 2026'!$E$29:$E$528,$A22,'Aug 2026'!$I$29:$I$528,"Expense")+SUMIFS('Sep 2026'!$J$29:$J$528,'Sep 2026'!$E$29:$E$528,$A22,'Sep 2026'!$I$29:$I$528,"Expense")+SUMIFS('Oct 2026'!$J$29:$J$528,'Oct 2026'!$E$29:$E$528,$A22,'Oct 2026'!$I$29:$I$528,"Expense")+SUMIFS('Nov 2026'!$J$29:$J$528,'Nov 2026'!$E$29:$E$528,$A22,'Nov 2026'!$I$29:$I$528,"Expense")+SUMIFS('Dec 2026'!$J$29:$J$528,'Dec 2026'!$E$29:$E$528,$A22,'Dec 2026'!$I$29:$I$528,"Expense")</f>
        <v>3300.00</v>
      </c>
      <c r="C22" s="3">
        <f>SUMIFS('Jan 2026'!$J$29:$J$528,'Jan 2026'!$E$29:$E$528,$A22,'Jan 2026'!$I$29:$I$528,"Income")+SUMIFS('Feb 2026'!$J$29:$J$528,'Feb 2026'!$E$29:$E$528,$A22,'Feb 2026'!$I$29:$I$528,"Income")+SUMIFS('Mar 2026'!$J$29:$J$528,'Mar 2026'!$E$29:$E$528,$A22,'Mar 2026'!$I$29:$I$528,"Income")+SUMIFS('Apr 2026'!$J$29:$J$528,'Apr 2026'!$E$29:$E$528,$A22,'Apr 2026'!$I$29:$I$528,"Income")+SUMIFS('May 2026'!$J$29:$J$528,'May 2026'!$E$29:$E$528,$A22,'May 2026'!$I$29:$I$528,"Income")+SUMIFS('Jun 2026'!$J$29:$J$528,'Jun 2026'!$E$29:$E$528,$A22,'Jun 2026'!$I$29:$I$528,"Income")+SUMIFS('Jul 2026'!$J$29:$J$528,'Jul 2026'!$E$29:$E$528,$A22,'Jul 2026'!$I$29:$I$528,"Income")+SUMIFS('Aug 2026'!$J$29:$J$528,'Aug 2026'!$E$29:$E$528,$A22,'Aug 2026'!$I$29:$I$528,"Income")+SUMIFS('Sep 2026'!$J$29:$J$528,'Sep 2026'!$E$29:$E$528,$A22,'Sep 2026'!$I$29:$I$528,"Income")+SUMIFS('Oct 2026'!$J$29:$J$528,'Oct 2026'!$E$29:$E$528,$A22,'Oct 2026'!$I$29:$I$528,"Income")+SUMIFS('Nov 2026'!$J$29:$J$528,'Nov 2026'!$E$29:$E$528,$A22,'Nov 2026'!$I$29:$I$528,"Income")+SUMIFS('Dec 2026'!$J$29:$J$528,'Dec 2026'!$E$29:$E$528,$A22,'Dec 2026'!$I$29:$I$528,"Income")</f>
        <v>0</v>
      </c>
      <c r="D22" s="3">
        <f>SUMIFS('Jan 2026'!$J$29:$J$528,'Jan 2026'!$E$29:$E$528,$A22,'Jan 2026'!$I$29:$I$528,"Opening Balance")+SUMIFS('Feb 2026'!$J$29:$J$528,'Feb 2026'!$E$29:$E$528,$A22,'Feb 2026'!$I$29:$I$528,"Opening Balance")+SUMIFS('Mar 2026'!$J$29:$J$528,'Mar 2026'!$E$29:$E$528,$A22,'Mar 2026'!$I$29:$I$528,"Opening Balance")+SUMIFS('Apr 2026'!$J$29:$J$528,'Apr 2026'!$E$29:$E$528,$A22,'Apr 2026'!$I$29:$I$528,"Opening Balance")+SUMIFS('May 2026'!$J$29:$J$528,'May 2026'!$E$29:$E$528,$A22,'May 2026'!$I$29:$I$528,"Opening Balance")+SUMIFS('Jun 2026'!$J$29:$J$528,'Jun 2026'!$E$29:$E$528,$A22,'Jun 2026'!$I$29:$I$528,"Opening Balance")+SUMIFS('Jul 2026'!$J$29:$J$528,'Jul 2026'!$E$29:$E$528,$A22,'Jul 2026'!$I$29:$I$528,"Opening Balance")+SUMIFS('Aug 2026'!$J$29:$J$528,'Aug 2026'!$E$29:$E$528,$A22,'Aug 2026'!$I$29:$I$528,"Opening Balance")+SUMIFS('Sep 2026'!$J$29:$J$528,'Sep 2026'!$E$29:$E$528,$A22,'Sep 2026'!$I$29:$I$528,"Opening Balance")+SUMIFS('Oct 2026'!$J$29:$J$528,'Oct 2026'!$E$29:$E$528,$A22,'Oct 2026'!$I$29:$I$528,"Opening Balance")+SUMIFS('Nov 2026'!$J$29:$J$528,'Nov 2026'!$E$29:$E$528,$A22,'Nov 2026'!$I$29:$I$528,"Opening Balance")+SUMIFS('Dec 2026'!$J$29:$J$528,'Dec 2026'!$E$29:$E$528,$A22,'Dec 2026'!$I$29:$I$528,"Opening Balance")</f>
        <v>0</v>
      </c>
      <c r="E22" s="3">
        <f>C22+D22-B22</f>
        <v>-3300.00</v>
      </c>
    </row>
    <row r="23">
      <c r="A23" s="5" t="inlineStr">
        <is>
          <t>Utilities</t>
        </is>
      </c>
      <c r="B23" s="3">
        <f>SUMIFS('Jan 2026'!$J$29:$J$528,'Jan 2026'!$E$29:$E$528,$A23,'Jan 2026'!$I$29:$I$528,"Expense")+SUMIFS('Feb 2026'!$J$29:$J$528,'Feb 2026'!$E$29:$E$528,$A23,'Feb 2026'!$I$29:$I$528,"Expense")+SUMIFS('Mar 2026'!$J$29:$J$528,'Mar 2026'!$E$29:$E$528,$A23,'Mar 2026'!$I$29:$I$528,"Expense")+SUMIFS('Apr 2026'!$J$29:$J$528,'Apr 2026'!$E$29:$E$528,$A23,'Apr 2026'!$I$29:$I$528,"Expense")+SUMIFS('May 2026'!$J$29:$J$528,'May 2026'!$E$29:$E$528,$A23,'May 2026'!$I$29:$I$528,"Expense")+SUMIFS('Jun 2026'!$J$29:$J$528,'Jun 2026'!$E$29:$E$528,$A23,'Jun 2026'!$I$29:$I$528,"Expense")+SUMIFS('Jul 2026'!$J$29:$J$528,'Jul 2026'!$E$29:$E$528,$A23,'Jul 2026'!$I$29:$I$528,"Expense")+SUMIFS('Aug 2026'!$J$29:$J$528,'Aug 2026'!$E$29:$E$528,$A23,'Aug 2026'!$I$29:$I$528,"Expense")+SUMIFS('Sep 2026'!$J$29:$J$528,'Sep 2026'!$E$29:$E$528,$A23,'Sep 2026'!$I$29:$I$528,"Expense")+SUMIFS('Oct 2026'!$J$29:$J$528,'Oct 2026'!$E$29:$E$528,$A23,'Oct 2026'!$I$29:$I$528,"Expense")+SUMIFS('Nov 2026'!$J$29:$J$528,'Nov 2026'!$E$29:$E$528,$A23,'Nov 2026'!$I$29:$I$528,"Expense")+SUMIFS('Dec 2026'!$J$29:$J$528,'Dec 2026'!$E$29:$E$528,$A23,'Dec 2026'!$I$29:$I$528,"Expense")</f>
        <v>117.91</v>
      </c>
      <c r="C23" s="3">
        <f>SUMIFS('Jan 2026'!$J$29:$J$528,'Jan 2026'!$E$29:$E$528,$A23,'Jan 2026'!$I$29:$I$528,"Income")+SUMIFS('Feb 2026'!$J$29:$J$528,'Feb 2026'!$E$29:$E$528,$A23,'Feb 2026'!$I$29:$I$528,"Income")+SUMIFS('Mar 2026'!$J$29:$J$528,'Mar 2026'!$E$29:$E$528,$A23,'Mar 2026'!$I$29:$I$528,"Income")+SUMIFS('Apr 2026'!$J$29:$J$528,'Apr 2026'!$E$29:$E$528,$A23,'Apr 2026'!$I$29:$I$528,"Income")+SUMIFS('May 2026'!$J$29:$J$528,'May 2026'!$E$29:$E$528,$A23,'May 2026'!$I$29:$I$528,"Income")+SUMIFS('Jun 2026'!$J$29:$J$528,'Jun 2026'!$E$29:$E$528,$A23,'Jun 2026'!$I$29:$I$528,"Income")+SUMIFS('Jul 2026'!$J$29:$J$528,'Jul 2026'!$E$29:$E$528,$A23,'Jul 2026'!$I$29:$I$528,"Income")+SUMIFS('Aug 2026'!$J$29:$J$528,'Aug 2026'!$E$29:$E$528,$A23,'Aug 2026'!$I$29:$I$528,"Income")+SUMIFS('Sep 2026'!$J$29:$J$528,'Sep 2026'!$E$29:$E$528,$A23,'Sep 2026'!$I$29:$I$528,"Income")+SUMIFS('Oct 2026'!$J$29:$J$528,'Oct 2026'!$E$29:$E$528,$A23,'Oct 2026'!$I$29:$I$528,"Income")+SUMIFS('Nov 2026'!$J$29:$J$528,'Nov 2026'!$E$29:$E$528,$A23,'Nov 2026'!$I$29:$I$528,"Income")+SUMIFS('Dec 2026'!$J$29:$J$528,'Dec 2026'!$E$29:$E$528,$A23,'Dec 2026'!$I$29:$I$528,"Income")</f>
        <v>0</v>
      </c>
      <c r="D23" s="3">
        <f>SUMIFS('Jan 2026'!$J$29:$J$528,'Jan 2026'!$E$29:$E$528,$A23,'Jan 2026'!$I$29:$I$528,"Opening Balance")+SUMIFS('Feb 2026'!$J$29:$J$528,'Feb 2026'!$E$29:$E$528,$A23,'Feb 2026'!$I$29:$I$528,"Opening Balance")+SUMIFS('Mar 2026'!$J$29:$J$528,'Mar 2026'!$E$29:$E$528,$A23,'Mar 2026'!$I$29:$I$528,"Opening Balance")+SUMIFS('Apr 2026'!$J$29:$J$528,'Apr 2026'!$E$29:$E$528,$A23,'Apr 2026'!$I$29:$I$528,"Opening Balance")+SUMIFS('May 2026'!$J$29:$J$528,'May 2026'!$E$29:$E$528,$A23,'May 2026'!$I$29:$I$528,"Opening Balance")+SUMIFS('Jun 2026'!$J$29:$J$528,'Jun 2026'!$E$29:$E$528,$A23,'Jun 2026'!$I$29:$I$528,"Opening Balance")+SUMIFS('Jul 2026'!$J$29:$J$528,'Jul 2026'!$E$29:$E$528,$A23,'Jul 2026'!$I$29:$I$528,"Opening Balance")+SUMIFS('Aug 2026'!$J$29:$J$528,'Aug 2026'!$E$29:$E$528,$A23,'Aug 2026'!$I$29:$I$528,"Opening Balance")+SUMIFS('Sep 2026'!$J$29:$J$528,'Sep 2026'!$E$29:$E$528,$A23,'Sep 2026'!$I$29:$I$528,"Opening Balance")+SUMIFS('Oct 2026'!$J$29:$J$528,'Oct 2026'!$E$29:$E$528,$A23,'Oct 2026'!$I$29:$I$528,"Opening Balance")+SUMIFS('Nov 2026'!$J$29:$J$528,'Nov 2026'!$E$29:$E$528,$A23,'Nov 2026'!$I$29:$I$528,"Opening Balance")+SUMIFS('Dec 2026'!$J$29:$J$528,'Dec 2026'!$E$29:$E$528,$A23,'Dec 2026'!$I$29:$I$528,"Opening Balance")</f>
        <v>0</v>
      </c>
      <c r="E23" s="3">
        <f>C23+D23-B23</f>
        <v>-117.91</v>
      </c>
    </row>
    <row r="24">
      <c r="A24" s="5" t="inlineStr">
        <is>
          <t>Groceries</t>
        </is>
      </c>
      <c r="B24" s="3">
        <f>SUMIFS('Jan 2026'!$J$29:$J$528,'Jan 2026'!$E$29:$E$528,$A24,'Jan 2026'!$I$29:$I$528,"Expense")+SUMIFS('Feb 2026'!$J$29:$J$528,'Feb 2026'!$E$29:$E$528,$A24,'Feb 2026'!$I$29:$I$528,"Expense")+SUMIFS('Mar 2026'!$J$29:$J$528,'Mar 2026'!$E$29:$E$528,$A24,'Mar 2026'!$I$29:$I$528,"Expense")+SUMIFS('Apr 2026'!$J$29:$J$528,'Apr 2026'!$E$29:$E$528,$A24,'Apr 2026'!$I$29:$I$528,"Expense")+SUMIFS('May 2026'!$J$29:$J$528,'May 2026'!$E$29:$E$528,$A24,'May 2026'!$I$29:$I$528,"Expense")+SUMIFS('Jun 2026'!$J$29:$J$528,'Jun 2026'!$E$29:$E$528,$A24,'Jun 2026'!$I$29:$I$528,"Expense")+SUMIFS('Jul 2026'!$J$29:$J$528,'Jul 2026'!$E$29:$E$528,$A24,'Jul 2026'!$I$29:$I$528,"Expense")+SUMIFS('Aug 2026'!$J$29:$J$528,'Aug 2026'!$E$29:$E$528,$A24,'Aug 2026'!$I$29:$I$528,"Expense")+SUMIFS('Sep 2026'!$J$29:$J$528,'Sep 2026'!$E$29:$E$528,$A24,'Sep 2026'!$I$29:$I$528,"Expense")+SUMIFS('Oct 2026'!$J$29:$J$528,'Oct 2026'!$E$29:$E$528,$A24,'Oct 2026'!$I$29:$I$528,"Expense")+SUMIFS('Nov 2026'!$J$29:$J$528,'Nov 2026'!$E$29:$E$528,$A24,'Nov 2026'!$I$29:$I$528,"Expense")+SUMIFS('Dec 2026'!$J$29:$J$528,'Dec 2026'!$E$29:$E$528,$A24,'Dec 2026'!$I$29:$I$528,"Expense")</f>
        <v>757.58</v>
      </c>
      <c r="C24" s="3">
        <f>SUMIFS('Jan 2026'!$J$29:$J$528,'Jan 2026'!$E$29:$E$528,$A24,'Jan 2026'!$I$29:$I$528,"Income")+SUMIFS('Feb 2026'!$J$29:$J$528,'Feb 2026'!$E$29:$E$528,$A24,'Feb 2026'!$I$29:$I$528,"Income")+SUMIFS('Mar 2026'!$J$29:$J$528,'Mar 2026'!$E$29:$E$528,$A24,'Mar 2026'!$I$29:$I$528,"Income")+SUMIFS('Apr 2026'!$J$29:$J$528,'Apr 2026'!$E$29:$E$528,$A24,'Apr 2026'!$I$29:$I$528,"Income")+SUMIFS('May 2026'!$J$29:$J$528,'May 2026'!$E$29:$E$528,$A24,'May 2026'!$I$29:$I$528,"Income")+SUMIFS('Jun 2026'!$J$29:$J$528,'Jun 2026'!$E$29:$E$528,$A24,'Jun 2026'!$I$29:$I$528,"Income")+SUMIFS('Jul 2026'!$J$29:$J$528,'Jul 2026'!$E$29:$E$528,$A24,'Jul 2026'!$I$29:$I$528,"Income")+SUMIFS('Aug 2026'!$J$29:$J$528,'Aug 2026'!$E$29:$E$528,$A24,'Aug 2026'!$I$29:$I$528,"Income")+SUMIFS('Sep 2026'!$J$29:$J$528,'Sep 2026'!$E$29:$E$528,$A24,'Sep 2026'!$I$29:$I$528,"Income")+SUMIFS('Oct 2026'!$J$29:$J$528,'Oct 2026'!$E$29:$E$528,$A24,'Oct 2026'!$I$29:$I$528,"Income")+SUMIFS('Nov 2026'!$J$29:$J$528,'Nov 2026'!$E$29:$E$528,$A24,'Nov 2026'!$I$29:$I$528,"Income")+SUMIFS('Dec 2026'!$J$29:$J$528,'Dec 2026'!$E$29:$E$528,$A24,'Dec 2026'!$I$29:$I$528,"Income")</f>
        <v>0</v>
      </c>
      <c r="D24" s="3">
        <f>SUMIFS('Jan 2026'!$J$29:$J$528,'Jan 2026'!$E$29:$E$528,$A24,'Jan 2026'!$I$29:$I$528,"Opening Balance")+SUMIFS('Feb 2026'!$J$29:$J$528,'Feb 2026'!$E$29:$E$528,$A24,'Feb 2026'!$I$29:$I$528,"Opening Balance")+SUMIFS('Mar 2026'!$J$29:$J$528,'Mar 2026'!$E$29:$E$528,$A24,'Mar 2026'!$I$29:$I$528,"Opening Balance")+SUMIFS('Apr 2026'!$J$29:$J$528,'Apr 2026'!$E$29:$E$528,$A24,'Apr 2026'!$I$29:$I$528,"Opening Balance")+SUMIFS('May 2026'!$J$29:$J$528,'May 2026'!$E$29:$E$528,$A24,'May 2026'!$I$29:$I$528,"Opening Balance")+SUMIFS('Jun 2026'!$J$29:$J$528,'Jun 2026'!$E$29:$E$528,$A24,'Jun 2026'!$I$29:$I$528,"Opening Balance")+SUMIFS('Jul 2026'!$J$29:$J$528,'Jul 2026'!$E$29:$E$528,$A24,'Jul 2026'!$I$29:$I$528,"Opening Balance")+SUMIFS('Aug 2026'!$J$29:$J$528,'Aug 2026'!$E$29:$E$528,$A24,'Aug 2026'!$I$29:$I$528,"Opening Balance")+SUMIFS('Sep 2026'!$J$29:$J$528,'Sep 2026'!$E$29:$E$528,$A24,'Sep 2026'!$I$29:$I$528,"Opening Balance")+SUMIFS('Oct 2026'!$J$29:$J$528,'Oct 2026'!$E$29:$E$528,$A24,'Oct 2026'!$I$29:$I$528,"Opening Balance")+SUMIFS('Nov 2026'!$J$29:$J$528,'Nov 2026'!$E$29:$E$528,$A24,'Nov 2026'!$I$29:$I$528,"Opening Balance")+SUMIFS('Dec 2026'!$J$29:$J$528,'Dec 2026'!$E$29:$E$528,$A24,'Dec 2026'!$I$29:$I$528,"Opening Balance")</f>
        <v>0</v>
      </c>
      <c r="E24" s="3">
        <f>C24+D24-B24</f>
        <v>-757.58</v>
      </c>
    </row>
    <row r="25">
      <c r="A25" s="5" t="inlineStr">
        <is>
          <t>Dining</t>
        </is>
      </c>
      <c r="B25" s="3">
        <f>SUMIFS('Jan 2026'!$J$29:$J$528,'Jan 2026'!$E$29:$E$528,$A25,'Jan 2026'!$I$29:$I$528,"Expense")+SUMIFS('Feb 2026'!$J$29:$J$528,'Feb 2026'!$E$29:$E$528,$A25,'Feb 2026'!$I$29:$I$528,"Expense")+SUMIFS('Mar 2026'!$J$29:$J$528,'Mar 2026'!$E$29:$E$528,$A25,'Mar 2026'!$I$29:$I$528,"Expense")+SUMIFS('Apr 2026'!$J$29:$J$528,'Apr 2026'!$E$29:$E$528,$A25,'Apr 2026'!$I$29:$I$528,"Expense")+SUMIFS('May 2026'!$J$29:$J$528,'May 2026'!$E$29:$E$528,$A25,'May 2026'!$I$29:$I$528,"Expense")+SUMIFS('Jun 2026'!$J$29:$J$528,'Jun 2026'!$E$29:$E$528,$A25,'Jun 2026'!$I$29:$I$528,"Expense")+SUMIFS('Jul 2026'!$J$29:$J$528,'Jul 2026'!$E$29:$E$528,$A25,'Jul 2026'!$I$29:$I$528,"Expense")+SUMIFS('Aug 2026'!$J$29:$J$528,'Aug 2026'!$E$29:$E$528,$A25,'Aug 2026'!$I$29:$I$528,"Expense")+SUMIFS('Sep 2026'!$J$29:$J$528,'Sep 2026'!$E$29:$E$528,$A25,'Sep 2026'!$I$29:$I$528,"Expense")+SUMIFS('Oct 2026'!$J$29:$J$528,'Oct 2026'!$E$29:$E$528,$A25,'Oct 2026'!$I$29:$I$528,"Expense")+SUMIFS('Nov 2026'!$J$29:$J$528,'Nov 2026'!$E$29:$E$528,$A25,'Nov 2026'!$I$29:$I$528,"Expense")+SUMIFS('Dec 2026'!$J$29:$J$528,'Dec 2026'!$E$29:$E$528,$A25,'Dec 2026'!$I$29:$I$528,"Expense")</f>
        <v>1053.29</v>
      </c>
      <c r="C25" s="3">
        <f>SUMIFS('Jan 2026'!$J$29:$J$528,'Jan 2026'!$E$29:$E$528,$A25,'Jan 2026'!$I$29:$I$528,"Income")+SUMIFS('Feb 2026'!$J$29:$J$528,'Feb 2026'!$E$29:$E$528,$A25,'Feb 2026'!$I$29:$I$528,"Income")+SUMIFS('Mar 2026'!$J$29:$J$528,'Mar 2026'!$E$29:$E$528,$A25,'Mar 2026'!$I$29:$I$528,"Income")+SUMIFS('Apr 2026'!$J$29:$J$528,'Apr 2026'!$E$29:$E$528,$A25,'Apr 2026'!$I$29:$I$528,"Income")+SUMIFS('May 2026'!$J$29:$J$528,'May 2026'!$E$29:$E$528,$A25,'May 2026'!$I$29:$I$528,"Income")+SUMIFS('Jun 2026'!$J$29:$J$528,'Jun 2026'!$E$29:$E$528,$A25,'Jun 2026'!$I$29:$I$528,"Income")+SUMIFS('Jul 2026'!$J$29:$J$528,'Jul 2026'!$E$29:$E$528,$A25,'Jul 2026'!$I$29:$I$528,"Income")+SUMIFS('Aug 2026'!$J$29:$J$528,'Aug 2026'!$E$29:$E$528,$A25,'Aug 2026'!$I$29:$I$528,"Income")+SUMIFS('Sep 2026'!$J$29:$J$528,'Sep 2026'!$E$29:$E$528,$A25,'Sep 2026'!$I$29:$I$528,"Income")+SUMIFS('Oct 2026'!$J$29:$J$528,'Oct 2026'!$E$29:$E$528,$A25,'Oct 2026'!$I$29:$I$528,"Income")+SUMIFS('Nov 2026'!$J$29:$J$528,'Nov 2026'!$E$29:$E$528,$A25,'Nov 2026'!$I$29:$I$528,"Income")+SUMIFS('Dec 2026'!$J$29:$J$528,'Dec 2026'!$E$29:$E$528,$A25,'Dec 2026'!$I$29:$I$528,"Income")</f>
        <v>0</v>
      </c>
      <c r="D25" s="3">
        <f>SUMIFS('Jan 2026'!$J$29:$J$528,'Jan 2026'!$E$29:$E$528,$A25,'Jan 2026'!$I$29:$I$528,"Opening Balance")+SUMIFS('Feb 2026'!$J$29:$J$528,'Feb 2026'!$E$29:$E$528,$A25,'Feb 2026'!$I$29:$I$528,"Opening Balance")+SUMIFS('Mar 2026'!$J$29:$J$528,'Mar 2026'!$E$29:$E$528,$A25,'Mar 2026'!$I$29:$I$528,"Opening Balance")+SUMIFS('Apr 2026'!$J$29:$J$528,'Apr 2026'!$E$29:$E$528,$A25,'Apr 2026'!$I$29:$I$528,"Opening Balance")+SUMIFS('May 2026'!$J$29:$J$528,'May 2026'!$E$29:$E$528,$A25,'May 2026'!$I$29:$I$528,"Opening Balance")+SUMIFS('Jun 2026'!$J$29:$J$528,'Jun 2026'!$E$29:$E$528,$A25,'Jun 2026'!$I$29:$I$528,"Opening Balance")+SUMIFS('Jul 2026'!$J$29:$J$528,'Jul 2026'!$E$29:$E$528,$A25,'Jul 2026'!$I$29:$I$528,"Opening Balance")+SUMIFS('Aug 2026'!$J$29:$J$528,'Aug 2026'!$E$29:$E$528,$A25,'Aug 2026'!$I$29:$I$528,"Opening Balance")+SUMIFS('Sep 2026'!$J$29:$J$528,'Sep 2026'!$E$29:$E$528,$A25,'Sep 2026'!$I$29:$I$528,"Opening Balance")+SUMIFS('Oct 2026'!$J$29:$J$528,'Oct 2026'!$E$29:$E$528,$A25,'Oct 2026'!$I$29:$I$528,"Opening Balance")+SUMIFS('Nov 2026'!$J$29:$J$528,'Nov 2026'!$E$29:$E$528,$A25,'Nov 2026'!$I$29:$I$528,"Opening Balance")+SUMIFS('Dec 2026'!$J$29:$J$528,'Dec 2026'!$E$29:$E$528,$A25,'Dec 2026'!$I$29:$I$528,"Opening Balance")</f>
        <v>0</v>
      </c>
      <c r="E25" s="3">
        <f>C25+D25-B25</f>
        <v>-1053.29</v>
      </c>
    </row>
    <row r="26">
      <c r="A26" s="5" t="inlineStr">
        <is>
          <t>Transportation</t>
        </is>
      </c>
      <c r="B26" s="3">
        <f>SUMIFS('Jan 2026'!$J$29:$J$528,'Jan 2026'!$E$29:$E$528,$A26,'Jan 2026'!$I$29:$I$528,"Expense")+SUMIFS('Feb 2026'!$J$29:$J$528,'Feb 2026'!$E$29:$E$528,$A26,'Feb 2026'!$I$29:$I$528,"Expense")+SUMIFS('Mar 2026'!$J$29:$J$528,'Mar 2026'!$E$29:$E$528,$A26,'Mar 2026'!$I$29:$I$528,"Expense")+SUMIFS('Apr 2026'!$J$29:$J$528,'Apr 2026'!$E$29:$E$528,$A26,'Apr 2026'!$I$29:$I$528,"Expense")+SUMIFS('May 2026'!$J$29:$J$528,'May 2026'!$E$29:$E$528,$A26,'May 2026'!$I$29:$I$528,"Expense")+SUMIFS('Jun 2026'!$J$29:$J$528,'Jun 2026'!$E$29:$E$528,$A26,'Jun 2026'!$I$29:$I$528,"Expense")+SUMIFS('Jul 2026'!$J$29:$J$528,'Jul 2026'!$E$29:$E$528,$A26,'Jul 2026'!$I$29:$I$528,"Expense")+SUMIFS('Aug 2026'!$J$29:$J$528,'Aug 2026'!$E$29:$E$528,$A26,'Aug 2026'!$I$29:$I$528,"Expense")+SUMIFS('Sep 2026'!$J$29:$J$528,'Sep 2026'!$E$29:$E$528,$A26,'Sep 2026'!$I$29:$I$528,"Expense")+SUMIFS('Oct 2026'!$J$29:$J$528,'Oct 2026'!$E$29:$E$528,$A26,'Oct 2026'!$I$29:$I$528,"Expense")+SUMIFS('Nov 2026'!$J$29:$J$528,'Nov 2026'!$E$29:$E$528,$A26,'Nov 2026'!$I$29:$I$528,"Expense")+SUMIFS('Dec 2026'!$J$29:$J$528,'Dec 2026'!$E$29:$E$528,$A26,'Dec 2026'!$I$29:$I$528,"Expense")</f>
        <v>298.10</v>
      </c>
      <c r="C26" s="3">
        <f>SUMIFS('Jan 2026'!$J$29:$J$528,'Jan 2026'!$E$29:$E$528,$A26,'Jan 2026'!$I$29:$I$528,"Income")+SUMIFS('Feb 2026'!$J$29:$J$528,'Feb 2026'!$E$29:$E$528,$A26,'Feb 2026'!$I$29:$I$528,"Income")+SUMIFS('Mar 2026'!$J$29:$J$528,'Mar 2026'!$E$29:$E$528,$A26,'Mar 2026'!$I$29:$I$528,"Income")+SUMIFS('Apr 2026'!$J$29:$J$528,'Apr 2026'!$E$29:$E$528,$A26,'Apr 2026'!$I$29:$I$528,"Income")+SUMIFS('May 2026'!$J$29:$J$528,'May 2026'!$E$29:$E$528,$A26,'May 2026'!$I$29:$I$528,"Income")+SUMIFS('Jun 2026'!$J$29:$J$528,'Jun 2026'!$E$29:$E$528,$A26,'Jun 2026'!$I$29:$I$528,"Income")+SUMIFS('Jul 2026'!$J$29:$J$528,'Jul 2026'!$E$29:$E$528,$A26,'Jul 2026'!$I$29:$I$528,"Income")+SUMIFS('Aug 2026'!$J$29:$J$528,'Aug 2026'!$E$29:$E$528,$A26,'Aug 2026'!$I$29:$I$528,"Income")+SUMIFS('Sep 2026'!$J$29:$J$528,'Sep 2026'!$E$29:$E$528,$A26,'Sep 2026'!$I$29:$I$528,"Income")+SUMIFS('Oct 2026'!$J$29:$J$528,'Oct 2026'!$E$29:$E$528,$A26,'Oct 2026'!$I$29:$I$528,"Income")+SUMIFS('Nov 2026'!$J$29:$J$528,'Nov 2026'!$E$29:$E$528,$A26,'Nov 2026'!$I$29:$I$528,"Income")+SUMIFS('Dec 2026'!$J$29:$J$528,'Dec 2026'!$E$29:$E$528,$A26,'Dec 2026'!$I$29:$I$528,"Income")</f>
        <v>0</v>
      </c>
      <c r="D26" s="3">
        <f>SUMIFS('Jan 2026'!$J$29:$J$528,'Jan 2026'!$E$29:$E$528,$A26,'Jan 2026'!$I$29:$I$528,"Opening Balance")+SUMIFS('Feb 2026'!$J$29:$J$528,'Feb 2026'!$E$29:$E$528,$A26,'Feb 2026'!$I$29:$I$528,"Opening Balance")+SUMIFS('Mar 2026'!$J$29:$J$528,'Mar 2026'!$E$29:$E$528,$A26,'Mar 2026'!$I$29:$I$528,"Opening Balance")+SUMIFS('Apr 2026'!$J$29:$J$528,'Apr 2026'!$E$29:$E$528,$A26,'Apr 2026'!$I$29:$I$528,"Opening Balance")+SUMIFS('May 2026'!$J$29:$J$528,'May 2026'!$E$29:$E$528,$A26,'May 2026'!$I$29:$I$528,"Opening Balance")+SUMIFS('Jun 2026'!$J$29:$J$528,'Jun 2026'!$E$29:$E$528,$A26,'Jun 2026'!$I$29:$I$528,"Opening Balance")+SUMIFS('Jul 2026'!$J$29:$J$528,'Jul 2026'!$E$29:$E$528,$A26,'Jul 2026'!$I$29:$I$528,"Opening Balance")+SUMIFS('Aug 2026'!$J$29:$J$528,'Aug 2026'!$E$29:$E$528,$A26,'Aug 2026'!$I$29:$I$528,"Opening Balance")+SUMIFS('Sep 2026'!$J$29:$J$528,'Sep 2026'!$E$29:$E$528,$A26,'Sep 2026'!$I$29:$I$528,"Opening Balance")+SUMIFS('Oct 2026'!$J$29:$J$528,'Oct 2026'!$E$29:$E$528,$A26,'Oct 2026'!$I$29:$I$528,"Opening Balance")+SUMIFS('Nov 2026'!$J$29:$J$528,'Nov 2026'!$E$29:$E$528,$A26,'Nov 2026'!$I$29:$I$528,"Opening Balance")+SUMIFS('Dec 2026'!$J$29:$J$528,'Dec 2026'!$E$29:$E$528,$A26,'Dec 2026'!$I$29:$I$528,"Opening Balance")</f>
        <v>0</v>
      </c>
      <c r="E26" s="3">
        <f>C26+D26-B26</f>
        <v>-298.10</v>
      </c>
    </row>
    <row r="27">
      <c r="A27" s="5" t="inlineStr">
        <is>
          <t>Health &amp; Medical</t>
        </is>
      </c>
      <c r="B27" s="3">
        <f>SUMIFS('Jan 2026'!$J$29:$J$528,'Jan 2026'!$E$29:$E$528,$A27,'Jan 2026'!$I$29:$I$528,"Expense")+SUMIFS('Feb 2026'!$J$29:$J$528,'Feb 2026'!$E$29:$E$528,$A27,'Feb 2026'!$I$29:$I$528,"Expense")+SUMIFS('Mar 2026'!$J$29:$J$528,'Mar 2026'!$E$29:$E$528,$A27,'Mar 2026'!$I$29:$I$528,"Expense")+SUMIFS('Apr 2026'!$J$29:$J$528,'Apr 2026'!$E$29:$E$528,$A27,'Apr 2026'!$I$29:$I$528,"Expense")+SUMIFS('May 2026'!$J$29:$J$528,'May 2026'!$E$29:$E$528,$A27,'May 2026'!$I$29:$I$528,"Expense")+SUMIFS('Jun 2026'!$J$29:$J$528,'Jun 2026'!$E$29:$E$528,$A27,'Jun 2026'!$I$29:$I$528,"Expense")+SUMIFS('Jul 2026'!$J$29:$J$528,'Jul 2026'!$E$29:$E$528,$A27,'Jul 2026'!$I$29:$I$528,"Expense")+SUMIFS('Aug 2026'!$J$29:$J$528,'Aug 2026'!$E$29:$E$528,$A27,'Aug 2026'!$I$29:$I$528,"Expense")+SUMIFS('Sep 2026'!$J$29:$J$528,'Sep 2026'!$E$29:$E$528,$A27,'Sep 2026'!$I$29:$I$528,"Expense")+SUMIFS('Oct 2026'!$J$29:$J$528,'Oct 2026'!$E$29:$E$528,$A27,'Oct 2026'!$I$29:$I$528,"Expense")+SUMIFS('Nov 2026'!$J$29:$J$528,'Nov 2026'!$E$29:$E$528,$A27,'Nov 2026'!$I$29:$I$528,"Expense")+SUMIFS('Dec 2026'!$J$29:$J$528,'Dec 2026'!$E$29:$E$528,$A27,'Dec 2026'!$I$29:$I$528,"Expense")</f>
        <v>0</v>
      </c>
      <c r="C27" s="3">
        <f>SUMIFS('Jan 2026'!$J$29:$J$528,'Jan 2026'!$E$29:$E$528,$A27,'Jan 2026'!$I$29:$I$528,"Income")+SUMIFS('Feb 2026'!$J$29:$J$528,'Feb 2026'!$E$29:$E$528,$A27,'Feb 2026'!$I$29:$I$528,"Income")+SUMIFS('Mar 2026'!$J$29:$J$528,'Mar 2026'!$E$29:$E$528,$A27,'Mar 2026'!$I$29:$I$528,"Income")+SUMIFS('Apr 2026'!$J$29:$J$528,'Apr 2026'!$E$29:$E$528,$A27,'Apr 2026'!$I$29:$I$528,"Income")+SUMIFS('May 2026'!$J$29:$J$528,'May 2026'!$E$29:$E$528,$A27,'May 2026'!$I$29:$I$528,"Income")+SUMIFS('Jun 2026'!$J$29:$J$528,'Jun 2026'!$E$29:$E$528,$A27,'Jun 2026'!$I$29:$I$528,"Income")+SUMIFS('Jul 2026'!$J$29:$J$528,'Jul 2026'!$E$29:$E$528,$A27,'Jul 2026'!$I$29:$I$528,"Income")+SUMIFS('Aug 2026'!$J$29:$J$528,'Aug 2026'!$E$29:$E$528,$A27,'Aug 2026'!$I$29:$I$528,"Income")+SUMIFS('Sep 2026'!$J$29:$J$528,'Sep 2026'!$E$29:$E$528,$A27,'Sep 2026'!$I$29:$I$528,"Income")+SUMIFS('Oct 2026'!$J$29:$J$528,'Oct 2026'!$E$29:$E$528,$A27,'Oct 2026'!$I$29:$I$528,"Income")+SUMIFS('Nov 2026'!$J$29:$J$528,'Nov 2026'!$E$29:$E$528,$A27,'Nov 2026'!$I$29:$I$528,"Income")+SUMIFS('Dec 2026'!$J$29:$J$528,'Dec 2026'!$E$29:$E$528,$A27,'Dec 2026'!$I$29:$I$528,"Income")</f>
        <v>0</v>
      </c>
      <c r="D27" s="3">
        <f>SUMIFS('Jan 2026'!$J$29:$J$528,'Jan 2026'!$E$29:$E$528,$A27,'Jan 2026'!$I$29:$I$528,"Opening Balance")+SUMIFS('Feb 2026'!$J$29:$J$528,'Feb 2026'!$E$29:$E$528,$A27,'Feb 2026'!$I$29:$I$528,"Opening Balance")+SUMIFS('Mar 2026'!$J$29:$J$528,'Mar 2026'!$E$29:$E$528,$A27,'Mar 2026'!$I$29:$I$528,"Opening Balance")+SUMIFS('Apr 2026'!$J$29:$J$528,'Apr 2026'!$E$29:$E$528,$A27,'Apr 2026'!$I$29:$I$528,"Opening Balance")+SUMIFS('May 2026'!$J$29:$J$528,'May 2026'!$E$29:$E$528,$A27,'May 2026'!$I$29:$I$528,"Opening Balance")+SUMIFS('Jun 2026'!$J$29:$J$528,'Jun 2026'!$E$29:$E$528,$A27,'Jun 2026'!$I$29:$I$528,"Opening Balance")+SUMIFS('Jul 2026'!$J$29:$J$528,'Jul 2026'!$E$29:$E$528,$A27,'Jul 2026'!$I$29:$I$528,"Opening Balance")+SUMIFS('Aug 2026'!$J$29:$J$528,'Aug 2026'!$E$29:$E$528,$A27,'Aug 2026'!$I$29:$I$528,"Opening Balance")+SUMIFS('Sep 2026'!$J$29:$J$528,'Sep 2026'!$E$29:$E$528,$A27,'Sep 2026'!$I$29:$I$528,"Opening Balance")+SUMIFS('Oct 2026'!$J$29:$J$528,'Oct 2026'!$E$29:$E$528,$A27,'Oct 2026'!$I$29:$I$528,"Opening Balance")+SUMIFS('Nov 2026'!$J$29:$J$528,'Nov 2026'!$E$29:$E$528,$A27,'Nov 2026'!$I$29:$I$528,"Opening Balance")+SUMIFS('Dec 2026'!$J$29:$J$528,'Dec 2026'!$E$29:$E$528,$A27,'Dec 2026'!$I$29:$I$528,"Opening Balance")</f>
        <v>0</v>
      </c>
      <c r="E27" s="3">
        <f>C27+D27-B27</f>
        <v>0</v>
      </c>
    </row>
    <row r="28">
      <c r="A28" s="5" t="inlineStr">
        <is>
          <t>Insurance</t>
        </is>
      </c>
      <c r="B28" s="3">
        <f>SUMIFS('Jan 2026'!$J$29:$J$528,'Jan 2026'!$E$29:$E$528,$A28,'Jan 2026'!$I$29:$I$528,"Expense")+SUMIFS('Feb 2026'!$J$29:$J$528,'Feb 2026'!$E$29:$E$528,$A28,'Feb 2026'!$I$29:$I$528,"Expense")+SUMIFS('Mar 2026'!$J$29:$J$528,'Mar 2026'!$E$29:$E$528,$A28,'Mar 2026'!$I$29:$I$528,"Expense")+SUMIFS('Apr 2026'!$J$29:$J$528,'Apr 2026'!$E$29:$E$528,$A28,'Apr 2026'!$I$29:$I$528,"Expense")+SUMIFS('May 2026'!$J$29:$J$528,'May 2026'!$E$29:$E$528,$A28,'May 2026'!$I$29:$I$528,"Expense")+SUMIFS('Jun 2026'!$J$29:$J$528,'Jun 2026'!$E$29:$E$528,$A28,'Jun 2026'!$I$29:$I$528,"Expense")+SUMIFS('Jul 2026'!$J$29:$J$528,'Jul 2026'!$E$29:$E$528,$A28,'Jul 2026'!$I$29:$I$528,"Expense")+SUMIFS('Aug 2026'!$J$29:$J$528,'Aug 2026'!$E$29:$E$528,$A28,'Aug 2026'!$I$29:$I$528,"Expense")+SUMIFS('Sep 2026'!$J$29:$J$528,'Sep 2026'!$E$29:$E$528,$A28,'Sep 2026'!$I$29:$I$528,"Expense")+SUMIFS('Oct 2026'!$J$29:$J$528,'Oct 2026'!$E$29:$E$528,$A28,'Oct 2026'!$I$29:$I$528,"Expense")+SUMIFS('Nov 2026'!$J$29:$J$528,'Nov 2026'!$E$29:$E$528,$A28,'Nov 2026'!$I$29:$I$528,"Expense")+SUMIFS('Dec 2026'!$J$29:$J$528,'Dec 2026'!$E$29:$E$528,$A28,'Dec 2026'!$I$29:$I$528,"Expense")</f>
        <v>0</v>
      </c>
      <c r="C28" s="3">
        <f>SUMIFS('Jan 2026'!$J$29:$J$528,'Jan 2026'!$E$29:$E$528,$A28,'Jan 2026'!$I$29:$I$528,"Income")+SUMIFS('Feb 2026'!$J$29:$J$528,'Feb 2026'!$E$29:$E$528,$A28,'Feb 2026'!$I$29:$I$528,"Income")+SUMIFS('Mar 2026'!$J$29:$J$528,'Mar 2026'!$E$29:$E$528,$A28,'Mar 2026'!$I$29:$I$528,"Income")+SUMIFS('Apr 2026'!$J$29:$J$528,'Apr 2026'!$E$29:$E$528,$A28,'Apr 2026'!$I$29:$I$528,"Income")+SUMIFS('May 2026'!$J$29:$J$528,'May 2026'!$E$29:$E$528,$A28,'May 2026'!$I$29:$I$528,"Income")+SUMIFS('Jun 2026'!$J$29:$J$528,'Jun 2026'!$E$29:$E$528,$A28,'Jun 2026'!$I$29:$I$528,"Income")+SUMIFS('Jul 2026'!$J$29:$J$528,'Jul 2026'!$E$29:$E$528,$A28,'Jul 2026'!$I$29:$I$528,"Income")+SUMIFS('Aug 2026'!$J$29:$J$528,'Aug 2026'!$E$29:$E$528,$A28,'Aug 2026'!$I$29:$I$528,"Income")+SUMIFS('Sep 2026'!$J$29:$J$528,'Sep 2026'!$E$29:$E$528,$A28,'Sep 2026'!$I$29:$I$528,"Income")+SUMIFS('Oct 2026'!$J$29:$J$528,'Oct 2026'!$E$29:$E$528,$A28,'Oct 2026'!$I$29:$I$528,"Income")+SUMIFS('Nov 2026'!$J$29:$J$528,'Nov 2026'!$E$29:$E$528,$A28,'Nov 2026'!$I$29:$I$528,"Income")+SUMIFS('Dec 2026'!$J$29:$J$528,'Dec 2026'!$E$29:$E$528,$A28,'Dec 2026'!$I$29:$I$528,"Income")</f>
        <v>0</v>
      </c>
      <c r="D28" s="3">
        <f>SUMIFS('Jan 2026'!$J$29:$J$528,'Jan 2026'!$E$29:$E$528,$A28,'Jan 2026'!$I$29:$I$528,"Opening Balance")+SUMIFS('Feb 2026'!$J$29:$J$528,'Feb 2026'!$E$29:$E$528,$A28,'Feb 2026'!$I$29:$I$528,"Opening Balance")+SUMIFS('Mar 2026'!$J$29:$J$528,'Mar 2026'!$E$29:$E$528,$A28,'Mar 2026'!$I$29:$I$528,"Opening Balance")+SUMIFS('Apr 2026'!$J$29:$J$528,'Apr 2026'!$E$29:$E$528,$A28,'Apr 2026'!$I$29:$I$528,"Opening Balance")+SUMIFS('May 2026'!$J$29:$J$528,'May 2026'!$E$29:$E$528,$A28,'May 2026'!$I$29:$I$528,"Opening Balance")+SUMIFS('Jun 2026'!$J$29:$J$528,'Jun 2026'!$E$29:$E$528,$A28,'Jun 2026'!$I$29:$I$528,"Opening Balance")+SUMIFS('Jul 2026'!$J$29:$J$528,'Jul 2026'!$E$29:$E$528,$A28,'Jul 2026'!$I$29:$I$528,"Opening Balance")+SUMIFS('Aug 2026'!$J$29:$J$528,'Aug 2026'!$E$29:$E$528,$A28,'Aug 2026'!$I$29:$I$528,"Opening Balance")+SUMIFS('Sep 2026'!$J$29:$J$528,'Sep 2026'!$E$29:$E$528,$A28,'Sep 2026'!$I$29:$I$528,"Opening Balance")+SUMIFS('Oct 2026'!$J$29:$J$528,'Oct 2026'!$E$29:$E$528,$A28,'Oct 2026'!$I$29:$I$528,"Opening Balance")+SUMIFS('Nov 2026'!$J$29:$J$528,'Nov 2026'!$E$29:$E$528,$A28,'Nov 2026'!$I$29:$I$528,"Opening Balance")+SUMIFS('Dec 2026'!$J$29:$J$528,'Dec 2026'!$E$29:$E$528,$A28,'Dec 2026'!$I$29:$I$528,"Opening Balance")</f>
        <v>0</v>
      </c>
      <c r="E28" s="3">
        <f>C28+D28-B28</f>
        <v>0</v>
      </c>
    </row>
    <row r="29">
      <c r="A29" s="5" t="inlineStr">
        <is>
          <t>Debt Payments</t>
        </is>
      </c>
      <c r="B29" s="3">
        <f>SUMIFS('Jan 2026'!$J$29:$J$528,'Jan 2026'!$E$29:$E$528,$A29,'Jan 2026'!$I$29:$I$528,"Expense")+SUMIFS('Feb 2026'!$J$29:$J$528,'Feb 2026'!$E$29:$E$528,$A29,'Feb 2026'!$I$29:$I$528,"Expense")+SUMIFS('Mar 2026'!$J$29:$J$528,'Mar 2026'!$E$29:$E$528,$A29,'Mar 2026'!$I$29:$I$528,"Expense")+SUMIFS('Apr 2026'!$J$29:$J$528,'Apr 2026'!$E$29:$E$528,$A29,'Apr 2026'!$I$29:$I$528,"Expense")+SUMIFS('May 2026'!$J$29:$J$528,'May 2026'!$E$29:$E$528,$A29,'May 2026'!$I$29:$I$528,"Expense")+SUMIFS('Jun 2026'!$J$29:$J$528,'Jun 2026'!$E$29:$E$528,$A29,'Jun 2026'!$I$29:$I$528,"Expense")+SUMIFS('Jul 2026'!$J$29:$J$528,'Jul 2026'!$E$29:$E$528,$A29,'Jul 2026'!$I$29:$I$528,"Expense")+SUMIFS('Aug 2026'!$J$29:$J$528,'Aug 2026'!$E$29:$E$528,$A29,'Aug 2026'!$I$29:$I$528,"Expense")+SUMIFS('Sep 2026'!$J$29:$J$528,'Sep 2026'!$E$29:$E$528,$A29,'Sep 2026'!$I$29:$I$528,"Expense")+SUMIFS('Oct 2026'!$J$29:$J$528,'Oct 2026'!$E$29:$E$528,$A29,'Oct 2026'!$I$29:$I$528,"Expense")+SUMIFS('Nov 2026'!$J$29:$J$528,'Nov 2026'!$E$29:$E$528,$A29,'Nov 2026'!$I$29:$I$528,"Expense")+SUMIFS('Dec 2026'!$J$29:$J$528,'Dec 2026'!$E$29:$E$528,$A29,'Dec 2026'!$I$29:$I$528,"Expense")</f>
        <v>0</v>
      </c>
      <c r="C29" s="3">
        <f>SUMIFS('Jan 2026'!$J$29:$J$528,'Jan 2026'!$E$29:$E$528,$A29,'Jan 2026'!$I$29:$I$528,"Income")+SUMIFS('Feb 2026'!$J$29:$J$528,'Feb 2026'!$E$29:$E$528,$A29,'Feb 2026'!$I$29:$I$528,"Income")+SUMIFS('Mar 2026'!$J$29:$J$528,'Mar 2026'!$E$29:$E$528,$A29,'Mar 2026'!$I$29:$I$528,"Income")+SUMIFS('Apr 2026'!$J$29:$J$528,'Apr 2026'!$E$29:$E$528,$A29,'Apr 2026'!$I$29:$I$528,"Income")+SUMIFS('May 2026'!$J$29:$J$528,'May 2026'!$E$29:$E$528,$A29,'May 2026'!$I$29:$I$528,"Income")+SUMIFS('Jun 2026'!$J$29:$J$528,'Jun 2026'!$E$29:$E$528,$A29,'Jun 2026'!$I$29:$I$528,"Income")+SUMIFS('Jul 2026'!$J$29:$J$528,'Jul 2026'!$E$29:$E$528,$A29,'Jul 2026'!$I$29:$I$528,"Income")+SUMIFS('Aug 2026'!$J$29:$J$528,'Aug 2026'!$E$29:$E$528,$A29,'Aug 2026'!$I$29:$I$528,"Income")+SUMIFS('Sep 2026'!$J$29:$J$528,'Sep 2026'!$E$29:$E$528,$A29,'Sep 2026'!$I$29:$I$528,"Income")+SUMIFS('Oct 2026'!$J$29:$J$528,'Oct 2026'!$E$29:$E$528,$A29,'Oct 2026'!$I$29:$I$528,"Income")+SUMIFS('Nov 2026'!$J$29:$J$528,'Nov 2026'!$E$29:$E$528,$A29,'Nov 2026'!$I$29:$I$528,"Income")+SUMIFS('Dec 2026'!$J$29:$J$528,'Dec 2026'!$E$29:$E$528,$A29,'Dec 2026'!$I$29:$I$528,"Income")</f>
        <v>0</v>
      </c>
      <c r="D29" s="3">
        <f>SUMIFS('Jan 2026'!$J$29:$J$528,'Jan 2026'!$E$29:$E$528,$A29,'Jan 2026'!$I$29:$I$528,"Opening Balance")+SUMIFS('Feb 2026'!$J$29:$J$528,'Feb 2026'!$E$29:$E$528,$A29,'Feb 2026'!$I$29:$I$528,"Opening Balance")+SUMIFS('Mar 2026'!$J$29:$J$528,'Mar 2026'!$E$29:$E$528,$A29,'Mar 2026'!$I$29:$I$528,"Opening Balance")+SUMIFS('Apr 2026'!$J$29:$J$528,'Apr 2026'!$E$29:$E$528,$A29,'Apr 2026'!$I$29:$I$528,"Opening Balance")+SUMIFS('May 2026'!$J$29:$J$528,'May 2026'!$E$29:$E$528,$A29,'May 2026'!$I$29:$I$528,"Opening Balance")+SUMIFS('Jun 2026'!$J$29:$J$528,'Jun 2026'!$E$29:$E$528,$A29,'Jun 2026'!$I$29:$I$528,"Opening Balance")+SUMIFS('Jul 2026'!$J$29:$J$528,'Jul 2026'!$E$29:$E$528,$A29,'Jul 2026'!$I$29:$I$528,"Opening Balance")+SUMIFS('Aug 2026'!$J$29:$J$528,'Aug 2026'!$E$29:$E$528,$A29,'Aug 2026'!$I$29:$I$528,"Opening Balance")+SUMIFS('Sep 2026'!$J$29:$J$528,'Sep 2026'!$E$29:$E$528,$A29,'Sep 2026'!$I$29:$I$528,"Opening Balance")+SUMIFS('Oct 2026'!$J$29:$J$528,'Oct 2026'!$E$29:$E$528,$A29,'Oct 2026'!$I$29:$I$528,"Opening Balance")+SUMIFS('Nov 2026'!$J$29:$J$528,'Nov 2026'!$E$29:$E$528,$A29,'Nov 2026'!$I$29:$I$528,"Opening Balance")+SUMIFS('Dec 2026'!$J$29:$J$528,'Dec 2026'!$E$29:$E$528,$A29,'Dec 2026'!$I$29:$I$528,"Opening Balance")</f>
        <v>0</v>
      </c>
      <c r="E29" s="3">
        <f>C29+D29-B29</f>
        <v>0</v>
      </c>
    </row>
    <row r="30">
      <c r="A30" s="5" t="inlineStr">
        <is>
          <t>Savings &amp; Investments</t>
        </is>
      </c>
      <c r="B30" s="3">
        <f>SUMIFS('Jan 2026'!$J$29:$J$528,'Jan 2026'!$E$29:$E$528,$A30,'Jan 2026'!$I$29:$I$528,"Expense")+SUMIFS('Feb 2026'!$J$29:$J$528,'Feb 2026'!$E$29:$E$528,$A30,'Feb 2026'!$I$29:$I$528,"Expense")+SUMIFS('Mar 2026'!$J$29:$J$528,'Mar 2026'!$E$29:$E$528,$A30,'Mar 2026'!$I$29:$I$528,"Expense")+SUMIFS('Apr 2026'!$J$29:$J$528,'Apr 2026'!$E$29:$E$528,$A30,'Apr 2026'!$I$29:$I$528,"Expense")+SUMIFS('May 2026'!$J$29:$J$528,'May 2026'!$E$29:$E$528,$A30,'May 2026'!$I$29:$I$528,"Expense")+SUMIFS('Jun 2026'!$J$29:$J$528,'Jun 2026'!$E$29:$E$528,$A30,'Jun 2026'!$I$29:$I$528,"Expense")+SUMIFS('Jul 2026'!$J$29:$J$528,'Jul 2026'!$E$29:$E$528,$A30,'Jul 2026'!$I$29:$I$528,"Expense")+SUMIFS('Aug 2026'!$J$29:$J$528,'Aug 2026'!$E$29:$E$528,$A30,'Aug 2026'!$I$29:$I$528,"Expense")+SUMIFS('Sep 2026'!$J$29:$J$528,'Sep 2026'!$E$29:$E$528,$A30,'Sep 2026'!$I$29:$I$528,"Expense")+SUMIFS('Oct 2026'!$J$29:$J$528,'Oct 2026'!$E$29:$E$528,$A30,'Oct 2026'!$I$29:$I$528,"Expense")+SUMIFS('Nov 2026'!$J$29:$J$528,'Nov 2026'!$E$29:$E$528,$A30,'Nov 2026'!$I$29:$I$528,"Expense")+SUMIFS('Dec 2026'!$J$29:$J$528,'Dec 2026'!$E$29:$E$528,$A30,'Dec 2026'!$I$29:$I$528,"Expense")</f>
        <v>0</v>
      </c>
      <c r="C30" s="3">
        <f>SUMIFS('Jan 2026'!$J$29:$J$528,'Jan 2026'!$E$29:$E$528,$A30,'Jan 2026'!$I$29:$I$528,"Income")+SUMIFS('Feb 2026'!$J$29:$J$528,'Feb 2026'!$E$29:$E$528,$A30,'Feb 2026'!$I$29:$I$528,"Income")+SUMIFS('Mar 2026'!$J$29:$J$528,'Mar 2026'!$E$29:$E$528,$A30,'Mar 2026'!$I$29:$I$528,"Income")+SUMIFS('Apr 2026'!$J$29:$J$528,'Apr 2026'!$E$29:$E$528,$A30,'Apr 2026'!$I$29:$I$528,"Income")+SUMIFS('May 2026'!$J$29:$J$528,'May 2026'!$E$29:$E$528,$A30,'May 2026'!$I$29:$I$528,"Income")+SUMIFS('Jun 2026'!$J$29:$J$528,'Jun 2026'!$E$29:$E$528,$A30,'Jun 2026'!$I$29:$I$528,"Income")+SUMIFS('Jul 2026'!$J$29:$J$528,'Jul 2026'!$E$29:$E$528,$A30,'Jul 2026'!$I$29:$I$528,"Income")+SUMIFS('Aug 2026'!$J$29:$J$528,'Aug 2026'!$E$29:$E$528,$A30,'Aug 2026'!$I$29:$I$528,"Income")+SUMIFS('Sep 2026'!$J$29:$J$528,'Sep 2026'!$E$29:$E$528,$A30,'Sep 2026'!$I$29:$I$528,"Income")+SUMIFS('Oct 2026'!$J$29:$J$528,'Oct 2026'!$E$29:$E$528,$A30,'Oct 2026'!$I$29:$I$528,"Income")+SUMIFS('Nov 2026'!$J$29:$J$528,'Nov 2026'!$E$29:$E$528,$A30,'Nov 2026'!$I$29:$I$528,"Income")+SUMIFS('Dec 2026'!$J$29:$J$528,'Dec 2026'!$E$29:$E$528,$A30,'Dec 2026'!$I$29:$I$528,"Income")</f>
        <v>0</v>
      </c>
      <c r="D30" s="3">
        <f>SUMIFS('Jan 2026'!$J$29:$J$528,'Jan 2026'!$E$29:$E$528,$A30,'Jan 2026'!$I$29:$I$528,"Opening Balance")+SUMIFS('Feb 2026'!$J$29:$J$528,'Feb 2026'!$E$29:$E$528,$A30,'Feb 2026'!$I$29:$I$528,"Opening Balance")+SUMIFS('Mar 2026'!$J$29:$J$528,'Mar 2026'!$E$29:$E$528,$A30,'Mar 2026'!$I$29:$I$528,"Opening Balance")+SUMIFS('Apr 2026'!$J$29:$J$528,'Apr 2026'!$E$29:$E$528,$A30,'Apr 2026'!$I$29:$I$528,"Opening Balance")+SUMIFS('May 2026'!$J$29:$J$528,'May 2026'!$E$29:$E$528,$A30,'May 2026'!$I$29:$I$528,"Opening Balance")+SUMIFS('Jun 2026'!$J$29:$J$528,'Jun 2026'!$E$29:$E$528,$A30,'Jun 2026'!$I$29:$I$528,"Opening Balance")+SUMIFS('Jul 2026'!$J$29:$J$528,'Jul 2026'!$E$29:$E$528,$A30,'Jul 2026'!$I$29:$I$528,"Opening Balance")+SUMIFS('Aug 2026'!$J$29:$J$528,'Aug 2026'!$E$29:$E$528,$A30,'Aug 2026'!$I$29:$I$528,"Opening Balance")+SUMIFS('Sep 2026'!$J$29:$J$528,'Sep 2026'!$E$29:$E$528,$A30,'Sep 2026'!$I$29:$I$528,"Opening Balance")+SUMIFS('Oct 2026'!$J$29:$J$528,'Oct 2026'!$E$29:$E$528,$A30,'Oct 2026'!$I$29:$I$528,"Opening Balance")+SUMIFS('Nov 2026'!$J$29:$J$528,'Nov 2026'!$E$29:$E$528,$A30,'Nov 2026'!$I$29:$I$528,"Opening Balance")+SUMIFS('Dec 2026'!$J$29:$J$528,'Dec 2026'!$E$29:$E$528,$A30,'Dec 2026'!$I$29:$I$528,"Opening Balance")</f>
        <v>0</v>
      </c>
      <c r="E30" s="3">
        <f>C30+D30-B30</f>
        <v>0</v>
      </c>
    </row>
    <row r="31">
      <c r="A31" s="5" t="inlineStr">
        <is>
          <t>Personal Care</t>
        </is>
      </c>
      <c r="B31" s="3">
        <f>SUMIFS('Jan 2026'!$J$29:$J$528,'Jan 2026'!$E$29:$E$528,$A31,'Jan 2026'!$I$29:$I$528,"Expense")+SUMIFS('Feb 2026'!$J$29:$J$528,'Feb 2026'!$E$29:$E$528,$A31,'Feb 2026'!$I$29:$I$528,"Expense")+SUMIFS('Mar 2026'!$J$29:$J$528,'Mar 2026'!$E$29:$E$528,$A31,'Mar 2026'!$I$29:$I$528,"Expense")+SUMIFS('Apr 2026'!$J$29:$J$528,'Apr 2026'!$E$29:$E$528,$A31,'Apr 2026'!$I$29:$I$528,"Expense")+SUMIFS('May 2026'!$J$29:$J$528,'May 2026'!$E$29:$E$528,$A31,'May 2026'!$I$29:$I$528,"Expense")+SUMIFS('Jun 2026'!$J$29:$J$528,'Jun 2026'!$E$29:$E$528,$A31,'Jun 2026'!$I$29:$I$528,"Expense")+SUMIFS('Jul 2026'!$J$29:$J$528,'Jul 2026'!$E$29:$E$528,$A31,'Jul 2026'!$I$29:$I$528,"Expense")+SUMIFS('Aug 2026'!$J$29:$J$528,'Aug 2026'!$E$29:$E$528,$A31,'Aug 2026'!$I$29:$I$528,"Expense")+SUMIFS('Sep 2026'!$J$29:$J$528,'Sep 2026'!$E$29:$E$528,$A31,'Sep 2026'!$I$29:$I$528,"Expense")+SUMIFS('Oct 2026'!$J$29:$J$528,'Oct 2026'!$E$29:$E$528,$A31,'Oct 2026'!$I$29:$I$528,"Expense")+SUMIFS('Nov 2026'!$J$29:$J$528,'Nov 2026'!$E$29:$E$528,$A31,'Nov 2026'!$I$29:$I$528,"Expense")+SUMIFS('Dec 2026'!$J$29:$J$528,'Dec 2026'!$E$29:$E$528,$A31,'Dec 2026'!$I$29:$I$528,"Expense")</f>
        <v>0</v>
      </c>
      <c r="C31" s="3">
        <f>SUMIFS('Jan 2026'!$J$29:$J$528,'Jan 2026'!$E$29:$E$528,$A31,'Jan 2026'!$I$29:$I$528,"Income")+SUMIFS('Feb 2026'!$J$29:$J$528,'Feb 2026'!$E$29:$E$528,$A31,'Feb 2026'!$I$29:$I$528,"Income")+SUMIFS('Mar 2026'!$J$29:$J$528,'Mar 2026'!$E$29:$E$528,$A31,'Mar 2026'!$I$29:$I$528,"Income")+SUMIFS('Apr 2026'!$J$29:$J$528,'Apr 2026'!$E$29:$E$528,$A31,'Apr 2026'!$I$29:$I$528,"Income")+SUMIFS('May 2026'!$J$29:$J$528,'May 2026'!$E$29:$E$528,$A31,'May 2026'!$I$29:$I$528,"Income")+SUMIFS('Jun 2026'!$J$29:$J$528,'Jun 2026'!$E$29:$E$528,$A31,'Jun 2026'!$I$29:$I$528,"Income")+SUMIFS('Jul 2026'!$J$29:$J$528,'Jul 2026'!$E$29:$E$528,$A31,'Jul 2026'!$I$29:$I$528,"Income")+SUMIFS('Aug 2026'!$J$29:$J$528,'Aug 2026'!$E$29:$E$528,$A31,'Aug 2026'!$I$29:$I$528,"Income")+SUMIFS('Sep 2026'!$J$29:$J$528,'Sep 2026'!$E$29:$E$528,$A31,'Sep 2026'!$I$29:$I$528,"Income")+SUMIFS('Oct 2026'!$J$29:$J$528,'Oct 2026'!$E$29:$E$528,$A31,'Oct 2026'!$I$29:$I$528,"Income")+SUMIFS('Nov 2026'!$J$29:$J$528,'Nov 2026'!$E$29:$E$528,$A31,'Nov 2026'!$I$29:$I$528,"Income")+SUMIFS('Dec 2026'!$J$29:$J$528,'Dec 2026'!$E$29:$E$528,$A31,'Dec 2026'!$I$29:$I$528,"Income")</f>
        <v>0</v>
      </c>
      <c r="D31" s="3">
        <f>SUMIFS('Jan 2026'!$J$29:$J$528,'Jan 2026'!$E$29:$E$528,$A31,'Jan 2026'!$I$29:$I$528,"Opening Balance")+SUMIFS('Feb 2026'!$J$29:$J$528,'Feb 2026'!$E$29:$E$528,$A31,'Feb 2026'!$I$29:$I$528,"Opening Balance")+SUMIFS('Mar 2026'!$J$29:$J$528,'Mar 2026'!$E$29:$E$528,$A31,'Mar 2026'!$I$29:$I$528,"Opening Balance")+SUMIFS('Apr 2026'!$J$29:$J$528,'Apr 2026'!$E$29:$E$528,$A31,'Apr 2026'!$I$29:$I$528,"Opening Balance")+SUMIFS('May 2026'!$J$29:$J$528,'May 2026'!$E$29:$E$528,$A31,'May 2026'!$I$29:$I$528,"Opening Balance")+SUMIFS('Jun 2026'!$J$29:$J$528,'Jun 2026'!$E$29:$E$528,$A31,'Jun 2026'!$I$29:$I$528,"Opening Balance")+SUMIFS('Jul 2026'!$J$29:$J$528,'Jul 2026'!$E$29:$E$528,$A31,'Jul 2026'!$I$29:$I$528,"Opening Balance")+SUMIFS('Aug 2026'!$J$29:$J$528,'Aug 2026'!$E$29:$E$528,$A31,'Aug 2026'!$I$29:$I$528,"Opening Balance")+SUMIFS('Sep 2026'!$J$29:$J$528,'Sep 2026'!$E$29:$E$528,$A31,'Sep 2026'!$I$29:$I$528,"Opening Balance")+SUMIFS('Oct 2026'!$J$29:$J$528,'Oct 2026'!$E$29:$E$528,$A31,'Oct 2026'!$I$29:$I$528,"Opening Balance")+SUMIFS('Nov 2026'!$J$29:$J$528,'Nov 2026'!$E$29:$E$528,$A31,'Nov 2026'!$I$29:$I$528,"Opening Balance")+SUMIFS('Dec 2026'!$J$29:$J$528,'Dec 2026'!$E$29:$E$528,$A31,'Dec 2026'!$I$29:$I$528,"Opening Balance")</f>
        <v>0</v>
      </c>
      <c r="E31" s="3">
        <f>C31+D31-B31</f>
        <v>0</v>
      </c>
    </row>
    <row r="32">
      <c r="A32" s="5" t="inlineStr">
        <is>
          <t>Shopping</t>
        </is>
      </c>
      <c r="B32" s="3">
        <f>SUMIFS('Jan 2026'!$J$29:$J$528,'Jan 2026'!$E$29:$E$528,$A32,'Jan 2026'!$I$29:$I$528,"Expense")+SUMIFS('Feb 2026'!$J$29:$J$528,'Feb 2026'!$E$29:$E$528,$A32,'Feb 2026'!$I$29:$I$528,"Expense")+SUMIFS('Mar 2026'!$J$29:$J$528,'Mar 2026'!$E$29:$E$528,$A32,'Mar 2026'!$I$29:$I$528,"Expense")+SUMIFS('Apr 2026'!$J$29:$J$528,'Apr 2026'!$E$29:$E$528,$A32,'Apr 2026'!$I$29:$I$528,"Expense")+SUMIFS('May 2026'!$J$29:$J$528,'May 2026'!$E$29:$E$528,$A32,'May 2026'!$I$29:$I$528,"Expense")+SUMIFS('Jun 2026'!$J$29:$J$528,'Jun 2026'!$E$29:$E$528,$A32,'Jun 2026'!$I$29:$I$528,"Expense")+SUMIFS('Jul 2026'!$J$29:$J$528,'Jul 2026'!$E$29:$E$528,$A32,'Jul 2026'!$I$29:$I$528,"Expense")+SUMIFS('Aug 2026'!$J$29:$J$528,'Aug 2026'!$E$29:$E$528,$A32,'Aug 2026'!$I$29:$I$528,"Expense")+SUMIFS('Sep 2026'!$J$29:$J$528,'Sep 2026'!$E$29:$E$528,$A32,'Sep 2026'!$I$29:$I$528,"Expense")+SUMIFS('Oct 2026'!$J$29:$J$528,'Oct 2026'!$E$29:$E$528,$A32,'Oct 2026'!$I$29:$I$528,"Expense")+SUMIFS('Nov 2026'!$J$29:$J$528,'Nov 2026'!$E$29:$E$528,$A32,'Nov 2026'!$I$29:$I$528,"Expense")+SUMIFS('Dec 2026'!$J$29:$J$528,'Dec 2026'!$E$29:$E$528,$A32,'Dec 2026'!$I$29:$I$528,"Expense")</f>
        <v>521.78</v>
      </c>
      <c r="C32" s="3">
        <f>SUMIFS('Jan 2026'!$J$29:$J$528,'Jan 2026'!$E$29:$E$528,$A32,'Jan 2026'!$I$29:$I$528,"Income")+SUMIFS('Feb 2026'!$J$29:$J$528,'Feb 2026'!$E$29:$E$528,$A32,'Feb 2026'!$I$29:$I$528,"Income")+SUMIFS('Mar 2026'!$J$29:$J$528,'Mar 2026'!$E$29:$E$528,$A32,'Mar 2026'!$I$29:$I$528,"Income")+SUMIFS('Apr 2026'!$J$29:$J$528,'Apr 2026'!$E$29:$E$528,$A32,'Apr 2026'!$I$29:$I$528,"Income")+SUMIFS('May 2026'!$J$29:$J$528,'May 2026'!$E$29:$E$528,$A32,'May 2026'!$I$29:$I$528,"Income")+SUMIFS('Jun 2026'!$J$29:$J$528,'Jun 2026'!$E$29:$E$528,$A32,'Jun 2026'!$I$29:$I$528,"Income")+SUMIFS('Jul 2026'!$J$29:$J$528,'Jul 2026'!$E$29:$E$528,$A32,'Jul 2026'!$I$29:$I$528,"Income")+SUMIFS('Aug 2026'!$J$29:$J$528,'Aug 2026'!$E$29:$E$528,$A32,'Aug 2026'!$I$29:$I$528,"Income")+SUMIFS('Sep 2026'!$J$29:$J$528,'Sep 2026'!$E$29:$E$528,$A32,'Sep 2026'!$I$29:$I$528,"Income")+SUMIFS('Oct 2026'!$J$29:$J$528,'Oct 2026'!$E$29:$E$528,$A32,'Oct 2026'!$I$29:$I$528,"Income")+SUMIFS('Nov 2026'!$J$29:$J$528,'Nov 2026'!$E$29:$E$528,$A32,'Nov 2026'!$I$29:$I$528,"Income")+SUMIFS('Dec 2026'!$J$29:$J$528,'Dec 2026'!$E$29:$E$528,$A32,'Dec 2026'!$I$29:$I$528,"Income")</f>
        <v>0</v>
      </c>
      <c r="D32" s="3">
        <f>SUMIFS('Jan 2026'!$J$29:$J$528,'Jan 2026'!$E$29:$E$528,$A32,'Jan 2026'!$I$29:$I$528,"Opening Balance")+SUMIFS('Feb 2026'!$J$29:$J$528,'Feb 2026'!$E$29:$E$528,$A32,'Feb 2026'!$I$29:$I$528,"Opening Balance")+SUMIFS('Mar 2026'!$J$29:$J$528,'Mar 2026'!$E$29:$E$528,$A32,'Mar 2026'!$I$29:$I$528,"Opening Balance")+SUMIFS('Apr 2026'!$J$29:$J$528,'Apr 2026'!$E$29:$E$528,$A32,'Apr 2026'!$I$29:$I$528,"Opening Balance")+SUMIFS('May 2026'!$J$29:$J$528,'May 2026'!$E$29:$E$528,$A32,'May 2026'!$I$29:$I$528,"Opening Balance")+SUMIFS('Jun 2026'!$J$29:$J$528,'Jun 2026'!$E$29:$E$528,$A32,'Jun 2026'!$I$29:$I$528,"Opening Balance")+SUMIFS('Jul 2026'!$J$29:$J$528,'Jul 2026'!$E$29:$E$528,$A32,'Jul 2026'!$I$29:$I$528,"Opening Balance")+SUMIFS('Aug 2026'!$J$29:$J$528,'Aug 2026'!$E$29:$E$528,$A32,'Aug 2026'!$I$29:$I$528,"Opening Balance")+SUMIFS('Sep 2026'!$J$29:$J$528,'Sep 2026'!$E$29:$E$528,$A32,'Sep 2026'!$I$29:$I$528,"Opening Balance")+SUMIFS('Oct 2026'!$J$29:$J$528,'Oct 2026'!$E$29:$E$528,$A32,'Oct 2026'!$I$29:$I$528,"Opening Balance")+SUMIFS('Nov 2026'!$J$29:$J$528,'Nov 2026'!$E$29:$E$528,$A32,'Nov 2026'!$I$29:$I$528,"Opening Balance")+SUMIFS('Dec 2026'!$J$29:$J$528,'Dec 2026'!$E$29:$E$528,$A32,'Dec 2026'!$I$29:$I$528,"Opening Balance")</f>
        <v>0</v>
      </c>
      <c r="E32" s="3">
        <f>C32+D32-B32</f>
        <v>-521.78</v>
      </c>
    </row>
    <row r="33">
      <c r="A33" s="5" t="inlineStr">
        <is>
          <t>Entertainment</t>
        </is>
      </c>
      <c r="B33" s="3">
        <f>SUMIFS('Jan 2026'!$J$29:$J$528,'Jan 2026'!$E$29:$E$528,$A33,'Jan 2026'!$I$29:$I$528,"Expense")+SUMIFS('Feb 2026'!$J$29:$J$528,'Feb 2026'!$E$29:$E$528,$A33,'Feb 2026'!$I$29:$I$528,"Expense")+SUMIFS('Mar 2026'!$J$29:$J$528,'Mar 2026'!$E$29:$E$528,$A33,'Mar 2026'!$I$29:$I$528,"Expense")+SUMIFS('Apr 2026'!$J$29:$J$528,'Apr 2026'!$E$29:$E$528,$A33,'Apr 2026'!$I$29:$I$528,"Expense")+SUMIFS('May 2026'!$J$29:$J$528,'May 2026'!$E$29:$E$528,$A33,'May 2026'!$I$29:$I$528,"Expense")+SUMIFS('Jun 2026'!$J$29:$J$528,'Jun 2026'!$E$29:$E$528,$A33,'Jun 2026'!$I$29:$I$528,"Expense")+SUMIFS('Jul 2026'!$J$29:$J$528,'Jul 2026'!$E$29:$E$528,$A33,'Jul 2026'!$I$29:$I$528,"Expense")+SUMIFS('Aug 2026'!$J$29:$J$528,'Aug 2026'!$E$29:$E$528,$A33,'Aug 2026'!$I$29:$I$528,"Expense")+SUMIFS('Sep 2026'!$J$29:$J$528,'Sep 2026'!$E$29:$E$528,$A33,'Sep 2026'!$I$29:$I$528,"Expense")+SUMIFS('Oct 2026'!$J$29:$J$528,'Oct 2026'!$E$29:$E$528,$A33,'Oct 2026'!$I$29:$I$528,"Expense")+SUMIFS('Nov 2026'!$J$29:$J$528,'Nov 2026'!$E$29:$E$528,$A33,'Nov 2026'!$I$29:$I$528,"Expense")+SUMIFS('Dec 2026'!$J$29:$J$528,'Dec 2026'!$E$29:$E$528,$A33,'Dec 2026'!$I$29:$I$528,"Expense")</f>
        <v>543.59</v>
      </c>
      <c r="C33" s="3">
        <f>SUMIFS('Jan 2026'!$J$29:$J$528,'Jan 2026'!$E$29:$E$528,$A33,'Jan 2026'!$I$29:$I$528,"Income")+SUMIFS('Feb 2026'!$J$29:$J$528,'Feb 2026'!$E$29:$E$528,$A33,'Feb 2026'!$I$29:$I$528,"Income")+SUMIFS('Mar 2026'!$J$29:$J$528,'Mar 2026'!$E$29:$E$528,$A33,'Mar 2026'!$I$29:$I$528,"Income")+SUMIFS('Apr 2026'!$J$29:$J$528,'Apr 2026'!$E$29:$E$528,$A33,'Apr 2026'!$I$29:$I$528,"Income")+SUMIFS('May 2026'!$J$29:$J$528,'May 2026'!$E$29:$E$528,$A33,'May 2026'!$I$29:$I$528,"Income")+SUMIFS('Jun 2026'!$J$29:$J$528,'Jun 2026'!$E$29:$E$528,$A33,'Jun 2026'!$I$29:$I$528,"Income")+SUMIFS('Jul 2026'!$J$29:$J$528,'Jul 2026'!$E$29:$E$528,$A33,'Jul 2026'!$I$29:$I$528,"Income")+SUMIFS('Aug 2026'!$J$29:$J$528,'Aug 2026'!$E$29:$E$528,$A33,'Aug 2026'!$I$29:$I$528,"Income")+SUMIFS('Sep 2026'!$J$29:$J$528,'Sep 2026'!$E$29:$E$528,$A33,'Sep 2026'!$I$29:$I$528,"Income")+SUMIFS('Oct 2026'!$J$29:$J$528,'Oct 2026'!$E$29:$E$528,$A33,'Oct 2026'!$I$29:$I$528,"Income")+SUMIFS('Nov 2026'!$J$29:$J$528,'Nov 2026'!$E$29:$E$528,$A33,'Nov 2026'!$I$29:$I$528,"Income")+SUMIFS('Dec 2026'!$J$29:$J$528,'Dec 2026'!$E$29:$E$528,$A33,'Dec 2026'!$I$29:$I$528,"Income")</f>
        <v>0</v>
      </c>
      <c r="D33" s="3">
        <f>SUMIFS('Jan 2026'!$J$29:$J$528,'Jan 2026'!$E$29:$E$528,$A33,'Jan 2026'!$I$29:$I$528,"Opening Balance")+SUMIFS('Feb 2026'!$J$29:$J$528,'Feb 2026'!$E$29:$E$528,$A33,'Feb 2026'!$I$29:$I$528,"Opening Balance")+SUMIFS('Mar 2026'!$J$29:$J$528,'Mar 2026'!$E$29:$E$528,$A33,'Mar 2026'!$I$29:$I$528,"Opening Balance")+SUMIFS('Apr 2026'!$J$29:$J$528,'Apr 2026'!$E$29:$E$528,$A33,'Apr 2026'!$I$29:$I$528,"Opening Balance")+SUMIFS('May 2026'!$J$29:$J$528,'May 2026'!$E$29:$E$528,$A33,'May 2026'!$I$29:$I$528,"Opening Balance")+SUMIFS('Jun 2026'!$J$29:$J$528,'Jun 2026'!$E$29:$E$528,$A33,'Jun 2026'!$I$29:$I$528,"Opening Balance")+SUMIFS('Jul 2026'!$J$29:$J$528,'Jul 2026'!$E$29:$E$528,$A33,'Jul 2026'!$I$29:$I$528,"Opening Balance")+SUMIFS('Aug 2026'!$J$29:$J$528,'Aug 2026'!$E$29:$E$528,$A33,'Aug 2026'!$I$29:$I$528,"Opening Balance")+SUMIFS('Sep 2026'!$J$29:$J$528,'Sep 2026'!$E$29:$E$528,$A33,'Sep 2026'!$I$29:$I$528,"Opening Balance")+SUMIFS('Oct 2026'!$J$29:$J$528,'Oct 2026'!$E$29:$E$528,$A33,'Oct 2026'!$I$29:$I$528,"Opening Balance")+SUMIFS('Nov 2026'!$J$29:$J$528,'Nov 2026'!$E$29:$E$528,$A33,'Nov 2026'!$I$29:$I$528,"Opening Balance")+SUMIFS('Dec 2026'!$J$29:$J$528,'Dec 2026'!$E$29:$E$528,$A33,'Dec 2026'!$I$29:$I$528,"Opening Balance")</f>
        <v>0</v>
      </c>
      <c r="E33" s="3">
        <f>C33+D33-B33</f>
        <v>-543.59</v>
      </c>
    </row>
    <row r="34">
      <c r="A34" s="5" t="inlineStr">
        <is>
          <t>Travel</t>
        </is>
      </c>
      <c r="B34" s="3">
        <f>SUMIFS('Jan 2026'!$J$29:$J$528,'Jan 2026'!$E$29:$E$528,$A34,'Jan 2026'!$I$29:$I$528,"Expense")+SUMIFS('Feb 2026'!$J$29:$J$528,'Feb 2026'!$E$29:$E$528,$A34,'Feb 2026'!$I$29:$I$528,"Expense")+SUMIFS('Mar 2026'!$J$29:$J$528,'Mar 2026'!$E$29:$E$528,$A34,'Mar 2026'!$I$29:$I$528,"Expense")+SUMIFS('Apr 2026'!$J$29:$J$528,'Apr 2026'!$E$29:$E$528,$A34,'Apr 2026'!$I$29:$I$528,"Expense")+SUMIFS('May 2026'!$J$29:$J$528,'May 2026'!$E$29:$E$528,$A34,'May 2026'!$I$29:$I$528,"Expense")+SUMIFS('Jun 2026'!$J$29:$J$528,'Jun 2026'!$E$29:$E$528,$A34,'Jun 2026'!$I$29:$I$528,"Expense")+SUMIFS('Jul 2026'!$J$29:$J$528,'Jul 2026'!$E$29:$E$528,$A34,'Jul 2026'!$I$29:$I$528,"Expense")+SUMIFS('Aug 2026'!$J$29:$J$528,'Aug 2026'!$E$29:$E$528,$A34,'Aug 2026'!$I$29:$I$528,"Expense")+SUMIFS('Sep 2026'!$J$29:$J$528,'Sep 2026'!$E$29:$E$528,$A34,'Sep 2026'!$I$29:$I$528,"Expense")+SUMIFS('Oct 2026'!$J$29:$J$528,'Oct 2026'!$E$29:$E$528,$A34,'Oct 2026'!$I$29:$I$528,"Expense")+SUMIFS('Nov 2026'!$J$29:$J$528,'Nov 2026'!$E$29:$E$528,$A34,'Nov 2026'!$I$29:$I$528,"Expense")+SUMIFS('Dec 2026'!$J$29:$J$528,'Dec 2026'!$E$29:$E$528,$A34,'Dec 2026'!$I$29:$I$528,"Expense")</f>
        <v>0</v>
      </c>
      <c r="C34" s="3">
        <f>SUMIFS('Jan 2026'!$J$29:$J$528,'Jan 2026'!$E$29:$E$528,$A34,'Jan 2026'!$I$29:$I$528,"Income")+SUMIFS('Feb 2026'!$J$29:$J$528,'Feb 2026'!$E$29:$E$528,$A34,'Feb 2026'!$I$29:$I$528,"Income")+SUMIFS('Mar 2026'!$J$29:$J$528,'Mar 2026'!$E$29:$E$528,$A34,'Mar 2026'!$I$29:$I$528,"Income")+SUMIFS('Apr 2026'!$J$29:$J$528,'Apr 2026'!$E$29:$E$528,$A34,'Apr 2026'!$I$29:$I$528,"Income")+SUMIFS('May 2026'!$J$29:$J$528,'May 2026'!$E$29:$E$528,$A34,'May 2026'!$I$29:$I$528,"Income")+SUMIFS('Jun 2026'!$J$29:$J$528,'Jun 2026'!$E$29:$E$528,$A34,'Jun 2026'!$I$29:$I$528,"Income")+SUMIFS('Jul 2026'!$J$29:$J$528,'Jul 2026'!$E$29:$E$528,$A34,'Jul 2026'!$I$29:$I$528,"Income")+SUMIFS('Aug 2026'!$J$29:$J$528,'Aug 2026'!$E$29:$E$528,$A34,'Aug 2026'!$I$29:$I$528,"Income")+SUMIFS('Sep 2026'!$J$29:$J$528,'Sep 2026'!$E$29:$E$528,$A34,'Sep 2026'!$I$29:$I$528,"Income")+SUMIFS('Oct 2026'!$J$29:$J$528,'Oct 2026'!$E$29:$E$528,$A34,'Oct 2026'!$I$29:$I$528,"Income")+SUMIFS('Nov 2026'!$J$29:$J$528,'Nov 2026'!$E$29:$E$528,$A34,'Nov 2026'!$I$29:$I$528,"Income")+SUMIFS('Dec 2026'!$J$29:$J$528,'Dec 2026'!$E$29:$E$528,$A34,'Dec 2026'!$I$29:$I$528,"Income")</f>
        <v>0</v>
      </c>
      <c r="D34" s="3">
        <f>SUMIFS('Jan 2026'!$J$29:$J$528,'Jan 2026'!$E$29:$E$528,$A34,'Jan 2026'!$I$29:$I$528,"Opening Balance")+SUMIFS('Feb 2026'!$J$29:$J$528,'Feb 2026'!$E$29:$E$528,$A34,'Feb 2026'!$I$29:$I$528,"Opening Balance")+SUMIFS('Mar 2026'!$J$29:$J$528,'Mar 2026'!$E$29:$E$528,$A34,'Mar 2026'!$I$29:$I$528,"Opening Balance")+SUMIFS('Apr 2026'!$J$29:$J$528,'Apr 2026'!$E$29:$E$528,$A34,'Apr 2026'!$I$29:$I$528,"Opening Balance")+SUMIFS('May 2026'!$J$29:$J$528,'May 2026'!$E$29:$E$528,$A34,'May 2026'!$I$29:$I$528,"Opening Balance")+SUMIFS('Jun 2026'!$J$29:$J$528,'Jun 2026'!$E$29:$E$528,$A34,'Jun 2026'!$I$29:$I$528,"Opening Balance")+SUMIFS('Jul 2026'!$J$29:$J$528,'Jul 2026'!$E$29:$E$528,$A34,'Jul 2026'!$I$29:$I$528,"Opening Balance")+SUMIFS('Aug 2026'!$J$29:$J$528,'Aug 2026'!$E$29:$E$528,$A34,'Aug 2026'!$I$29:$I$528,"Opening Balance")+SUMIFS('Sep 2026'!$J$29:$J$528,'Sep 2026'!$E$29:$E$528,$A34,'Sep 2026'!$I$29:$I$528,"Opening Balance")+SUMIFS('Oct 2026'!$J$29:$J$528,'Oct 2026'!$E$29:$E$528,$A34,'Oct 2026'!$I$29:$I$528,"Opening Balance")+SUMIFS('Nov 2026'!$J$29:$J$528,'Nov 2026'!$E$29:$E$528,$A34,'Nov 2026'!$I$29:$I$528,"Opening Balance")+SUMIFS('Dec 2026'!$J$29:$J$528,'Dec 2026'!$E$29:$E$528,$A34,'Dec 2026'!$I$29:$I$528,"Opening Balance")</f>
        <v>0</v>
      </c>
      <c r="E34" s="3">
        <f>C34+D34-B34</f>
        <v>0</v>
      </c>
    </row>
    <row r="35">
      <c r="A35" s="5" t="inlineStr">
        <is>
          <t>Education</t>
        </is>
      </c>
      <c r="B35" s="3">
        <f>SUMIFS('Jan 2026'!$J$29:$J$528,'Jan 2026'!$E$29:$E$528,$A35,'Jan 2026'!$I$29:$I$528,"Expense")+SUMIFS('Feb 2026'!$J$29:$J$528,'Feb 2026'!$E$29:$E$528,$A35,'Feb 2026'!$I$29:$I$528,"Expense")+SUMIFS('Mar 2026'!$J$29:$J$528,'Mar 2026'!$E$29:$E$528,$A35,'Mar 2026'!$I$29:$I$528,"Expense")+SUMIFS('Apr 2026'!$J$29:$J$528,'Apr 2026'!$E$29:$E$528,$A35,'Apr 2026'!$I$29:$I$528,"Expense")+SUMIFS('May 2026'!$J$29:$J$528,'May 2026'!$E$29:$E$528,$A35,'May 2026'!$I$29:$I$528,"Expense")+SUMIFS('Jun 2026'!$J$29:$J$528,'Jun 2026'!$E$29:$E$528,$A35,'Jun 2026'!$I$29:$I$528,"Expense")+SUMIFS('Jul 2026'!$J$29:$J$528,'Jul 2026'!$E$29:$E$528,$A35,'Jul 2026'!$I$29:$I$528,"Expense")+SUMIFS('Aug 2026'!$J$29:$J$528,'Aug 2026'!$E$29:$E$528,$A35,'Aug 2026'!$I$29:$I$528,"Expense")+SUMIFS('Sep 2026'!$J$29:$J$528,'Sep 2026'!$E$29:$E$528,$A35,'Sep 2026'!$I$29:$I$528,"Expense")+SUMIFS('Oct 2026'!$J$29:$J$528,'Oct 2026'!$E$29:$E$528,$A35,'Oct 2026'!$I$29:$I$528,"Expense")+SUMIFS('Nov 2026'!$J$29:$J$528,'Nov 2026'!$E$29:$E$528,$A35,'Nov 2026'!$I$29:$I$528,"Expense")+SUMIFS('Dec 2026'!$J$29:$J$528,'Dec 2026'!$E$29:$E$528,$A35,'Dec 2026'!$I$29:$I$528,"Expense")</f>
        <v>218.79</v>
      </c>
      <c r="C35" s="3">
        <f>SUMIFS('Jan 2026'!$J$29:$J$528,'Jan 2026'!$E$29:$E$528,$A35,'Jan 2026'!$I$29:$I$528,"Income")+SUMIFS('Feb 2026'!$J$29:$J$528,'Feb 2026'!$E$29:$E$528,$A35,'Feb 2026'!$I$29:$I$528,"Income")+SUMIFS('Mar 2026'!$J$29:$J$528,'Mar 2026'!$E$29:$E$528,$A35,'Mar 2026'!$I$29:$I$528,"Income")+SUMIFS('Apr 2026'!$J$29:$J$528,'Apr 2026'!$E$29:$E$528,$A35,'Apr 2026'!$I$29:$I$528,"Income")+SUMIFS('May 2026'!$J$29:$J$528,'May 2026'!$E$29:$E$528,$A35,'May 2026'!$I$29:$I$528,"Income")+SUMIFS('Jun 2026'!$J$29:$J$528,'Jun 2026'!$E$29:$E$528,$A35,'Jun 2026'!$I$29:$I$528,"Income")+SUMIFS('Jul 2026'!$J$29:$J$528,'Jul 2026'!$E$29:$E$528,$A35,'Jul 2026'!$I$29:$I$528,"Income")+SUMIFS('Aug 2026'!$J$29:$J$528,'Aug 2026'!$E$29:$E$528,$A35,'Aug 2026'!$I$29:$I$528,"Income")+SUMIFS('Sep 2026'!$J$29:$J$528,'Sep 2026'!$E$29:$E$528,$A35,'Sep 2026'!$I$29:$I$528,"Income")+SUMIFS('Oct 2026'!$J$29:$J$528,'Oct 2026'!$E$29:$E$528,$A35,'Oct 2026'!$I$29:$I$528,"Income")+SUMIFS('Nov 2026'!$J$29:$J$528,'Nov 2026'!$E$29:$E$528,$A35,'Nov 2026'!$I$29:$I$528,"Income")+SUMIFS('Dec 2026'!$J$29:$J$528,'Dec 2026'!$E$29:$E$528,$A35,'Dec 2026'!$I$29:$I$528,"Income")</f>
        <v>0</v>
      </c>
      <c r="D35" s="3">
        <f>SUMIFS('Jan 2026'!$J$29:$J$528,'Jan 2026'!$E$29:$E$528,$A35,'Jan 2026'!$I$29:$I$528,"Opening Balance")+SUMIFS('Feb 2026'!$J$29:$J$528,'Feb 2026'!$E$29:$E$528,$A35,'Feb 2026'!$I$29:$I$528,"Opening Balance")+SUMIFS('Mar 2026'!$J$29:$J$528,'Mar 2026'!$E$29:$E$528,$A35,'Mar 2026'!$I$29:$I$528,"Opening Balance")+SUMIFS('Apr 2026'!$J$29:$J$528,'Apr 2026'!$E$29:$E$528,$A35,'Apr 2026'!$I$29:$I$528,"Opening Balance")+SUMIFS('May 2026'!$J$29:$J$528,'May 2026'!$E$29:$E$528,$A35,'May 2026'!$I$29:$I$528,"Opening Balance")+SUMIFS('Jun 2026'!$J$29:$J$528,'Jun 2026'!$E$29:$E$528,$A35,'Jun 2026'!$I$29:$I$528,"Opening Balance")+SUMIFS('Jul 2026'!$J$29:$J$528,'Jul 2026'!$E$29:$E$528,$A35,'Jul 2026'!$I$29:$I$528,"Opening Balance")+SUMIFS('Aug 2026'!$J$29:$J$528,'Aug 2026'!$E$29:$E$528,$A35,'Aug 2026'!$I$29:$I$528,"Opening Balance")+SUMIFS('Sep 2026'!$J$29:$J$528,'Sep 2026'!$E$29:$E$528,$A35,'Sep 2026'!$I$29:$I$528,"Opening Balance")+SUMIFS('Oct 2026'!$J$29:$J$528,'Oct 2026'!$E$29:$E$528,$A35,'Oct 2026'!$I$29:$I$528,"Opening Balance")+SUMIFS('Nov 2026'!$J$29:$J$528,'Nov 2026'!$E$29:$E$528,$A35,'Nov 2026'!$I$29:$I$528,"Opening Balance")+SUMIFS('Dec 2026'!$J$29:$J$528,'Dec 2026'!$E$29:$E$528,$A35,'Dec 2026'!$I$29:$I$528,"Opening Balance")</f>
        <v>0</v>
      </c>
      <c r="E35" s="3">
        <f>C35+D35-B35</f>
        <v>-218.79</v>
      </c>
    </row>
    <row r="36">
      <c r="A36" s="5" t="inlineStr">
        <is>
          <t>Gifts &amp; Donations</t>
        </is>
      </c>
      <c r="B36" s="3">
        <f>SUMIFS('Jan 2026'!$J$29:$J$528,'Jan 2026'!$E$29:$E$528,$A36,'Jan 2026'!$I$29:$I$528,"Expense")+SUMIFS('Feb 2026'!$J$29:$J$528,'Feb 2026'!$E$29:$E$528,$A36,'Feb 2026'!$I$29:$I$528,"Expense")+SUMIFS('Mar 2026'!$J$29:$J$528,'Mar 2026'!$E$29:$E$528,$A36,'Mar 2026'!$I$29:$I$528,"Expense")+SUMIFS('Apr 2026'!$J$29:$J$528,'Apr 2026'!$E$29:$E$528,$A36,'Apr 2026'!$I$29:$I$528,"Expense")+SUMIFS('May 2026'!$J$29:$J$528,'May 2026'!$E$29:$E$528,$A36,'May 2026'!$I$29:$I$528,"Expense")+SUMIFS('Jun 2026'!$J$29:$J$528,'Jun 2026'!$E$29:$E$528,$A36,'Jun 2026'!$I$29:$I$528,"Expense")+SUMIFS('Jul 2026'!$J$29:$J$528,'Jul 2026'!$E$29:$E$528,$A36,'Jul 2026'!$I$29:$I$528,"Expense")+SUMIFS('Aug 2026'!$J$29:$J$528,'Aug 2026'!$E$29:$E$528,$A36,'Aug 2026'!$I$29:$I$528,"Expense")+SUMIFS('Sep 2026'!$J$29:$J$528,'Sep 2026'!$E$29:$E$528,$A36,'Sep 2026'!$I$29:$I$528,"Expense")+SUMIFS('Oct 2026'!$J$29:$J$528,'Oct 2026'!$E$29:$E$528,$A36,'Oct 2026'!$I$29:$I$528,"Expense")+SUMIFS('Nov 2026'!$J$29:$J$528,'Nov 2026'!$E$29:$E$528,$A36,'Nov 2026'!$I$29:$I$528,"Expense")+SUMIFS('Dec 2026'!$J$29:$J$528,'Dec 2026'!$E$29:$E$528,$A36,'Dec 2026'!$I$29:$I$528,"Expense")</f>
        <v>0</v>
      </c>
      <c r="C36" s="3">
        <f>SUMIFS('Jan 2026'!$J$29:$J$528,'Jan 2026'!$E$29:$E$528,$A36,'Jan 2026'!$I$29:$I$528,"Income")+SUMIFS('Feb 2026'!$J$29:$J$528,'Feb 2026'!$E$29:$E$528,$A36,'Feb 2026'!$I$29:$I$528,"Income")+SUMIFS('Mar 2026'!$J$29:$J$528,'Mar 2026'!$E$29:$E$528,$A36,'Mar 2026'!$I$29:$I$528,"Income")+SUMIFS('Apr 2026'!$J$29:$J$528,'Apr 2026'!$E$29:$E$528,$A36,'Apr 2026'!$I$29:$I$528,"Income")+SUMIFS('May 2026'!$J$29:$J$528,'May 2026'!$E$29:$E$528,$A36,'May 2026'!$I$29:$I$528,"Income")+SUMIFS('Jun 2026'!$J$29:$J$528,'Jun 2026'!$E$29:$E$528,$A36,'Jun 2026'!$I$29:$I$528,"Income")+SUMIFS('Jul 2026'!$J$29:$J$528,'Jul 2026'!$E$29:$E$528,$A36,'Jul 2026'!$I$29:$I$528,"Income")+SUMIFS('Aug 2026'!$J$29:$J$528,'Aug 2026'!$E$29:$E$528,$A36,'Aug 2026'!$I$29:$I$528,"Income")+SUMIFS('Sep 2026'!$J$29:$J$528,'Sep 2026'!$E$29:$E$528,$A36,'Sep 2026'!$I$29:$I$528,"Income")+SUMIFS('Oct 2026'!$J$29:$J$528,'Oct 2026'!$E$29:$E$528,$A36,'Oct 2026'!$I$29:$I$528,"Income")+SUMIFS('Nov 2026'!$J$29:$J$528,'Nov 2026'!$E$29:$E$528,$A36,'Nov 2026'!$I$29:$I$528,"Income")+SUMIFS('Dec 2026'!$J$29:$J$528,'Dec 2026'!$E$29:$E$528,$A36,'Dec 2026'!$I$29:$I$528,"Income")</f>
        <v>0</v>
      </c>
      <c r="D36" s="3">
        <f>SUMIFS('Jan 2026'!$J$29:$J$528,'Jan 2026'!$E$29:$E$528,$A36,'Jan 2026'!$I$29:$I$528,"Opening Balance")+SUMIFS('Feb 2026'!$J$29:$J$528,'Feb 2026'!$E$29:$E$528,$A36,'Feb 2026'!$I$29:$I$528,"Opening Balance")+SUMIFS('Mar 2026'!$J$29:$J$528,'Mar 2026'!$E$29:$E$528,$A36,'Mar 2026'!$I$29:$I$528,"Opening Balance")+SUMIFS('Apr 2026'!$J$29:$J$528,'Apr 2026'!$E$29:$E$528,$A36,'Apr 2026'!$I$29:$I$528,"Opening Balance")+SUMIFS('May 2026'!$J$29:$J$528,'May 2026'!$E$29:$E$528,$A36,'May 2026'!$I$29:$I$528,"Opening Balance")+SUMIFS('Jun 2026'!$J$29:$J$528,'Jun 2026'!$E$29:$E$528,$A36,'Jun 2026'!$I$29:$I$528,"Opening Balance")+SUMIFS('Jul 2026'!$J$29:$J$528,'Jul 2026'!$E$29:$E$528,$A36,'Jul 2026'!$I$29:$I$528,"Opening Balance")+SUMIFS('Aug 2026'!$J$29:$J$528,'Aug 2026'!$E$29:$E$528,$A36,'Aug 2026'!$I$29:$I$528,"Opening Balance")+SUMIFS('Sep 2026'!$J$29:$J$528,'Sep 2026'!$E$29:$E$528,$A36,'Sep 2026'!$I$29:$I$528,"Opening Balance")+SUMIFS('Oct 2026'!$J$29:$J$528,'Oct 2026'!$E$29:$E$528,$A36,'Oct 2026'!$I$29:$I$528,"Opening Balance")+SUMIFS('Nov 2026'!$J$29:$J$528,'Nov 2026'!$E$29:$E$528,$A36,'Nov 2026'!$I$29:$I$528,"Opening Balance")+SUMIFS('Dec 2026'!$J$29:$J$528,'Dec 2026'!$E$29:$E$528,$A36,'Dec 2026'!$I$29:$I$528,"Opening Balance")</f>
        <v>0</v>
      </c>
      <c r="E36" s="3">
        <f>C36+D36-B36</f>
        <v>0</v>
      </c>
    </row>
    <row r="37">
      <c r="A37" s="5" t="inlineStr">
        <is>
          <t>Taxes</t>
        </is>
      </c>
      <c r="B37" s="3">
        <f>SUMIFS('Jan 2026'!$J$29:$J$528,'Jan 2026'!$E$29:$E$528,$A37,'Jan 2026'!$I$29:$I$528,"Expense")+SUMIFS('Feb 2026'!$J$29:$J$528,'Feb 2026'!$E$29:$E$528,$A37,'Feb 2026'!$I$29:$I$528,"Expense")+SUMIFS('Mar 2026'!$J$29:$J$528,'Mar 2026'!$E$29:$E$528,$A37,'Mar 2026'!$I$29:$I$528,"Expense")+SUMIFS('Apr 2026'!$J$29:$J$528,'Apr 2026'!$E$29:$E$528,$A37,'Apr 2026'!$I$29:$I$528,"Expense")+SUMIFS('May 2026'!$J$29:$J$528,'May 2026'!$E$29:$E$528,$A37,'May 2026'!$I$29:$I$528,"Expense")+SUMIFS('Jun 2026'!$J$29:$J$528,'Jun 2026'!$E$29:$E$528,$A37,'Jun 2026'!$I$29:$I$528,"Expense")+SUMIFS('Jul 2026'!$J$29:$J$528,'Jul 2026'!$E$29:$E$528,$A37,'Jul 2026'!$I$29:$I$528,"Expense")+SUMIFS('Aug 2026'!$J$29:$J$528,'Aug 2026'!$E$29:$E$528,$A37,'Aug 2026'!$I$29:$I$528,"Expense")+SUMIFS('Sep 2026'!$J$29:$J$528,'Sep 2026'!$E$29:$E$528,$A37,'Sep 2026'!$I$29:$I$528,"Expense")+SUMIFS('Oct 2026'!$J$29:$J$528,'Oct 2026'!$E$29:$E$528,$A37,'Oct 2026'!$I$29:$I$528,"Expense")+SUMIFS('Nov 2026'!$J$29:$J$528,'Nov 2026'!$E$29:$E$528,$A37,'Nov 2026'!$I$29:$I$528,"Expense")+SUMIFS('Dec 2026'!$J$29:$J$528,'Dec 2026'!$E$29:$E$528,$A37,'Dec 2026'!$I$29:$I$528,"Expense")</f>
        <v>0</v>
      </c>
      <c r="C37" s="3">
        <f>SUMIFS('Jan 2026'!$J$29:$J$528,'Jan 2026'!$E$29:$E$528,$A37,'Jan 2026'!$I$29:$I$528,"Income")+SUMIFS('Feb 2026'!$J$29:$J$528,'Feb 2026'!$E$29:$E$528,$A37,'Feb 2026'!$I$29:$I$528,"Income")+SUMIFS('Mar 2026'!$J$29:$J$528,'Mar 2026'!$E$29:$E$528,$A37,'Mar 2026'!$I$29:$I$528,"Income")+SUMIFS('Apr 2026'!$J$29:$J$528,'Apr 2026'!$E$29:$E$528,$A37,'Apr 2026'!$I$29:$I$528,"Income")+SUMIFS('May 2026'!$J$29:$J$528,'May 2026'!$E$29:$E$528,$A37,'May 2026'!$I$29:$I$528,"Income")+SUMIFS('Jun 2026'!$J$29:$J$528,'Jun 2026'!$E$29:$E$528,$A37,'Jun 2026'!$I$29:$I$528,"Income")+SUMIFS('Jul 2026'!$J$29:$J$528,'Jul 2026'!$E$29:$E$528,$A37,'Jul 2026'!$I$29:$I$528,"Income")+SUMIFS('Aug 2026'!$J$29:$J$528,'Aug 2026'!$E$29:$E$528,$A37,'Aug 2026'!$I$29:$I$528,"Income")+SUMIFS('Sep 2026'!$J$29:$J$528,'Sep 2026'!$E$29:$E$528,$A37,'Sep 2026'!$I$29:$I$528,"Income")+SUMIFS('Oct 2026'!$J$29:$J$528,'Oct 2026'!$E$29:$E$528,$A37,'Oct 2026'!$I$29:$I$528,"Income")+SUMIFS('Nov 2026'!$J$29:$J$528,'Nov 2026'!$E$29:$E$528,$A37,'Nov 2026'!$I$29:$I$528,"Income")+SUMIFS('Dec 2026'!$J$29:$J$528,'Dec 2026'!$E$29:$E$528,$A37,'Dec 2026'!$I$29:$I$528,"Income")</f>
        <v>0</v>
      </c>
      <c r="D37" s="3">
        <f>SUMIFS('Jan 2026'!$J$29:$J$528,'Jan 2026'!$E$29:$E$528,$A37,'Jan 2026'!$I$29:$I$528,"Opening Balance")+SUMIFS('Feb 2026'!$J$29:$J$528,'Feb 2026'!$E$29:$E$528,$A37,'Feb 2026'!$I$29:$I$528,"Opening Balance")+SUMIFS('Mar 2026'!$J$29:$J$528,'Mar 2026'!$E$29:$E$528,$A37,'Mar 2026'!$I$29:$I$528,"Opening Balance")+SUMIFS('Apr 2026'!$J$29:$J$528,'Apr 2026'!$E$29:$E$528,$A37,'Apr 2026'!$I$29:$I$528,"Opening Balance")+SUMIFS('May 2026'!$J$29:$J$528,'May 2026'!$E$29:$E$528,$A37,'May 2026'!$I$29:$I$528,"Opening Balance")+SUMIFS('Jun 2026'!$J$29:$J$528,'Jun 2026'!$E$29:$E$528,$A37,'Jun 2026'!$I$29:$I$528,"Opening Balance")+SUMIFS('Jul 2026'!$J$29:$J$528,'Jul 2026'!$E$29:$E$528,$A37,'Jul 2026'!$I$29:$I$528,"Opening Balance")+SUMIFS('Aug 2026'!$J$29:$J$528,'Aug 2026'!$E$29:$E$528,$A37,'Aug 2026'!$I$29:$I$528,"Opening Balance")+SUMIFS('Sep 2026'!$J$29:$J$528,'Sep 2026'!$E$29:$E$528,$A37,'Sep 2026'!$I$29:$I$528,"Opening Balance")+SUMIFS('Oct 2026'!$J$29:$J$528,'Oct 2026'!$E$29:$E$528,$A37,'Oct 2026'!$I$29:$I$528,"Opening Balance")+SUMIFS('Nov 2026'!$J$29:$J$528,'Nov 2026'!$E$29:$E$528,$A37,'Nov 2026'!$I$29:$I$528,"Opening Balance")+SUMIFS('Dec 2026'!$J$29:$J$528,'Dec 2026'!$E$29:$E$528,$A37,'Dec 2026'!$I$29:$I$528,"Opening Balance")</f>
        <v>0</v>
      </c>
      <c r="E37" s="3">
        <f>C37+D37-B37</f>
        <v>0</v>
      </c>
    </row>
    <row r="38">
      <c r="A38" s="5" t="inlineStr">
        <is>
          <t>Fees &amp; Charges</t>
        </is>
      </c>
      <c r="B38" s="3">
        <f>SUMIFS('Jan 2026'!$J$29:$J$528,'Jan 2026'!$E$29:$E$528,$A38,'Jan 2026'!$I$29:$I$528,"Expense")+SUMIFS('Feb 2026'!$J$29:$J$528,'Feb 2026'!$E$29:$E$528,$A38,'Feb 2026'!$I$29:$I$528,"Expense")+SUMIFS('Mar 2026'!$J$29:$J$528,'Mar 2026'!$E$29:$E$528,$A38,'Mar 2026'!$I$29:$I$528,"Expense")+SUMIFS('Apr 2026'!$J$29:$J$528,'Apr 2026'!$E$29:$E$528,$A38,'Apr 2026'!$I$29:$I$528,"Expense")+SUMIFS('May 2026'!$J$29:$J$528,'May 2026'!$E$29:$E$528,$A38,'May 2026'!$I$29:$I$528,"Expense")+SUMIFS('Jun 2026'!$J$29:$J$528,'Jun 2026'!$E$29:$E$528,$A38,'Jun 2026'!$I$29:$I$528,"Expense")+SUMIFS('Jul 2026'!$J$29:$J$528,'Jul 2026'!$E$29:$E$528,$A38,'Jul 2026'!$I$29:$I$528,"Expense")+SUMIFS('Aug 2026'!$J$29:$J$528,'Aug 2026'!$E$29:$E$528,$A38,'Aug 2026'!$I$29:$I$528,"Expense")+SUMIFS('Sep 2026'!$J$29:$J$528,'Sep 2026'!$E$29:$E$528,$A38,'Sep 2026'!$I$29:$I$528,"Expense")+SUMIFS('Oct 2026'!$J$29:$J$528,'Oct 2026'!$E$29:$E$528,$A38,'Oct 2026'!$I$29:$I$528,"Expense")+SUMIFS('Nov 2026'!$J$29:$J$528,'Nov 2026'!$E$29:$E$528,$A38,'Nov 2026'!$I$29:$I$528,"Expense")+SUMIFS('Dec 2026'!$J$29:$J$528,'Dec 2026'!$E$29:$E$528,$A38,'Dec 2026'!$I$29:$I$528,"Expense")</f>
        <v>0</v>
      </c>
      <c r="C38" s="3">
        <f>SUMIFS('Jan 2026'!$J$29:$J$528,'Jan 2026'!$E$29:$E$528,$A38,'Jan 2026'!$I$29:$I$528,"Income")+SUMIFS('Feb 2026'!$J$29:$J$528,'Feb 2026'!$E$29:$E$528,$A38,'Feb 2026'!$I$29:$I$528,"Income")+SUMIFS('Mar 2026'!$J$29:$J$528,'Mar 2026'!$E$29:$E$528,$A38,'Mar 2026'!$I$29:$I$528,"Income")+SUMIFS('Apr 2026'!$J$29:$J$528,'Apr 2026'!$E$29:$E$528,$A38,'Apr 2026'!$I$29:$I$528,"Income")+SUMIFS('May 2026'!$J$29:$J$528,'May 2026'!$E$29:$E$528,$A38,'May 2026'!$I$29:$I$528,"Income")+SUMIFS('Jun 2026'!$J$29:$J$528,'Jun 2026'!$E$29:$E$528,$A38,'Jun 2026'!$I$29:$I$528,"Income")+SUMIFS('Jul 2026'!$J$29:$J$528,'Jul 2026'!$E$29:$E$528,$A38,'Jul 2026'!$I$29:$I$528,"Income")+SUMIFS('Aug 2026'!$J$29:$J$528,'Aug 2026'!$E$29:$E$528,$A38,'Aug 2026'!$I$29:$I$528,"Income")+SUMIFS('Sep 2026'!$J$29:$J$528,'Sep 2026'!$E$29:$E$528,$A38,'Sep 2026'!$I$29:$I$528,"Income")+SUMIFS('Oct 2026'!$J$29:$J$528,'Oct 2026'!$E$29:$E$528,$A38,'Oct 2026'!$I$29:$I$528,"Income")+SUMIFS('Nov 2026'!$J$29:$J$528,'Nov 2026'!$E$29:$E$528,$A38,'Nov 2026'!$I$29:$I$528,"Income")+SUMIFS('Dec 2026'!$J$29:$J$528,'Dec 2026'!$E$29:$E$528,$A38,'Dec 2026'!$I$29:$I$528,"Income")</f>
        <v>0</v>
      </c>
      <c r="D38" s="3">
        <f>SUMIFS('Jan 2026'!$J$29:$J$528,'Jan 2026'!$E$29:$E$528,$A38,'Jan 2026'!$I$29:$I$528,"Opening Balance")+SUMIFS('Feb 2026'!$J$29:$J$528,'Feb 2026'!$E$29:$E$528,$A38,'Feb 2026'!$I$29:$I$528,"Opening Balance")+SUMIFS('Mar 2026'!$J$29:$J$528,'Mar 2026'!$E$29:$E$528,$A38,'Mar 2026'!$I$29:$I$528,"Opening Balance")+SUMIFS('Apr 2026'!$J$29:$J$528,'Apr 2026'!$E$29:$E$528,$A38,'Apr 2026'!$I$29:$I$528,"Opening Balance")+SUMIFS('May 2026'!$J$29:$J$528,'May 2026'!$E$29:$E$528,$A38,'May 2026'!$I$29:$I$528,"Opening Balance")+SUMIFS('Jun 2026'!$J$29:$J$528,'Jun 2026'!$E$29:$E$528,$A38,'Jun 2026'!$I$29:$I$528,"Opening Balance")+SUMIFS('Jul 2026'!$J$29:$J$528,'Jul 2026'!$E$29:$E$528,$A38,'Jul 2026'!$I$29:$I$528,"Opening Balance")+SUMIFS('Aug 2026'!$J$29:$J$528,'Aug 2026'!$E$29:$E$528,$A38,'Aug 2026'!$I$29:$I$528,"Opening Balance")+SUMIFS('Sep 2026'!$J$29:$J$528,'Sep 2026'!$E$29:$E$528,$A38,'Sep 2026'!$I$29:$I$528,"Opening Balance")+SUMIFS('Oct 2026'!$J$29:$J$528,'Oct 2026'!$E$29:$E$528,$A38,'Oct 2026'!$I$29:$I$528,"Opening Balance")+SUMIFS('Nov 2026'!$J$29:$J$528,'Nov 2026'!$E$29:$E$528,$A38,'Nov 2026'!$I$29:$I$528,"Opening Balance")+SUMIFS('Dec 2026'!$J$29:$J$528,'Dec 2026'!$E$29:$E$528,$A38,'Dec 2026'!$I$29:$I$528,"Opening Balance")</f>
        <v>0</v>
      </c>
      <c r="E38" s="3">
        <f>C38+D38-B38</f>
        <v>0</v>
      </c>
    </row>
    <row r="39">
      <c r="A39" s="5" t="inlineStr">
        <is>
          <t>Income</t>
        </is>
      </c>
      <c r="B39" s="3">
        <f>SUMIFS('Jan 2026'!$J$29:$J$528,'Jan 2026'!$E$29:$E$528,$A39,'Jan 2026'!$I$29:$I$528,"Expense")+SUMIFS('Feb 2026'!$J$29:$J$528,'Feb 2026'!$E$29:$E$528,$A39,'Feb 2026'!$I$29:$I$528,"Expense")+SUMIFS('Mar 2026'!$J$29:$J$528,'Mar 2026'!$E$29:$E$528,$A39,'Mar 2026'!$I$29:$I$528,"Expense")+SUMIFS('Apr 2026'!$J$29:$J$528,'Apr 2026'!$E$29:$E$528,$A39,'Apr 2026'!$I$29:$I$528,"Expense")+SUMIFS('May 2026'!$J$29:$J$528,'May 2026'!$E$29:$E$528,$A39,'May 2026'!$I$29:$I$528,"Expense")+SUMIFS('Jun 2026'!$J$29:$J$528,'Jun 2026'!$E$29:$E$528,$A39,'Jun 2026'!$I$29:$I$528,"Expense")+SUMIFS('Jul 2026'!$J$29:$J$528,'Jul 2026'!$E$29:$E$528,$A39,'Jul 2026'!$I$29:$I$528,"Expense")+SUMIFS('Aug 2026'!$J$29:$J$528,'Aug 2026'!$E$29:$E$528,$A39,'Aug 2026'!$I$29:$I$528,"Expense")+SUMIFS('Sep 2026'!$J$29:$J$528,'Sep 2026'!$E$29:$E$528,$A39,'Sep 2026'!$I$29:$I$528,"Expense")+SUMIFS('Oct 2026'!$J$29:$J$528,'Oct 2026'!$E$29:$E$528,$A39,'Oct 2026'!$I$29:$I$528,"Expense")+SUMIFS('Nov 2026'!$J$29:$J$528,'Nov 2026'!$E$29:$E$528,$A39,'Nov 2026'!$I$29:$I$528,"Expense")+SUMIFS('Dec 2026'!$J$29:$J$528,'Dec 2026'!$E$29:$E$528,$A39,'Dec 2026'!$I$29:$I$528,"Expense")</f>
        <v>0</v>
      </c>
      <c r="C39" s="3">
        <f>SUMIFS('Jan 2026'!$J$29:$J$528,'Jan 2026'!$E$29:$E$528,$A39,'Jan 2026'!$I$29:$I$528,"Income")+SUMIFS('Feb 2026'!$J$29:$J$528,'Feb 2026'!$E$29:$E$528,$A39,'Feb 2026'!$I$29:$I$528,"Income")+SUMIFS('Mar 2026'!$J$29:$J$528,'Mar 2026'!$E$29:$E$528,$A39,'Mar 2026'!$I$29:$I$528,"Income")+SUMIFS('Apr 2026'!$J$29:$J$528,'Apr 2026'!$E$29:$E$528,$A39,'Apr 2026'!$I$29:$I$528,"Income")+SUMIFS('May 2026'!$J$29:$J$528,'May 2026'!$E$29:$E$528,$A39,'May 2026'!$I$29:$I$528,"Income")+SUMIFS('Jun 2026'!$J$29:$J$528,'Jun 2026'!$E$29:$E$528,$A39,'Jun 2026'!$I$29:$I$528,"Income")+SUMIFS('Jul 2026'!$J$29:$J$528,'Jul 2026'!$E$29:$E$528,$A39,'Jul 2026'!$I$29:$I$528,"Income")+SUMIFS('Aug 2026'!$J$29:$J$528,'Aug 2026'!$E$29:$E$528,$A39,'Aug 2026'!$I$29:$I$528,"Income")+SUMIFS('Sep 2026'!$J$29:$J$528,'Sep 2026'!$E$29:$E$528,$A39,'Sep 2026'!$I$29:$I$528,"Income")+SUMIFS('Oct 2026'!$J$29:$J$528,'Oct 2026'!$E$29:$E$528,$A39,'Oct 2026'!$I$29:$I$528,"Income")+SUMIFS('Nov 2026'!$J$29:$J$528,'Nov 2026'!$E$29:$E$528,$A39,'Nov 2026'!$I$29:$I$528,"Income")+SUMIFS('Dec 2026'!$J$29:$J$528,'Dec 2026'!$E$29:$E$528,$A39,'Dec 2026'!$I$29:$I$528,"Income")</f>
        <v>8114.00</v>
      </c>
      <c r="D39" s="3">
        <f>SUMIFS('Jan 2026'!$J$29:$J$528,'Jan 2026'!$E$29:$E$528,$A39,'Jan 2026'!$I$29:$I$528,"Opening Balance")+SUMIFS('Feb 2026'!$J$29:$J$528,'Feb 2026'!$E$29:$E$528,$A39,'Feb 2026'!$I$29:$I$528,"Opening Balance")+SUMIFS('Mar 2026'!$J$29:$J$528,'Mar 2026'!$E$29:$E$528,$A39,'Mar 2026'!$I$29:$I$528,"Opening Balance")+SUMIFS('Apr 2026'!$J$29:$J$528,'Apr 2026'!$E$29:$E$528,$A39,'Apr 2026'!$I$29:$I$528,"Opening Balance")+SUMIFS('May 2026'!$J$29:$J$528,'May 2026'!$E$29:$E$528,$A39,'May 2026'!$I$29:$I$528,"Opening Balance")+SUMIFS('Jun 2026'!$J$29:$J$528,'Jun 2026'!$E$29:$E$528,$A39,'Jun 2026'!$I$29:$I$528,"Opening Balance")+SUMIFS('Jul 2026'!$J$29:$J$528,'Jul 2026'!$E$29:$E$528,$A39,'Jul 2026'!$I$29:$I$528,"Opening Balance")+SUMIFS('Aug 2026'!$J$29:$J$528,'Aug 2026'!$E$29:$E$528,$A39,'Aug 2026'!$I$29:$I$528,"Opening Balance")+SUMIFS('Sep 2026'!$J$29:$J$528,'Sep 2026'!$E$29:$E$528,$A39,'Sep 2026'!$I$29:$I$528,"Opening Balance")+SUMIFS('Oct 2026'!$J$29:$J$528,'Oct 2026'!$E$29:$E$528,$A39,'Oct 2026'!$I$29:$I$528,"Opening Balance")+SUMIFS('Nov 2026'!$J$29:$J$528,'Nov 2026'!$E$29:$E$528,$A39,'Nov 2026'!$I$29:$I$528,"Opening Balance")+SUMIFS('Dec 2026'!$J$29:$J$528,'Dec 2026'!$E$29:$E$528,$A39,'Dec 2026'!$I$29:$I$528,"Opening Balance")</f>
        <v>0</v>
      </c>
      <c r="E39" s="3">
        <f>C39+D39-B39</f>
        <v>8114.00</v>
      </c>
    </row>
    <row r="40">
      <c r="A40" s="5" t="inlineStr">
        <is>
          <t>Transfers</t>
        </is>
      </c>
      <c r="B40" s="3">
        <f>SUMIFS('Jan 2026'!$J$29:$J$528,'Jan 2026'!$E$29:$E$528,$A40,'Jan 2026'!$I$29:$I$528,"Expense")+SUMIFS('Feb 2026'!$J$29:$J$528,'Feb 2026'!$E$29:$E$528,$A40,'Feb 2026'!$I$29:$I$528,"Expense")+SUMIFS('Mar 2026'!$J$29:$J$528,'Mar 2026'!$E$29:$E$528,$A40,'Mar 2026'!$I$29:$I$528,"Expense")+SUMIFS('Apr 2026'!$J$29:$J$528,'Apr 2026'!$E$29:$E$528,$A40,'Apr 2026'!$I$29:$I$528,"Expense")+SUMIFS('May 2026'!$J$29:$J$528,'May 2026'!$E$29:$E$528,$A40,'May 2026'!$I$29:$I$528,"Expense")+SUMIFS('Jun 2026'!$J$29:$J$528,'Jun 2026'!$E$29:$E$528,$A40,'Jun 2026'!$I$29:$I$528,"Expense")+SUMIFS('Jul 2026'!$J$29:$J$528,'Jul 2026'!$E$29:$E$528,$A40,'Jul 2026'!$I$29:$I$528,"Expense")+SUMIFS('Aug 2026'!$J$29:$J$528,'Aug 2026'!$E$29:$E$528,$A40,'Aug 2026'!$I$29:$I$528,"Expense")+SUMIFS('Sep 2026'!$J$29:$J$528,'Sep 2026'!$E$29:$E$528,$A40,'Sep 2026'!$I$29:$I$528,"Expense")+SUMIFS('Oct 2026'!$J$29:$J$528,'Oct 2026'!$E$29:$E$528,$A40,'Oct 2026'!$I$29:$I$528,"Expense")+SUMIFS('Nov 2026'!$J$29:$J$528,'Nov 2026'!$E$29:$E$528,$A40,'Nov 2026'!$I$29:$I$528,"Expense")+SUMIFS('Dec 2026'!$J$29:$J$528,'Dec 2026'!$E$29:$E$528,$A40,'Dec 2026'!$I$29:$I$528,"Expense")</f>
        <v>0.00</v>
      </c>
      <c r="C40" s="3">
        <f>SUMIFS('Jan 2026'!$J$29:$J$528,'Jan 2026'!$E$29:$E$528,$A40,'Jan 2026'!$I$29:$I$528,"Income")+SUMIFS('Feb 2026'!$J$29:$J$528,'Feb 2026'!$E$29:$E$528,$A40,'Feb 2026'!$I$29:$I$528,"Income")+SUMIFS('Mar 2026'!$J$29:$J$528,'Mar 2026'!$E$29:$E$528,$A40,'Mar 2026'!$I$29:$I$528,"Income")+SUMIFS('Apr 2026'!$J$29:$J$528,'Apr 2026'!$E$29:$E$528,$A40,'Apr 2026'!$I$29:$I$528,"Income")+SUMIFS('May 2026'!$J$29:$J$528,'May 2026'!$E$29:$E$528,$A40,'May 2026'!$I$29:$I$528,"Income")+SUMIFS('Jun 2026'!$J$29:$J$528,'Jun 2026'!$E$29:$E$528,$A40,'Jun 2026'!$I$29:$I$528,"Income")+SUMIFS('Jul 2026'!$J$29:$J$528,'Jul 2026'!$E$29:$E$528,$A40,'Jul 2026'!$I$29:$I$528,"Income")+SUMIFS('Aug 2026'!$J$29:$J$528,'Aug 2026'!$E$29:$E$528,$A40,'Aug 2026'!$I$29:$I$528,"Income")+SUMIFS('Sep 2026'!$J$29:$J$528,'Sep 2026'!$E$29:$E$528,$A40,'Sep 2026'!$I$29:$I$528,"Income")+SUMIFS('Oct 2026'!$J$29:$J$528,'Oct 2026'!$E$29:$E$528,$A40,'Oct 2026'!$I$29:$I$528,"Income")+SUMIFS('Nov 2026'!$J$29:$J$528,'Nov 2026'!$E$29:$E$528,$A40,'Nov 2026'!$I$29:$I$528,"Income")+SUMIFS('Dec 2026'!$J$29:$J$528,'Dec 2026'!$E$29:$E$528,$A40,'Dec 2026'!$I$29:$I$528,"Income")</f>
        <v>0</v>
      </c>
      <c r="D40" s="3">
        <f>SUMIFS('Jan 2026'!$J$29:$J$528,'Jan 2026'!$E$29:$E$528,$A40,'Jan 2026'!$I$29:$I$528,"Opening Balance")+SUMIFS('Feb 2026'!$J$29:$J$528,'Feb 2026'!$E$29:$E$528,$A40,'Feb 2026'!$I$29:$I$528,"Opening Balance")+SUMIFS('Mar 2026'!$J$29:$J$528,'Mar 2026'!$E$29:$E$528,$A40,'Mar 2026'!$I$29:$I$528,"Opening Balance")+SUMIFS('Apr 2026'!$J$29:$J$528,'Apr 2026'!$E$29:$E$528,$A40,'Apr 2026'!$I$29:$I$528,"Opening Balance")+SUMIFS('May 2026'!$J$29:$J$528,'May 2026'!$E$29:$E$528,$A40,'May 2026'!$I$29:$I$528,"Opening Balance")+SUMIFS('Jun 2026'!$J$29:$J$528,'Jun 2026'!$E$29:$E$528,$A40,'Jun 2026'!$I$29:$I$528,"Opening Balance")+SUMIFS('Jul 2026'!$J$29:$J$528,'Jul 2026'!$E$29:$E$528,$A40,'Jul 2026'!$I$29:$I$528,"Opening Balance")+SUMIFS('Aug 2026'!$J$29:$J$528,'Aug 2026'!$E$29:$E$528,$A40,'Aug 2026'!$I$29:$I$528,"Opening Balance")+SUMIFS('Sep 2026'!$J$29:$J$528,'Sep 2026'!$E$29:$E$528,$A40,'Sep 2026'!$I$29:$I$528,"Opening Balance")+SUMIFS('Oct 2026'!$J$29:$J$528,'Oct 2026'!$E$29:$E$528,$A40,'Oct 2026'!$I$29:$I$528,"Opening Balance")+SUMIFS('Nov 2026'!$J$29:$J$528,'Nov 2026'!$E$29:$E$528,$A40,'Nov 2026'!$I$29:$I$528,"Opening Balance")+SUMIFS('Dec 2026'!$J$29:$J$528,'Dec 2026'!$E$29:$E$528,$A40,'Dec 2026'!$I$29:$I$528,"Opening Balance")</f>
        <v>0</v>
      </c>
      <c r="E40" s="3">
        <f>C40+D40-B40</f>
        <v>0.00</v>
      </c>
    </row>
    <row r="41">
      <c r="A41" s="5" t="inlineStr">
        <is>
          <t>Existing Savings</t>
        </is>
      </c>
      <c r="B41" s="3">
        <f>SUMIFS('Jan 2026'!$J$29:$J$528,'Jan 2026'!$E$29:$E$528,$A41,'Jan 2026'!$I$29:$I$528,"Expense")+SUMIFS('Feb 2026'!$J$29:$J$528,'Feb 2026'!$E$29:$E$528,$A41,'Feb 2026'!$I$29:$I$528,"Expense")+SUMIFS('Mar 2026'!$J$29:$J$528,'Mar 2026'!$E$29:$E$528,$A41,'Mar 2026'!$I$29:$I$528,"Expense")+SUMIFS('Apr 2026'!$J$29:$J$528,'Apr 2026'!$E$29:$E$528,$A41,'Apr 2026'!$I$29:$I$528,"Expense")+SUMIFS('May 2026'!$J$29:$J$528,'May 2026'!$E$29:$E$528,$A41,'May 2026'!$I$29:$I$528,"Expense")+SUMIFS('Jun 2026'!$J$29:$J$528,'Jun 2026'!$E$29:$E$528,$A41,'Jun 2026'!$I$29:$I$528,"Expense")+SUMIFS('Jul 2026'!$J$29:$J$528,'Jul 2026'!$E$29:$E$528,$A41,'Jul 2026'!$I$29:$I$528,"Expense")+SUMIFS('Aug 2026'!$J$29:$J$528,'Aug 2026'!$E$29:$E$528,$A41,'Aug 2026'!$I$29:$I$528,"Expense")+SUMIFS('Sep 2026'!$J$29:$J$528,'Sep 2026'!$E$29:$E$528,$A41,'Sep 2026'!$I$29:$I$528,"Expense")+SUMIFS('Oct 2026'!$J$29:$J$528,'Oct 2026'!$E$29:$E$528,$A41,'Oct 2026'!$I$29:$I$528,"Expense")+SUMIFS('Nov 2026'!$J$29:$J$528,'Nov 2026'!$E$29:$E$528,$A41,'Nov 2026'!$I$29:$I$528,"Expense")+SUMIFS('Dec 2026'!$J$29:$J$528,'Dec 2026'!$E$29:$E$528,$A41,'Dec 2026'!$I$29:$I$528,"Expense")</f>
        <v>0</v>
      </c>
      <c r="C41" s="3">
        <f>SUMIFS('Jan 2026'!$J$29:$J$528,'Jan 2026'!$E$29:$E$528,$A41,'Jan 2026'!$I$29:$I$528,"Income")+SUMIFS('Feb 2026'!$J$29:$J$528,'Feb 2026'!$E$29:$E$528,$A41,'Feb 2026'!$I$29:$I$528,"Income")+SUMIFS('Mar 2026'!$J$29:$J$528,'Mar 2026'!$E$29:$E$528,$A41,'Mar 2026'!$I$29:$I$528,"Income")+SUMIFS('Apr 2026'!$J$29:$J$528,'Apr 2026'!$E$29:$E$528,$A41,'Apr 2026'!$I$29:$I$528,"Income")+SUMIFS('May 2026'!$J$29:$J$528,'May 2026'!$E$29:$E$528,$A41,'May 2026'!$I$29:$I$528,"Income")+SUMIFS('Jun 2026'!$J$29:$J$528,'Jun 2026'!$E$29:$E$528,$A41,'Jun 2026'!$I$29:$I$528,"Income")+SUMIFS('Jul 2026'!$J$29:$J$528,'Jul 2026'!$E$29:$E$528,$A41,'Jul 2026'!$I$29:$I$528,"Income")+SUMIFS('Aug 2026'!$J$29:$J$528,'Aug 2026'!$E$29:$E$528,$A41,'Aug 2026'!$I$29:$I$528,"Income")+SUMIFS('Sep 2026'!$J$29:$J$528,'Sep 2026'!$E$29:$E$528,$A41,'Sep 2026'!$I$29:$I$528,"Income")+SUMIFS('Oct 2026'!$J$29:$J$528,'Oct 2026'!$E$29:$E$528,$A41,'Oct 2026'!$I$29:$I$528,"Income")+SUMIFS('Nov 2026'!$J$29:$J$528,'Nov 2026'!$E$29:$E$528,$A41,'Nov 2026'!$I$29:$I$528,"Income")+SUMIFS('Dec 2026'!$J$29:$J$528,'Dec 2026'!$E$29:$E$528,$A41,'Dec 2026'!$I$29:$I$528,"Income")</f>
        <v>0</v>
      </c>
      <c r="D41" s="3">
        <f>SUMIFS('Jan 2026'!$J$29:$J$528,'Jan 2026'!$E$29:$E$528,$A41,'Jan 2026'!$I$29:$I$528,"Opening Balance")+SUMIFS('Feb 2026'!$J$29:$J$528,'Feb 2026'!$E$29:$E$528,$A41,'Feb 2026'!$I$29:$I$528,"Opening Balance")+SUMIFS('Mar 2026'!$J$29:$J$528,'Mar 2026'!$E$29:$E$528,$A41,'Mar 2026'!$I$29:$I$528,"Opening Balance")+SUMIFS('Apr 2026'!$J$29:$J$528,'Apr 2026'!$E$29:$E$528,$A41,'Apr 2026'!$I$29:$I$528,"Opening Balance")+SUMIFS('May 2026'!$J$29:$J$528,'May 2026'!$E$29:$E$528,$A41,'May 2026'!$I$29:$I$528,"Opening Balance")+SUMIFS('Jun 2026'!$J$29:$J$528,'Jun 2026'!$E$29:$E$528,$A41,'Jun 2026'!$I$29:$I$528,"Opening Balance")+SUMIFS('Jul 2026'!$J$29:$J$528,'Jul 2026'!$E$29:$E$528,$A41,'Jul 2026'!$I$29:$I$528,"Opening Balance")+SUMIFS('Aug 2026'!$J$29:$J$528,'Aug 2026'!$E$29:$E$528,$A41,'Aug 2026'!$I$29:$I$528,"Opening Balance")+SUMIFS('Sep 2026'!$J$29:$J$528,'Sep 2026'!$E$29:$E$528,$A41,'Sep 2026'!$I$29:$I$528,"Opening Balance")+SUMIFS('Oct 2026'!$J$29:$J$528,'Oct 2026'!$E$29:$E$528,$A41,'Oct 2026'!$I$29:$I$528,"Opening Balance")+SUMIFS('Nov 2026'!$J$29:$J$528,'Nov 2026'!$E$29:$E$528,$A41,'Nov 2026'!$I$29:$I$528,"Opening Balance")+SUMIFS('Dec 2026'!$J$29:$J$528,'Dec 2026'!$E$29:$E$528,$A41,'Dec 2026'!$I$29:$I$528,"Opening Balance")</f>
        <v>7300</v>
      </c>
      <c r="E41" s="3">
        <f>C41+D41-B41</f>
        <v>7300</v>
      </c>
    </row>
    <row r="42">
      <c r="A42" s="5" t="inlineStr">
        <is>
          <t>Other</t>
        </is>
      </c>
      <c r="B42" s="3">
        <f>SUMIFS('Jan 2026'!$J$29:$J$528,'Jan 2026'!$E$29:$E$528,$A42,'Jan 2026'!$I$29:$I$528,"Expense")+SUMIFS('Feb 2026'!$J$29:$J$528,'Feb 2026'!$E$29:$E$528,$A42,'Feb 2026'!$I$29:$I$528,"Expense")+SUMIFS('Mar 2026'!$J$29:$J$528,'Mar 2026'!$E$29:$E$528,$A42,'Mar 2026'!$I$29:$I$528,"Expense")+SUMIFS('Apr 2026'!$J$29:$J$528,'Apr 2026'!$E$29:$E$528,$A42,'Apr 2026'!$I$29:$I$528,"Expense")+SUMIFS('May 2026'!$J$29:$J$528,'May 2026'!$E$29:$E$528,$A42,'May 2026'!$I$29:$I$528,"Expense")+SUMIFS('Jun 2026'!$J$29:$J$528,'Jun 2026'!$E$29:$E$528,$A42,'Jun 2026'!$I$29:$I$528,"Expense")+SUMIFS('Jul 2026'!$J$29:$J$528,'Jul 2026'!$E$29:$E$528,$A42,'Jul 2026'!$I$29:$I$528,"Expense")+SUMIFS('Aug 2026'!$J$29:$J$528,'Aug 2026'!$E$29:$E$528,$A42,'Aug 2026'!$I$29:$I$528,"Expense")+SUMIFS('Sep 2026'!$J$29:$J$528,'Sep 2026'!$E$29:$E$528,$A42,'Sep 2026'!$I$29:$I$528,"Expense")+SUMIFS('Oct 2026'!$J$29:$J$528,'Oct 2026'!$E$29:$E$528,$A42,'Oct 2026'!$I$29:$I$528,"Expense")+SUMIFS('Nov 2026'!$J$29:$J$528,'Nov 2026'!$E$29:$E$528,$A42,'Nov 2026'!$I$29:$I$528,"Expense")+SUMIFS('Dec 2026'!$J$29:$J$528,'Dec 2026'!$E$29:$E$528,$A42,'Dec 2026'!$I$29:$I$528,"Expense")</f>
        <v>0.00</v>
      </c>
      <c r="C42" s="3">
        <f>SUMIFS('Jan 2026'!$J$29:$J$528,'Jan 2026'!$E$29:$E$528,$A42,'Jan 2026'!$I$29:$I$528,"Income")+SUMIFS('Feb 2026'!$J$29:$J$528,'Feb 2026'!$E$29:$E$528,$A42,'Feb 2026'!$I$29:$I$528,"Income")+SUMIFS('Mar 2026'!$J$29:$J$528,'Mar 2026'!$E$29:$E$528,$A42,'Mar 2026'!$I$29:$I$528,"Income")+SUMIFS('Apr 2026'!$J$29:$J$528,'Apr 2026'!$E$29:$E$528,$A42,'Apr 2026'!$I$29:$I$528,"Income")+SUMIFS('May 2026'!$J$29:$J$528,'May 2026'!$E$29:$E$528,$A42,'May 2026'!$I$29:$I$528,"Income")+SUMIFS('Jun 2026'!$J$29:$J$528,'Jun 2026'!$E$29:$E$528,$A42,'Jun 2026'!$I$29:$I$528,"Income")+SUMIFS('Jul 2026'!$J$29:$J$528,'Jul 2026'!$E$29:$E$528,$A42,'Jul 2026'!$I$29:$I$528,"Income")+SUMIFS('Aug 2026'!$J$29:$J$528,'Aug 2026'!$E$29:$E$528,$A42,'Aug 2026'!$I$29:$I$528,"Income")+SUMIFS('Sep 2026'!$J$29:$J$528,'Sep 2026'!$E$29:$E$528,$A42,'Sep 2026'!$I$29:$I$528,"Income")+SUMIFS('Oct 2026'!$J$29:$J$528,'Oct 2026'!$E$29:$E$528,$A42,'Oct 2026'!$I$29:$I$528,"Income")+SUMIFS('Nov 2026'!$J$29:$J$528,'Nov 2026'!$E$29:$E$528,$A42,'Nov 2026'!$I$29:$I$528,"Income")+SUMIFS('Dec 2026'!$J$29:$J$528,'Dec 2026'!$E$29:$E$528,$A42,'Dec 2026'!$I$29:$I$528,"Income")</f>
        <v>0</v>
      </c>
      <c r="D42" s="3">
        <f>SUMIFS('Jan 2026'!$J$29:$J$528,'Jan 2026'!$E$29:$E$528,$A42,'Jan 2026'!$I$29:$I$528,"Opening Balance")+SUMIFS('Feb 2026'!$J$29:$J$528,'Feb 2026'!$E$29:$E$528,$A42,'Feb 2026'!$I$29:$I$528,"Opening Balance")+SUMIFS('Mar 2026'!$J$29:$J$528,'Mar 2026'!$E$29:$E$528,$A42,'Mar 2026'!$I$29:$I$528,"Opening Balance")+SUMIFS('Apr 2026'!$J$29:$J$528,'Apr 2026'!$E$29:$E$528,$A42,'Apr 2026'!$I$29:$I$528,"Opening Balance")+SUMIFS('May 2026'!$J$29:$J$528,'May 2026'!$E$29:$E$528,$A42,'May 2026'!$I$29:$I$528,"Opening Balance")+SUMIFS('Jun 2026'!$J$29:$J$528,'Jun 2026'!$E$29:$E$528,$A42,'Jun 2026'!$I$29:$I$528,"Opening Balance")+SUMIFS('Jul 2026'!$J$29:$J$528,'Jul 2026'!$E$29:$E$528,$A42,'Jul 2026'!$I$29:$I$528,"Opening Balance")+SUMIFS('Aug 2026'!$J$29:$J$528,'Aug 2026'!$E$29:$E$528,$A42,'Aug 2026'!$I$29:$I$528,"Opening Balance")+SUMIFS('Sep 2026'!$J$29:$J$528,'Sep 2026'!$E$29:$E$528,$A42,'Sep 2026'!$I$29:$I$528,"Opening Balance")+SUMIFS('Oct 2026'!$J$29:$J$528,'Oct 2026'!$E$29:$E$528,$A42,'Oct 2026'!$I$29:$I$528,"Opening Balance")+SUMIFS('Nov 2026'!$J$29:$J$528,'Nov 2026'!$E$29:$E$528,$A42,'Nov 2026'!$I$29:$I$528,"Opening Balance")+SUMIFS('Dec 2026'!$J$29:$J$528,'Dec 2026'!$E$29:$E$528,$A42,'Dec 2026'!$I$29:$I$528,"Opening Balance")</f>
        <v>0</v>
      </c>
      <c r="E42" s="3">
        <f>C42+D42-B42</f>
        <v>0.00</v>
      </c>
    </row>
  </sheetData>
  <hyperlinks>
    <hyperlink ref="A6" location="'Jan 2026'!A1" display="Jan 2026" tooltip="Open Jan 2026"/>
    <hyperlink ref="A7" location="'Feb 2026'!A1" display="Feb 2026" tooltip="Open Feb 2026"/>
    <hyperlink ref="A8" location="'Mar 2026'!A1" display="Mar 2026" tooltip="Open Mar 2026"/>
    <hyperlink ref="A9" location="'Apr 2026'!A1" display="Apr 2026" tooltip="Open Apr 2026"/>
    <hyperlink ref="A10" location="'May 2026'!A1" display="May 2026" tooltip="Open May 2026"/>
    <hyperlink ref="A11" location="'Jun 2026'!A1" display="Jun 2026" tooltip="Open Jun 2026"/>
    <hyperlink ref="A12" location="'Jul 2026'!A1" display="Jul 2026" tooltip="Open Jul 2026"/>
    <hyperlink ref="A13" location="'Aug 2026'!A1" display="Aug 2026" tooltip="Open Aug 2026"/>
    <hyperlink ref="A14" location="'Sep 2026'!A1" display="Sep 2026" tooltip="Open Sep 2026"/>
    <hyperlink ref="A15" location="'Oct 2026'!A1" display="Oct 2026" tooltip="Open Oct 2026"/>
    <hyperlink ref="A16" location="'Nov 2026'!A1" display="Nov 2026" tooltip="Open Nov 2026"/>
    <hyperlink ref="A17" location="'Dec 2026'!A1" display="Dec 2026" tooltip="Open Dec 202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8"/>
  <sheetViews>
    <sheetView showGridLines="0" workbookViewId="0">
      <pane xSplit="0" ySplit="28" topLeftCell="A29" activePane="bottomLeft" state="frozen"/>
      <selection pane="bottomLeft" activeCell="A29" sqref="A29"/>
    </sheetView>
  </sheetViews>
  <sheetFormatPr baseColWidth="8" defaultRowHeight="15"/>
  <cols>
    <col width="12" customWidth="1" style="10" min="1" max="1"/>
    <col width="8" customWidth="1" style="10" min="2" max="2"/>
    <col width="22" customWidth="1" style="10" min="3" max="4"/>
    <col width="24" customWidth="1" style="10" min="5" max="5"/>
    <col width="18" customWidth="1" style="10" min="6" max="6"/>
    <col width="18" customWidth="1" style="10" min="7" max="7"/>
    <col width="18" customWidth="1" style="10" min="8" max="9"/>
    <col width="14" customWidth="1" style="10" min="10" max="10"/>
    <col width="30" customWidth="1" style="10" min="11" max="11"/>
  </cols>
  <sheetData>
    <row r="1">
      <c r="A1" s="1" t="inlineStr">
        <is>
          <t>January 2026 Ledger</t>
        </is>
      </c>
    </row>
    <row r="2">
      <c r="A2" s="7" t="inlineStr">
        <is>
          <t>Use positive amounts. Choose Type to classify each transaction.</t>
        </is>
      </c>
    </row>
    <row r="4">
      <c r="A4" s="1" t="inlineStr">
        <is>
          <t>Month Summary</t>
        </is>
      </c>
      <c r="D4" s="1" t="inlineStr">
        <is>
          <t>Category Summary</t>
        </is>
      </c>
      <c r="H4" s="1" t="inlineStr">
        <is>
          <t>Weekly Summary</t>
        </is>
      </c>
    </row>
    <row r="5">
      <c r="A5" s="5" t="inlineStr">
        <is>
          <t>Total Income</t>
        </is>
      </c>
      <c r="B5" s="3">
        <f>SUMIFS($J$29:$J$528,$I$29:$I$528,"Income")</f>
        <v/>
      </c>
      <c r="D5" s="2" t="inlineStr">
        <is>
          <t>Category</t>
        </is>
      </c>
      <c r="E5" s="2" t="inlineStr">
        <is>
          <t>Expenses</t>
        </is>
      </c>
      <c r="F5" s="2" t="inlineStr">
        <is>
          <t>Income</t>
        </is>
      </c>
      <c r="G5" s="2" t="inlineStr">
        <is>
          <t>Existing Savings</t>
        </is>
      </c>
      <c r="H5" s="2" t="inlineStr">
        <is>
          <t>Week</t>
        </is>
      </c>
      <c r="I5" s="2" t="inlineStr">
        <is>
          <t>Expenses</t>
        </is>
      </c>
      <c r="J5" s="2" t="inlineStr">
        <is>
          <t>Income</t>
        </is>
      </c>
      <c r="K5" s="2" t="inlineStr">
        <is>
          <t>Net</t>
        </is>
      </c>
    </row>
    <row r="6">
      <c r="A6" s="5" t="inlineStr">
        <is>
          <t>Total Expenses</t>
        </is>
      </c>
      <c r="B6" s="3">
        <f>SUMIFS($J$29:$J$528,$I$29:$I$528,"Expense")</f>
        <v/>
      </c>
      <c r="D6" s="5" t="inlineStr">
        <is>
          <t>Housing</t>
        </is>
      </c>
      <c r="E6" s="3">
        <f>SUMIFS($J$29:$J$528,$E$29:$E$528,$D6,$I$29:$I$528,"Expense")</f>
        <v/>
      </c>
      <c r="F6" s="3">
        <f>SUMIFS($J$29:$J$528,$E$29:$E$528,$D6,$I$29:$I$528,"Income")</f>
        <v/>
      </c>
      <c r="G6" s="3">
        <f>SUMIFS($J$29:$J$528,$E$29:$E$528,$D6,$I$29:$I$528,"Opening Balance")</f>
        <v/>
      </c>
      <c r="H6" s="5" t="inlineStr">
        <is>
          <t>Week 1</t>
        </is>
      </c>
      <c r="I6" s="3">
        <f>SUMIFS($J$29:$J$528,$B$29:$B$528,1,$I$29:$I$528,"Expense",$F$29:$F$528,"&lt;&gt;Rent")</f>
        <v/>
      </c>
      <c r="J6" s="3">
        <f>SUMIFS($J$29:$J$528,$B$29:$B$528,1,$I$29:$I$528,"Income")</f>
        <v/>
      </c>
      <c r="K6" s="3">
        <f>J6-I6</f>
        <v/>
      </c>
    </row>
    <row r="7">
      <c r="A7" s="5" t="inlineStr">
        <is>
          <t>Existing Savings</t>
        </is>
      </c>
      <c r="B7" s="3">
        <f>SUMIFS($J$29:$J$528,$I$29:$I$528,"Opening Balance")</f>
        <v/>
      </c>
      <c r="D7" s="5" t="inlineStr">
        <is>
          <t>Utilities</t>
        </is>
      </c>
      <c r="E7" s="3">
        <f>SUMIFS($J$29:$J$528,$E$29:$E$528,$D7,$I$29:$I$528,"Expense")</f>
        <v/>
      </c>
      <c r="F7" s="3">
        <f>SUMIFS($J$29:$J$528,$E$29:$E$528,$D7,$I$29:$I$528,"Income")</f>
        <v/>
      </c>
      <c r="G7" s="3">
        <f>SUMIFS($J$29:$J$528,$E$29:$E$528,$D7,$I$29:$I$528,"Opening Balance")</f>
        <v/>
      </c>
      <c r="H7" s="5" t="inlineStr">
        <is>
          <t>Week 2</t>
        </is>
      </c>
      <c r="I7" s="3">
        <f>SUMIFS($J$29:$J$528,$B$29:$B$528,2,$I$29:$I$528,"Expense",$F$29:$F$528,"&lt;&gt;Rent")</f>
        <v/>
      </c>
      <c r="J7" s="3">
        <f>SUMIFS($J$29:$J$528,$B$29:$B$528,2,$I$29:$I$528,"Income")</f>
        <v/>
      </c>
      <c r="K7" s="3">
        <f>J7-I7</f>
        <v/>
      </c>
    </row>
    <row r="8">
      <c r="A8" s="5" t="inlineStr">
        <is>
          <t>Transfers</t>
        </is>
      </c>
      <c r="B8" s="3">
        <f>SUMIFS($J$29:$J$528,$I$29:$I$528,"Transfer")</f>
        <v/>
      </c>
      <c r="D8" s="5" t="inlineStr">
        <is>
          <t>Groceries</t>
        </is>
      </c>
      <c r="E8" s="3">
        <f>SUMIFS($J$29:$J$528,$E$29:$E$528,$D8,$I$29:$I$528,"Expense")</f>
        <v/>
      </c>
      <c r="F8" s="3">
        <f>SUMIFS($J$29:$J$528,$E$29:$E$528,$D8,$I$29:$I$528,"Income")</f>
        <v/>
      </c>
      <c r="G8" s="3">
        <f>SUMIFS($J$29:$J$528,$E$29:$E$528,$D8,$I$29:$I$528,"Opening Balance")</f>
        <v/>
      </c>
      <c r="H8" s="5" t="inlineStr">
        <is>
          <t>Week 3</t>
        </is>
      </c>
      <c r="I8" s="3">
        <f>SUMIFS($J$29:$J$528,$B$29:$B$528,3,$I$29:$I$528,"Expense",$F$29:$F$528,"&lt;&gt;Rent")</f>
        <v/>
      </c>
      <c r="J8" s="3">
        <f>SUMIFS($J$29:$J$528,$B$29:$B$528,3,$I$29:$I$528,"Income")</f>
        <v/>
      </c>
      <c r="K8" s="3">
        <f>J8-I8</f>
        <v/>
      </c>
    </row>
    <row r="9">
      <c r="A9" s="5" t="inlineStr">
        <is>
          <t>Net Cash Flow</t>
        </is>
      </c>
      <c r="B9" s="3">
        <f>B5-B6</f>
        <v/>
      </c>
      <c r="D9" s="5" t="inlineStr">
        <is>
          <t>Dining</t>
        </is>
      </c>
      <c r="E9" s="3">
        <f>SUMIFS($J$29:$J$528,$E$29:$E$528,$D9,$I$29:$I$528,"Expense")</f>
        <v/>
      </c>
      <c r="F9" s="3">
        <f>SUMIFS($J$29:$J$528,$E$29:$E$528,$D9,$I$29:$I$528,"Income")</f>
        <v/>
      </c>
      <c r="G9" s="3">
        <f>SUMIFS($J$29:$J$528,$E$29:$E$528,$D9,$I$29:$I$528,"Opening Balance")</f>
        <v/>
      </c>
      <c r="H9" s="5" t="inlineStr">
        <is>
          <t>Week 4</t>
        </is>
      </c>
      <c r="I9" s="3">
        <f>SUMIFS($J$29:$J$528,$B$29:$B$528,4,$I$29:$I$528,"Expense",$F$29:$F$528,"&lt;&gt;Rent")</f>
        <v/>
      </c>
      <c r="J9" s="3">
        <f>SUMIFS($J$29:$J$528,$B$29:$B$528,4,$I$29:$I$528,"Income")</f>
        <v/>
      </c>
      <c r="K9" s="3">
        <f>J9-I9</f>
        <v/>
      </c>
    </row>
    <row r="10">
      <c r="D10" s="5" t="inlineStr">
        <is>
          <t>Transportation</t>
        </is>
      </c>
      <c r="E10" s="3">
        <f>SUMIFS($J$29:$J$528,$E$29:$E$528,$D10,$I$29:$I$528,"Expense")</f>
        <v/>
      </c>
      <c r="F10" s="3">
        <f>SUMIFS($J$29:$J$528,$E$29:$E$528,$D10,$I$29:$I$528,"Income")</f>
        <v/>
      </c>
      <c r="G10" s="3">
        <f>SUMIFS($J$29:$J$528,$E$29:$E$528,$D10,$I$29:$I$528,"Opening Balance")</f>
        <v/>
      </c>
      <c r="H10" s="5" t="inlineStr">
        <is>
          <t>Week 5</t>
        </is>
      </c>
      <c r="I10" s="3">
        <f>SUMIFS($J$29:$J$528,$B$29:$B$528,5,$I$29:$I$528,"Expense",$F$29:$F$528,"&lt;&gt;Rent")</f>
        <v/>
      </c>
      <c r="J10" s="3">
        <f>SUMIFS($J$29:$J$528,$B$29:$B$528,5,$I$29:$I$528,"Income")</f>
        <v/>
      </c>
      <c r="K10" s="3">
        <f>J10-I10</f>
        <v/>
      </c>
    </row>
    <row r="11">
      <c r="D11" s="5" t="inlineStr">
        <is>
          <t>Health &amp; Medical</t>
        </is>
      </c>
      <c r="E11" s="3">
        <f>SUMIFS($J$29:$J$528,$E$29:$E$528,$D11,$I$29:$I$528,"Expense")</f>
        <v/>
      </c>
      <c r="F11" s="3">
        <f>SUMIFS($J$29:$J$528,$E$29:$E$528,$D11,$I$29:$I$528,"Income")</f>
        <v/>
      </c>
      <c r="G11" s="3">
        <f>SUMIFS($J$29:$J$528,$E$29:$E$528,$D11,$I$29:$I$528,"Opening Balance")</f>
        <v/>
      </c>
    </row>
    <row r="12">
      <c r="D12" s="5" t="inlineStr">
        <is>
          <t>Insurance</t>
        </is>
      </c>
      <c r="E12" s="3">
        <f>SUMIFS($J$29:$J$528,$E$29:$E$528,$D12,$I$29:$I$528,"Expense")</f>
        <v/>
      </c>
      <c r="F12" s="3">
        <f>SUMIFS($J$29:$J$528,$E$29:$E$528,$D12,$I$29:$I$528,"Income")</f>
        <v/>
      </c>
      <c r="G12" s="3">
        <f>SUMIFS($J$29:$J$528,$E$29:$E$528,$D12,$I$29:$I$528,"Opening Balance")</f>
        <v/>
      </c>
    </row>
    <row r="13">
      <c r="D13" s="5" t="inlineStr">
        <is>
          <t>Debt Payments</t>
        </is>
      </c>
      <c r="E13" s="3">
        <f>SUMIFS($J$29:$J$528,$E$29:$E$528,$D13,$I$29:$I$528,"Expense")</f>
        <v/>
      </c>
      <c r="F13" s="3">
        <f>SUMIFS($J$29:$J$528,$E$29:$E$528,$D13,$I$29:$I$528,"Income")</f>
        <v/>
      </c>
      <c r="G13" s="3">
        <f>SUMIFS($J$29:$J$528,$E$29:$E$528,$D13,$I$29:$I$528,"Opening Balance")</f>
        <v/>
      </c>
    </row>
    <row r="14">
      <c r="D14" s="5" t="inlineStr">
        <is>
          <t>Savings &amp; Investments</t>
        </is>
      </c>
      <c r="E14" s="3">
        <f>SUMIFS($J$29:$J$528,$E$29:$E$528,$D14,$I$29:$I$528,"Expense")</f>
        <v/>
      </c>
      <c r="F14" s="3">
        <f>SUMIFS($J$29:$J$528,$E$29:$E$528,$D14,$I$29:$I$528,"Income")</f>
        <v/>
      </c>
      <c r="G14" s="3">
        <f>SUMIFS($J$29:$J$528,$E$29:$E$528,$D14,$I$29:$I$528,"Opening Balance")</f>
        <v/>
      </c>
    </row>
    <row r="15">
      <c r="D15" s="5" t="inlineStr">
        <is>
          <t>Personal Care</t>
        </is>
      </c>
      <c r="E15" s="3">
        <f>SUMIFS($J$29:$J$528,$E$29:$E$528,$D15,$I$29:$I$528,"Expense")</f>
        <v/>
      </c>
      <c r="F15" s="3">
        <f>SUMIFS($J$29:$J$528,$E$29:$E$528,$D15,$I$29:$I$528,"Income")</f>
        <v/>
      </c>
      <c r="G15" s="3">
        <f>SUMIFS($J$29:$J$528,$E$29:$E$528,$D15,$I$29:$I$528,"Opening Balance")</f>
        <v/>
      </c>
    </row>
    <row r="16">
      <c r="D16" s="5" t="inlineStr">
        <is>
          <t>Shopping</t>
        </is>
      </c>
      <c r="E16" s="3">
        <f>SUMIFS($J$29:$J$528,$E$29:$E$528,$D16,$I$29:$I$528,"Expense")</f>
        <v/>
      </c>
      <c r="F16" s="3">
        <f>SUMIFS($J$29:$J$528,$E$29:$E$528,$D16,$I$29:$I$528,"Income")</f>
        <v/>
      </c>
      <c r="G16" s="3">
        <f>SUMIFS($J$29:$J$528,$E$29:$E$528,$D16,$I$29:$I$528,"Opening Balance")</f>
        <v/>
      </c>
    </row>
    <row r="17">
      <c r="D17" s="5" t="inlineStr">
        <is>
          <t>Entertainment</t>
        </is>
      </c>
      <c r="E17" s="3">
        <f>SUMIFS($J$29:$J$528,$E$29:$E$528,$D17,$I$29:$I$528,"Expense")</f>
        <v/>
      </c>
      <c r="F17" s="3">
        <f>SUMIFS($J$29:$J$528,$E$29:$E$528,$D17,$I$29:$I$528,"Income")</f>
        <v/>
      </c>
      <c r="G17" s="3">
        <f>SUMIFS($J$29:$J$528,$E$29:$E$528,$D17,$I$29:$I$528,"Opening Balance")</f>
        <v/>
      </c>
    </row>
    <row r="18">
      <c r="D18" s="5" t="inlineStr">
        <is>
          <t>Travel</t>
        </is>
      </c>
      <c r="E18" s="3">
        <f>SUMIFS($J$29:$J$528,$E$29:$E$528,$D18,$I$29:$I$528,"Expense")</f>
        <v/>
      </c>
      <c r="F18" s="3">
        <f>SUMIFS($J$29:$J$528,$E$29:$E$528,$D18,$I$29:$I$528,"Income")</f>
        <v/>
      </c>
      <c r="G18" s="3">
        <f>SUMIFS($J$29:$J$528,$E$29:$E$528,$D18,$I$29:$I$528,"Opening Balance")</f>
        <v/>
      </c>
    </row>
    <row r="19">
      <c r="D19" s="5" t="inlineStr">
        <is>
          <t>Education</t>
        </is>
      </c>
      <c r="E19" s="3">
        <f>SUMIFS($J$29:$J$528,$E$29:$E$528,$D19,$I$29:$I$528,"Expense")</f>
        <v/>
      </c>
      <c r="F19" s="3">
        <f>SUMIFS($J$29:$J$528,$E$29:$E$528,$D19,$I$29:$I$528,"Income")</f>
        <v/>
      </c>
      <c r="G19" s="3">
        <f>SUMIFS($J$29:$J$528,$E$29:$E$528,$D19,$I$29:$I$528,"Opening Balance")</f>
        <v/>
      </c>
    </row>
    <row r="20">
      <c r="D20" s="5" t="inlineStr">
        <is>
          <t>Gifts &amp; Donations</t>
        </is>
      </c>
      <c r="E20" s="3">
        <f>SUMIFS($J$29:$J$528,$E$29:$E$528,$D20,$I$29:$I$528,"Expense")</f>
        <v/>
      </c>
      <c r="F20" s="3">
        <f>SUMIFS($J$29:$J$528,$E$29:$E$528,$D20,$I$29:$I$528,"Income")</f>
        <v/>
      </c>
      <c r="G20" s="3">
        <f>SUMIFS($J$29:$J$528,$E$29:$E$528,$D20,$I$29:$I$528,"Opening Balance")</f>
        <v/>
      </c>
    </row>
    <row r="21">
      <c r="D21" s="5" t="inlineStr">
        <is>
          <t>Taxes</t>
        </is>
      </c>
      <c r="E21" s="3">
        <f>SUMIFS($J$29:$J$528,$E$29:$E$528,$D21,$I$29:$I$528,"Expense")</f>
        <v/>
      </c>
      <c r="F21" s="3">
        <f>SUMIFS($J$29:$J$528,$E$29:$E$528,$D21,$I$29:$I$528,"Income")</f>
        <v/>
      </c>
      <c r="G21" s="3">
        <f>SUMIFS($J$29:$J$528,$E$29:$E$528,$D21,$I$29:$I$528,"Opening Balance")</f>
        <v/>
      </c>
    </row>
    <row r="22">
      <c r="D22" s="5" t="inlineStr">
        <is>
          <t>Shipping</t>
        </is>
      </c>
      <c r="E22" s="3">
        <f>SUMIFS($J$29:$J$528,$E$29:$E$528,$D22,$I$29:$I$528,"Expense")</f>
        <v/>
      </c>
      <c r="F22" s="3">
        <f>SUMIFS($J$29:$J$528,$E$29:$E$528,$D22,$I$29:$I$528,"Income")</f>
        <v/>
      </c>
      <c r="G22" s="3">
        <f>SUMIFS($J$29:$J$528,$E$29:$E$528,$D22,$I$29:$I$528,"Opening Balance")</f>
        <v/>
      </c>
    </row>
    <row r="23">
      <c r="D23" s="5" t="inlineStr">
        <is>
          <t>Income</t>
        </is>
      </c>
      <c r="E23" s="3">
        <f>SUMIFS($J$29:$J$528,$E$29:$E$528,$D23,$I$29:$I$528,"Expense")</f>
        <v/>
      </c>
      <c r="F23" s="3">
        <f>SUMIFS($J$29:$J$528,$E$29:$E$528,$D23,$I$29:$I$528,"Income")</f>
        <v/>
      </c>
      <c r="G23" s="3">
        <f>SUMIFS($J$29:$J$528,$E$29:$E$528,$D23,$I$29:$I$528,"Opening Balance")</f>
        <v/>
      </c>
    </row>
    <row r="24">
      <c r="D24" s="5" t="inlineStr">
        <is>
          <t>Transfers</t>
        </is>
      </c>
      <c r="E24" s="3">
        <f>SUMIFS($J$29:$J$528,$E$29:$E$528,$D24,$I$29:$I$528,"Expense")</f>
        <v/>
      </c>
      <c r="F24" s="3">
        <f>SUMIFS($J$29:$J$528,$E$29:$E$528,$D24,$I$29:$I$528,"Income")</f>
        <v/>
      </c>
      <c r="G24" s="3">
        <f>SUMIFS($J$29:$J$528,$E$29:$E$528,$D24,$I$29:$I$528,"Opening Balance")</f>
        <v/>
      </c>
    </row>
    <row r="25">
      <c r="D25" s="5" t="inlineStr">
        <is>
          <t>Existing Savings</t>
        </is>
      </c>
      <c r="E25" s="3">
        <f>SUMIFS($J$29:$J$528,$E$29:$E$528,$D25,$I$29:$I$528,"Expense")</f>
        <v/>
      </c>
      <c r="F25" s="3">
        <f>SUMIFS($J$29:$J$528,$E$29:$E$528,$D25,$I$29:$I$528,"Income")</f>
        <v/>
      </c>
      <c r="G25" s="3">
        <f>SUMIFS($J$29:$J$528,$E$29:$E$528,$D25,$I$29:$I$528,"Opening Balance")</f>
        <v/>
      </c>
    </row>
    <row r="26">
      <c r="D26" s="5" t="inlineStr">
        <is>
          <t>Essentials</t>
        </is>
      </c>
      <c r="E26" s="3">
        <f>SUMIFS($J$29:$J$528,$E$29:$E$528,$D26,$I$29:$I$528,"Expense")</f>
        <v/>
      </c>
      <c r="F26" s="3">
        <f>SUMIFS($J$29:$J$528,$E$29:$E$528,$D26,$I$29:$I$528,"Income")</f>
        <v/>
      </c>
      <c r="G26" s="3">
        <f>SUMIFS($J$29:$J$528,$E$29:$E$528,$D26,$I$29:$I$528,"Opening Balance")</f>
        <v/>
      </c>
    </row>
    <row r="27">
      <c r="A27" s="1" t="inlineStr">
        <is>
          <t>Transactions</t>
        </is>
      </c>
    </row>
    <row r="28">
      <c r="A28" s="2" t="inlineStr">
        <is>
          <t>Date</t>
        </is>
      </c>
      <c r="B28" s="2" t="inlineStr">
        <is>
          <t>Week</t>
        </is>
      </c>
      <c r="C28" s="2" t="inlineStr">
        <is>
          <t>Description</t>
        </is>
      </c>
      <c r="D28" s="2" t="inlineStr">
        <is>
          <t>Merchant</t>
        </is>
      </c>
      <c r="E28" s="2" t="inlineStr">
        <is>
          <t>Category</t>
        </is>
      </c>
      <c r="F28" s="2" t="inlineStr">
        <is>
          <t>Subcategory</t>
        </is>
      </c>
      <c r="G28" s="2" t="inlineStr">
        <is>
          <t>Account</t>
        </is>
      </c>
      <c r="H28" s="2" t="inlineStr">
        <is>
          <t>Payment Method</t>
        </is>
      </c>
      <c r="I28" s="2" t="inlineStr">
        <is>
          <t>Type</t>
        </is>
      </c>
      <c r="J28" s="2" t="inlineStr">
        <is>
          <t>Amount</t>
        </is>
      </c>
      <c r="K28" s="2" t="inlineStr">
        <is>
          <t>Notes</t>
        </is>
      </c>
    </row>
    <row r="29">
      <c r="A29" s="4" t="n"/>
      <c r="B29" s="9">
        <f>IF(A29="","",INT((DAY(A29)-1)/7)+1)</f>
        <v/>
      </c>
      <c r="C29" s="9" t="n"/>
      <c r="D29" s="9" t="n"/>
      <c r="E29" s="9" t="n"/>
      <c r="F29" s="9" t="n"/>
      <c r="G29" s="9" t="n"/>
      <c r="H29" s="9" t="n"/>
      <c r="I29" s="9" t="n"/>
      <c r="J29" s="3" t="n"/>
      <c r="K29" s="9" t="n"/>
    </row>
    <row r="30">
      <c r="A30" s="4" t="n"/>
      <c r="B30" s="9">
        <f>IF(A30="","",INT((DAY(A30)-1)/7)+1)</f>
        <v/>
      </c>
      <c r="C30" s="9" t="n"/>
      <c r="D30" s="9" t="n"/>
      <c r="E30" s="9" t="n"/>
      <c r="F30" s="9" t="n"/>
      <c r="G30" s="9" t="n"/>
      <c r="H30" s="9" t="n"/>
      <c r="I30" s="9" t="n"/>
      <c r="J30" s="3" t="n"/>
      <c r="K30" s="9" t="n"/>
    </row>
    <row r="31">
      <c r="A31" s="4" t="n"/>
      <c r="B31" s="9">
        <f>IF(A31="","",INT((DAY(A31)-1)/7)+1)</f>
        <v/>
      </c>
      <c r="C31" s="9" t="n"/>
      <c r="D31" s="9" t="n"/>
      <c r="E31" s="9" t="n"/>
      <c r="F31" s="9" t="n"/>
      <c r="G31" s="9" t="n"/>
      <c r="H31" s="9" t="n"/>
      <c r="I31" s="9" t="n"/>
      <c r="J31" s="3" t="n"/>
      <c r="K31" s="9" t="n"/>
    </row>
    <row r="32">
      <c r="A32" s="4" t="n"/>
      <c r="B32" s="9">
        <f>IF(A32="","",INT((DAY(A32)-1)/7)+1)</f>
        <v/>
      </c>
      <c r="C32" s="9" t="n"/>
      <c r="D32" s="9" t="n"/>
      <c r="E32" s="9" t="n"/>
      <c r="F32" s="9" t="n"/>
      <c r="G32" s="9" t="n"/>
      <c r="H32" s="9" t="n"/>
      <c r="I32" s="9" t="n"/>
      <c r="J32" s="3" t="n"/>
      <c r="K32" s="9" t="n"/>
    </row>
    <row r="33">
      <c r="A33" s="4" t="n"/>
      <c r="B33" s="9">
        <f>IF(A33="","",INT((DAY(A33)-1)/7)+1)</f>
        <v/>
      </c>
      <c r="C33" s="9" t="n"/>
      <c r="D33" s="9" t="n"/>
      <c r="E33" s="9" t="n"/>
      <c r="F33" s="9" t="n"/>
      <c r="G33" s="9" t="n"/>
      <c r="H33" s="9" t="n"/>
      <c r="I33" s="9" t="n"/>
      <c r="J33" s="3" t="n"/>
      <c r="K33" s="9" t="n"/>
    </row>
    <row r="34">
      <c r="A34" s="4" t="n"/>
      <c r="B34" s="9">
        <f>IF(A34="","",INT((DAY(A34)-1)/7)+1)</f>
        <v/>
      </c>
      <c r="C34" s="9" t="n"/>
      <c r="D34" s="9" t="n"/>
      <c r="E34" s="9" t="n"/>
      <c r="F34" s="9" t="n"/>
      <c r="G34" s="9" t="n"/>
      <c r="H34" s="9" t="n"/>
      <c r="I34" s="9" t="n"/>
      <c r="J34" s="3" t="n"/>
      <c r="K34" s="9" t="n"/>
    </row>
    <row r="35">
      <c r="A35" s="4" t="n"/>
      <c r="B35" s="9">
        <f>IF(A35="","",INT((DAY(A35)-1)/7)+1)</f>
        <v/>
      </c>
      <c r="C35" s="9" t="n"/>
      <c r="D35" s="9" t="n"/>
      <c r="E35" s="9" t="n"/>
      <c r="F35" s="9" t="n"/>
      <c r="G35" s="9" t="n"/>
      <c r="H35" s="9" t="n"/>
      <c r="I35" s="9" t="n"/>
      <c r="J35" s="3" t="n"/>
      <c r="K35" s="9" t="n"/>
    </row>
    <row r="36">
      <c r="A36" s="4" t="n"/>
      <c r="B36" s="9">
        <f>IF(A36="","",INT((DAY(A36)-1)/7)+1)</f>
        <v/>
      </c>
      <c r="C36" s="9" t="n"/>
      <c r="D36" s="9" t="n"/>
      <c r="E36" s="9" t="n"/>
      <c r="F36" s="9" t="n"/>
      <c r="G36" s="9" t="n"/>
      <c r="H36" s="9" t="n"/>
      <c r="I36" s="9" t="n"/>
      <c r="J36" s="3" t="n"/>
      <c r="K36" s="9" t="n"/>
    </row>
    <row r="37">
      <c r="A37" s="4" t="n"/>
      <c r="B37" s="9">
        <f>IF(A37="","",INT((DAY(A37)-1)/7)+1)</f>
        <v/>
      </c>
      <c r="C37" s="9" t="n"/>
      <c r="D37" s="9" t="n"/>
      <c r="E37" s="9" t="n"/>
      <c r="F37" s="9" t="n"/>
      <c r="G37" s="9" t="n"/>
      <c r="H37" s="9" t="n"/>
      <c r="I37" s="9" t="n"/>
      <c r="J37" s="3" t="n"/>
      <c r="K37" s="9" t="n"/>
    </row>
    <row r="38">
      <c r="A38" s="4" t="n"/>
      <c r="B38" s="9">
        <f>IF(A38="","",INT((DAY(A38)-1)/7)+1)</f>
        <v/>
      </c>
      <c r="C38" s="9" t="n"/>
      <c r="D38" s="9" t="n"/>
      <c r="E38" s="9" t="n"/>
      <c r="F38" s="9" t="n"/>
      <c r="G38" s="9" t="n"/>
      <c r="H38" s="9" t="n"/>
      <c r="I38" s="9" t="n"/>
      <c r="J38" s="3" t="n"/>
      <c r="K38" s="9" t="n"/>
    </row>
    <row r="39">
      <c r="A39" s="4" t="n"/>
      <c r="B39" s="9">
        <f>IF(A39="","",INT((DAY(A39)-1)/7)+1)</f>
        <v/>
      </c>
      <c r="C39" s="9" t="n"/>
      <c r="D39" s="9" t="n"/>
      <c r="E39" s="9" t="n"/>
      <c r="F39" s="9" t="n"/>
      <c r="G39" s="9" t="n"/>
      <c r="H39" s="9" t="n"/>
      <c r="I39" s="9" t="n"/>
      <c r="J39" s="3" t="n"/>
      <c r="K39" s="9" t="n"/>
    </row>
    <row r="40">
      <c r="A40" s="4" t="n"/>
      <c r="B40" s="9">
        <f>IF(A40="","",INT((DAY(A40)-1)/7)+1)</f>
        <v/>
      </c>
      <c r="C40" s="9" t="n"/>
      <c r="D40" s="9" t="n"/>
      <c r="E40" s="9" t="n"/>
      <c r="F40" s="9" t="n"/>
      <c r="G40" s="9" t="n"/>
      <c r="H40" s="9" t="n"/>
      <c r="I40" s="9" t="n"/>
      <c r="J40" s="3" t="n"/>
      <c r="K40" s="9" t="n"/>
    </row>
    <row r="41">
      <c r="A41" s="4" t="n"/>
      <c r="B41" s="9">
        <f>IF(A41="","",INT((DAY(A41)-1)/7)+1)</f>
        <v/>
      </c>
      <c r="C41" s="9" t="n"/>
      <c r="D41" s="9" t="n"/>
      <c r="E41" s="9" t="n"/>
      <c r="F41" s="9" t="n"/>
      <c r="G41" s="9" t="n"/>
      <c r="H41" s="9" t="n"/>
      <c r="I41" s="9" t="n"/>
      <c r="J41" s="3" t="n"/>
      <c r="K41" s="9" t="n"/>
    </row>
    <row r="42">
      <c r="A42" s="4" t="n"/>
      <c r="B42" s="9">
        <f>IF(A42="","",INT((DAY(A42)-1)/7)+1)</f>
        <v/>
      </c>
      <c r="C42" s="9" t="n"/>
      <c r="D42" s="9" t="n"/>
      <c r="E42" s="9" t="n"/>
      <c r="F42" s="9" t="n"/>
      <c r="G42" s="9" t="n"/>
      <c r="H42" s="9" t="n"/>
      <c r="I42" s="9" t="n"/>
      <c r="J42" s="3" t="n"/>
      <c r="K42" s="9" t="n"/>
    </row>
    <row r="43">
      <c r="A43" s="4" t="n"/>
      <c r="B43" s="9">
        <f>IF(A43="","",INT((DAY(A43)-1)/7)+1)</f>
        <v/>
      </c>
      <c r="C43" s="9" t="n"/>
      <c r="D43" s="9" t="n"/>
      <c r="E43" s="9" t="n"/>
      <c r="F43" s="9" t="n"/>
      <c r="G43" s="9" t="n"/>
      <c r="H43" s="9" t="n"/>
      <c r="I43" s="9" t="n"/>
      <c r="J43" s="3" t="n"/>
      <c r="K43" s="9" t="n"/>
    </row>
    <row r="44">
      <c r="A44" s="4" t="n"/>
      <c r="B44" s="9">
        <f>IF(A44="","",INT((DAY(A44)-1)/7)+1)</f>
        <v/>
      </c>
      <c r="C44" s="9" t="n"/>
      <c r="D44" s="9" t="n"/>
      <c r="E44" s="9" t="n"/>
      <c r="F44" s="9" t="n"/>
      <c r="G44" s="9" t="n"/>
      <c r="H44" s="9" t="n"/>
      <c r="I44" s="9" t="n"/>
      <c r="J44" s="3" t="n"/>
      <c r="K44" s="9" t="n"/>
    </row>
    <row r="45">
      <c r="A45" s="4" t="n"/>
      <c r="B45" s="9">
        <f>IF(A45="","",INT((DAY(A45)-1)/7)+1)</f>
        <v/>
      </c>
      <c r="C45" s="9" t="n"/>
      <c r="D45" s="9" t="n"/>
      <c r="E45" s="9" t="n"/>
      <c r="F45" s="9" t="n"/>
      <c r="G45" s="9" t="n"/>
      <c r="H45" s="9" t="n"/>
      <c r="I45" s="9" t="n"/>
      <c r="J45" s="3" t="n"/>
      <c r="K45" s="9" t="n"/>
    </row>
    <row r="46">
      <c r="A46" s="4" t="n"/>
      <c r="B46" s="9">
        <f>IF(A46="","",INT((DAY(A46)-1)/7)+1)</f>
        <v/>
      </c>
      <c r="C46" s="9" t="n"/>
      <c r="D46" s="9" t="n"/>
      <c r="E46" s="9" t="n"/>
      <c r="F46" s="9" t="n"/>
      <c r="G46" s="9" t="n"/>
      <c r="H46" s="9" t="n"/>
      <c r="I46" s="9" t="n"/>
      <c r="J46" s="3" t="n"/>
      <c r="K46" s="9" t="n"/>
    </row>
    <row r="47">
      <c r="A47" s="4" t="n"/>
      <c r="B47" s="9">
        <f>IF(A47="","",INT((DAY(A47)-1)/7)+1)</f>
        <v/>
      </c>
      <c r="C47" s="9" t="n"/>
      <c r="D47" s="9" t="n"/>
      <c r="E47" s="9" t="n"/>
      <c r="F47" s="9" t="n"/>
      <c r="G47" s="9" t="n"/>
      <c r="H47" s="9" t="n"/>
      <c r="I47" s="9" t="n"/>
      <c r="J47" s="3" t="n"/>
      <c r="K47" s="9" t="n"/>
    </row>
    <row r="48">
      <c r="A48" s="4" t="n"/>
      <c r="B48" s="9">
        <f>IF(A48="","",INT((DAY(A48)-1)/7)+1)</f>
        <v/>
      </c>
      <c r="C48" s="9" t="n"/>
      <c r="D48" s="9" t="n"/>
      <c r="E48" s="9" t="n"/>
      <c r="F48" s="9" t="n"/>
      <c r="G48" s="9" t="n"/>
      <c r="H48" s="9" t="n"/>
      <c r="I48" s="9" t="n"/>
      <c r="J48" s="3" t="n"/>
      <c r="K48" s="9" t="n"/>
    </row>
    <row r="49">
      <c r="A49" s="4" t="n"/>
      <c r="B49" s="9">
        <f>IF(A49="","",INT((DAY(A49)-1)/7)+1)</f>
        <v/>
      </c>
      <c r="C49" s="9" t="n"/>
      <c r="D49" s="9" t="n"/>
      <c r="E49" s="9" t="n"/>
      <c r="F49" s="9" t="n"/>
      <c r="G49" s="9" t="n"/>
      <c r="H49" s="9" t="n"/>
      <c r="I49" s="9" t="n"/>
      <c r="J49" s="3" t="n"/>
      <c r="K49" s="9" t="n"/>
    </row>
    <row r="50">
      <c r="A50" s="4" t="n"/>
      <c r="B50" s="9">
        <f>IF(A50="","",INT((DAY(A50)-1)/7)+1)</f>
        <v/>
      </c>
      <c r="C50" s="9" t="n"/>
      <c r="D50" s="9" t="n"/>
      <c r="E50" s="9" t="n"/>
      <c r="F50" s="9" t="n"/>
      <c r="G50" s="9" t="n"/>
      <c r="H50" s="9" t="n"/>
      <c r="I50" s="9" t="n"/>
      <c r="J50" s="3" t="n"/>
      <c r="K50" s="9" t="n"/>
    </row>
    <row r="51">
      <c r="A51" s="4" t="n"/>
      <c r="B51" s="9">
        <f>IF(A51="","",INT((DAY(A51)-1)/7)+1)</f>
        <v/>
      </c>
      <c r="C51" s="9" t="n"/>
      <c r="D51" s="9" t="n"/>
      <c r="E51" s="9" t="n"/>
      <c r="F51" s="9" t="n"/>
      <c r="G51" s="9" t="n"/>
      <c r="H51" s="9" t="n"/>
      <c r="I51" s="9" t="n"/>
      <c r="J51" s="3" t="n"/>
      <c r="K51" s="9" t="n"/>
    </row>
    <row r="52">
      <c r="A52" s="4" t="n"/>
      <c r="B52" s="9">
        <f>IF(A52="","",INT((DAY(A52)-1)/7)+1)</f>
        <v/>
      </c>
      <c r="C52" s="9" t="n"/>
      <c r="D52" s="9" t="n"/>
      <c r="E52" s="9" t="n"/>
      <c r="F52" s="9" t="n"/>
      <c r="G52" s="9" t="n"/>
      <c r="H52" s="9" t="n"/>
      <c r="I52" s="9" t="n"/>
      <c r="J52" s="3" t="n"/>
      <c r="K52" s="9" t="n"/>
    </row>
    <row r="53">
      <c r="A53" s="4" t="n"/>
      <c r="B53" s="9">
        <f>IF(A53="","",INT((DAY(A53)-1)/7)+1)</f>
        <v/>
      </c>
      <c r="C53" s="9" t="n"/>
      <c r="D53" s="9" t="n"/>
      <c r="E53" s="9" t="n"/>
      <c r="F53" s="9" t="n"/>
      <c r="G53" s="9" t="n"/>
      <c r="H53" s="9" t="n"/>
      <c r="I53" s="9" t="n"/>
      <c r="J53" s="3" t="n"/>
      <c r="K53" s="9" t="n"/>
    </row>
    <row r="54">
      <c r="A54" s="4" t="n"/>
      <c r="B54" s="9">
        <f>IF(A54="","",INT((DAY(A54)-1)/7)+1)</f>
        <v/>
      </c>
      <c r="C54" s="9" t="n"/>
      <c r="D54" s="9" t="n"/>
      <c r="E54" s="9" t="n"/>
      <c r="F54" s="9" t="n"/>
      <c r="G54" s="9" t="n"/>
      <c r="H54" s="9" t="n"/>
      <c r="I54" s="9" t="n"/>
      <c r="J54" s="3" t="n"/>
      <c r="K54" s="9" t="n"/>
    </row>
    <row r="55">
      <c r="A55" s="4" t="n"/>
      <c r="B55" s="9">
        <f>IF(A55="","",INT((DAY(A55)-1)/7)+1)</f>
        <v/>
      </c>
      <c r="C55" s="9" t="n"/>
      <c r="D55" s="9" t="n"/>
      <c r="E55" s="9" t="n"/>
      <c r="F55" s="9" t="n"/>
      <c r="G55" s="9" t="n"/>
      <c r="H55" s="9" t="n"/>
      <c r="I55" s="9" t="n"/>
      <c r="J55" s="3" t="n"/>
      <c r="K55" s="9" t="n"/>
    </row>
    <row r="56">
      <c r="A56" s="4" t="n"/>
      <c r="B56" s="9">
        <f>IF(A56="","",INT((DAY(A56)-1)/7)+1)</f>
        <v/>
      </c>
      <c r="C56" s="9" t="n"/>
      <c r="D56" s="9" t="n"/>
      <c r="E56" s="9" t="n"/>
      <c r="F56" s="9" t="n"/>
      <c r="G56" s="9" t="n"/>
      <c r="H56" s="9" t="n"/>
      <c r="I56" s="9" t="n"/>
      <c r="J56" s="3" t="n"/>
      <c r="K56" s="9" t="n"/>
    </row>
    <row r="57">
      <c r="A57" s="4" t="n"/>
      <c r="B57" s="9">
        <f>IF(A57="","",INT((DAY(A57)-1)/7)+1)</f>
        <v/>
      </c>
      <c r="C57" s="9" t="n"/>
      <c r="D57" s="9" t="n"/>
      <c r="E57" s="9" t="n"/>
      <c r="F57" s="9" t="n"/>
      <c r="G57" s="9" t="n"/>
      <c r="H57" s="9" t="n"/>
      <c r="I57" s="9" t="n"/>
      <c r="J57" s="3" t="n"/>
      <c r="K57" s="9" t="n"/>
    </row>
    <row r="58">
      <c r="A58" s="4" t="n"/>
      <c r="B58" s="9">
        <f>IF(A58="","",INT((DAY(A58)-1)/7)+1)</f>
        <v/>
      </c>
      <c r="C58" s="9" t="n"/>
      <c r="D58" s="9" t="n"/>
      <c r="E58" s="9" t="n"/>
      <c r="F58" s="9" t="n"/>
      <c r="G58" s="9" t="n"/>
      <c r="H58" s="9" t="n"/>
      <c r="I58" s="9" t="n"/>
      <c r="J58" s="3" t="n"/>
      <c r="K58" s="9" t="n"/>
    </row>
    <row r="59">
      <c r="A59" s="4" t="n"/>
      <c r="B59" s="9">
        <f>IF(A59="","",INT((DAY(A59)-1)/7)+1)</f>
        <v/>
      </c>
      <c r="C59" s="9" t="n"/>
      <c r="D59" s="9" t="n"/>
      <c r="E59" s="9" t="n"/>
      <c r="F59" s="9" t="n"/>
      <c r="G59" s="9" t="n"/>
      <c r="H59" s="9" t="n"/>
      <c r="I59" s="9" t="n"/>
      <c r="J59" s="3" t="n"/>
      <c r="K59" s="9" t="n"/>
    </row>
    <row r="60">
      <c r="A60" s="4" t="n"/>
      <c r="B60" s="9">
        <f>IF(A60="","",INT((DAY(A60)-1)/7)+1)</f>
        <v/>
      </c>
      <c r="C60" s="9" t="n"/>
      <c r="D60" s="9" t="n"/>
      <c r="E60" s="9" t="n"/>
      <c r="F60" s="9" t="n"/>
      <c r="G60" s="9" t="n"/>
      <c r="H60" s="9" t="n"/>
      <c r="I60" s="9" t="n"/>
      <c r="J60" s="3" t="n"/>
      <c r="K60" s="9" t="n"/>
    </row>
    <row r="61">
      <c r="A61" s="4" t="n"/>
      <c r="B61" s="9">
        <f>IF(A61="","",INT((DAY(A61)-1)/7)+1)</f>
        <v/>
      </c>
      <c r="C61" s="9" t="n"/>
      <c r="D61" s="9" t="n"/>
      <c r="E61" s="9" t="n"/>
      <c r="F61" s="9" t="n"/>
      <c r="G61" s="9" t="n"/>
      <c r="H61" s="9" t="n"/>
      <c r="I61" s="9" t="n"/>
      <c r="J61" s="3" t="n"/>
      <c r="K61" s="9" t="n"/>
    </row>
    <row r="62">
      <c r="A62" s="4" t="n"/>
      <c r="B62" s="9">
        <f>IF(A62="","",INT((DAY(A62)-1)/7)+1)</f>
        <v/>
      </c>
      <c r="C62" s="9" t="n"/>
      <c r="D62" s="9" t="n"/>
      <c r="E62" s="9" t="n"/>
      <c r="F62" s="9" t="n"/>
      <c r="G62" s="9" t="n"/>
      <c r="H62" s="9" t="n"/>
      <c r="I62" s="9" t="n"/>
      <c r="J62" s="3" t="n"/>
      <c r="K62" s="9" t="n"/>
    </row>
    <row r="63">
      <c r="A63" s="4" t="n"/>
      <c r="B63" s="9">
        <f>IF(A63="","",INT((DAY(A63)-1)/7)+1)</f>
        <v/>
      </c>
      <c r="C63" s="9" t="n"/>
      <c r="D63" s="9" t="n"/>
      <c r="E63" s="9" t="n"/>
      <c r="F63" s="9" t="n"/>
      <c r="G63" s="9" t="n"/>
      <c r="H63" s="9" t="n"/>
      <c r="I63" s="9" t="n"/>
      <c r="J63" s="3" t="n"/>
      <c r="K63" s="9" t="n"/>
    </row>
    <row r="64">
      <c r="A64" s="4" t="n"/>
      <c r="B64" s="9">
        <f>IF(A64="","",INT((DAY(A64)-1)/7)+1)</f>
        <v/>
      </c>
      <c r="C64" s="9" t="n"/>
      <c r="D64" s="9" t="n"/>
      <c r="E64" s="9" t="n"/>
      <c r="F64" s="9" t="n"/>
      <c r="G64" s="9" t="n"/>
      <c r="H64" s="9" t="n"/>
      <c r="I64" s="9" t="n"/>
      <c r="J64" s="3" t="n"/>
      <c r="K64" s="9" t="n"/>
    </row>
    <row r="65">
      <c r="A65" s="4" t="n"/>
      <c r="B65" s="9">
        <f>IF(A65="","",INT((DAY(A65)-1)/7)+1)</f>
        <v/>
      </c>
      <c r="C65" s="9" t="n"/>
      <c r="D65" s="9" t="n"/>
      <c r="E65" s="9" t="n"/>
      <c r="F65" s="9" t="n"/>
      <c r="G65" s="9" t="n"/>
      <c r="H65" s="9" t="n"/>
      <c r="I65" s="9" t="n"/>
      <c r="J65" s="3" t="n"/>
      <c r="K65" s="9" t="n"/>
    </row>
    <row r="66">
      <c r="A66" s="4" t="n"/>
      <c r="B66" s="9">
        <f>IF(A66="","",INT((DAY(A66)-1)/7)+1)</f>
        <v/>
      </c>
      <c r="C66" s="9" t="n"/>
      <c r="D66" s="9" t="n"/>
      <c r="E66" s="9" t="n"/>
      <c r="F66" s="9" t="n"/>
      <c r="G66" s="9" t="n"/>
      <c r="H66" s="9" t="n"/>
      <c r="I66" s="9" t="n"/>
      <c r="J66" s="3" t="n"/>
      <c r="K66" s="9" t="n"/>
    </row>
    <row r="67">
      <c r="A67" s="4" t="n"/>
      <c r="B67" s="9">
        <f>IF(A67="","",INT((DAY(A67)-1)/7)+1)</f>
        <v/>
      </c>
      <c r="C67" s="9" t="n"/>
      <c r="D67" s="9" t="n"/>
      <c r="E67" s="9" t="n"/>
      <c r="F67" s="9" t="n"/>
      <c r="G67" s="9" t="n"/>
      <c r="H67" s="9" t="n"/>
      <c r="I67" s="9" t="n"/>
      <c r="J67" s="3" t="n"/>
      <c r="K67" s="9" t="n"/>
    </row>
    <row r="68">
      <c r="A68" s="4" t="n"/>
      <c r="B68" s="9">
        <f>IF(A68="","",INT((DAY(A68)-1)/7)+1)</f>
        <v/>
      </c>
      <c r="C68" s="9" t="n"/>
      <c r="D68" s="9" t="n"/>
      <c r="E68" s="9" t="n"/>
      <c r="F68" s="9" t="n"/>
      <c r="G68" s="9" t="n"/>
      <c r="H68" s="9" t="n"/>
      <c r="I68" s="9" t="n"/>
      <c r="J68" s="3" t="n"/>
      <c r="K68" s="9" t="n"/>
    </row>
    <row r="69">
      <c r="A69" s="4" t="n"/>
      <c r="B69" s="9">
        <f>IF(A69="","",INT((DAY(A69)-1)/7)+1)</f>
        <v/>
      </c>
      <c r="C69" s="9" t="n"/>
      <c r="D69" s="9" t="n"/>
      <c r="E69" s="9" t="n"/>
      <c r="F69" s="9" t="n"/>
      <c r="G69" s="9" t="n"/>
      <c r="H69" s="9" t="n"/>
      <c r="I69" s="9" t="n"/>
      <c r="J69" s="3" t="n"/>
      <c r="K69" s="9" t="n"/>
    </row>
    <row r="70">
      <c r="A70" s="4" t="n"/>
      <c r="B70" s="9">
        <f>IF(A70="","",INT((DAY(A70)-1)/7)+1)</f>
        <v/>
      </c>
      <c r="C70" s="9" t="n"/>
      <c r="D70" s="9" t="n"/>
      <c r="E70" s="9" t="n"/>
      <c r="F70" s="9" t="n"/>
      <c r="G70" s="9" t="n"/>
      <c r="H70" s="9" t="n"/>
      <c r="I70" s="9" t="n"/>
      <c r="J70" s="3" t="n"/>
      <c r="K70" s="9" t="n"/>
    </row>
    <row r="71">
      <c r="A71" s="4" t="n"/>
      <c r="B71" s="9">
        <f>IF(A71="","",INT((DAY(A71)-1)/7)+1)</f>
        <v/>
      </c>
      <c r="C71" s="9" t="n"/>
      <c r="D71" s="9" t="n"/>
      <c r="E71" s="9" t="n"/>
      <c r="F71" s="9" t="n"/>
      <c r="G71" s="9" t="n"/>
      <c r="H71" s="9" t="n"/>
      <c r="I71" s="9" t="n"/>
      <c r="J71" s="3" t="n"/>
      <c r="K71" s="9" t="n"/>
    </row>
    <row r="72">
      <c r="A72" s="4" t="n"/>
      <c r="B72" s="9">
        <f>IF(A72="","",INT((DAY(A72)-1)/7)+1)</f>
        <v/>
      </c>
      <c r="C72" s="9" t="n"/>
      <c r="D72" s="9" t="n"/>
      <c r="E72" s="9" t="n"/>
      <c r="F72" s="9" t="n"/>
      <c r="G72" s="9" t="n"/>
      <c r="H72" s="9" t="n"/>
      <c r="I72" s="9" t="n"/>
      <c r="J72" s="3" t="n"/>
      <c r="K72" s="9" t="n"/>
    </row>
    <row r="73">
      <c r="A73" s="4" t="n"/>
      <c r="B73" s="9">
        <f>IF(A73="","",INT((DAY(A73)-1)/7)+1)</f>
        <v/>
      </c>
      <c r="C73" s="9" t="n"/>
      <c r="D73" s="9" t="n"/>
      <c r="E73" s="9" t="n"/>
      <c r="F73" s="9" t="n"/>
      <c r="G73" s="9" t="n"/>
      <c r="H73" s="9" t="n"/>
      <c r="I73" s="9" t="n"/>
      <c r="J73" s="3" t="n"/>
      <c r="K73" s="9" t="n"/>
    </row>
    <row r="74">
      <c r="A74" s="4" t="n"/>
      <c r="B74" s="9">
        <f>IF(A74="","",INT((DAY(A74)-1)/7)+1)</f>
        <v/>
      </c>
      <c r="C74" s="9" t="n"/>
      <c r="D74" s="9" t="n"/>
      <c r="E74" s="9" t="n"/>
      <c r="F74" s="9" t="n"/>
      <c r="G74" s="9" t="n"/>
      <c r="H74" s="9" t="n"/>
      <c r="I74" s="9" t="n"/>
      <c r="J74" s="3" t="n"/>
      <c r="K74" s="9" t="n"/>
    </row>
    <row r="75">
      <c r="A75" s="4" t="n"/>
      <c r="B75" s="9">
        <f>IF(A75="","",INT((DAY(A75)-1)/7)+1)</f>
        <v/>
      </c>
      <c r="C75" s="9" t="n"/>
      <c r="D75" s="9" t="n"/>
      <c r="E75" s="9" t="n"/>
      <c r="F75" s="9" t="n"/>
      <c r="G75" s="9" t="n"/>
      <c r="H75" s="9" t="n"/>
      <c r="I75" s="9" t="n"/>
      <c r="J75" s="3" t="n"/>
      <c r="K75" s="9" t="n"/>
    </row>
    <row r="76">
      <c r="A76" s="4" t="n"/>
      <c r="B76" s="9">
        <f>IF(A76="","",INT((DAY(A76)-1)/7)+1)</f>
        <v/>
      </c>
      <c r="C76" s="9" t="n"/>
      <c r="D76" s="9" t="n"/>
      <c r="E76" s="9" t="n"/>
      <c r="F76" s="9" t="n"/>
      <c r="G76" s="9" t="n"/>
      <c r="H76" s="9" t="n"/>
      <c r="I76" s="9" t="n"/>
      <c r="J76" s="3" t="n"/>
      <c r="K76" s="9" t="n"/>
    </row>
    <row r="77">
      <c r="A77" s="4" t="n"/>
      <c r="B77" s="9">
        <f>IF(A77="","",INT((DAY(A77)-1)/7)+1)</f>
        <v/>
      </c>
      <c r="C77" s="9" t="n"/>
      <c r="D77" s="9" t="n"/>
      <c r="E77" s="9" t="n"/>
      <c r="F77" s="9" t="n"/>
      <c r="G77" s="9" t="n"/>
      <c r="H77" s="9" t="n"/>
      <c r="I77" s="9" t="n"/>
      <c r="J77" s="3" t="n"/>
      <c r="K77" s="9" t="n"/>
    </row>
    <row r="78">
      <c r="A78" s="4" t="n"/>
      <c r="B78" s="9">
        <f>IF(A78="","",INT((DAY(A78)-1)/7)+1)</f>
        <v/>
      </c>
      <c r="C78" s="9" t="n"/>
      <c r="D78" s="9" t="n"/>
      <c r="E78" s="9" t="n"/>
      <c r="F78" s="9" t="n"/>
      <c r="G78" s="9" t="n"/>
      <c r="H78" s="9" t="n"/>
      <c r="I78" s="9" t="n"/>
      <c r="J78" s="3" t="n"/>
      <c r="K78" s="9" t="n"/>
    </row>
    <row r="79">
      <c r="A79" s="4" t="n"/>
      <c r="B79" s="9">
        <f>IF(A79="","",INT((DAY(A79)-1)/7)+1)</f>
        <v/>
      </c>
      <c r="C79" s="9" t="n"/>
      <c r="D79" s="9" t="n"/>
      <c r="E79" s="9" t="n"/>
      <c r="F79" s="9" t="n"/>
      <c r="G79" s="9" t="n"/>
      <c r="H79" s="9" t="n"/>
      <c r="I79" s="9" t="n"/>
      <c r="J79" s="3" t="n"/>
      <c r="K79" s="9" t="n"/>
    </row>
    <row r="80">
      <c r="A80" s="4" t="n"/>
      <c r="B80" s="9">
        <f>IF(A80="","",INT((DAY(A80)-1)/7)+1)</f>
        <v/>
      </c>
      <c r="C80" s="9" t="n"/>
      <c r="D80" s="9" t="n"/>
      <c r="E80" s="9" t="n"/>
      <c r="F80" s="9" t="n"/>
      <c r="G80" s="9" t="n"/>
      <c r="H80" s="9" t="n"/>
      <c r="I80" s="9" t="n"/>
      <c r="J80" s="3" t="n"/>
      <c r="K80" s="9" t="n"/>
    </row>
    <row r="81">
      <c r="A81" s="4" t="n"/>
      <c r="B81" s="9">
        <f>IF(A81="","",INT((DAY(A81)-1)/7)+1)</f>
        <v/>
      </c>
      <c r="C81" s="9" t="n"/>
      <c r="D81" s="9" t="n"/>
      <c r="E81" s="9" t="n"/>
      <c r="F81" s="9" t="n"/>
      <c r="G81" s="9" t="n"/>
      <c r="H81" s="9" t="n"/>
      <c r="I81" s="9" t="n"/>
      <c r="J81" s="3" t="n"/>
      <c r="K81" s="9" t="n"/>
    </row>
    <row r="82">
      <c r="A82" s="4" t="n"/>
      <c r="B82" s="9">
        <f>IF(A82="","",INT((DAY(A82)-1)/7)+1)</f>
        <v/>
      </c>
      <c r="C82" s="9" t="n"/>
      <c r="D82" s="9" t="n"/>
      <c r="E82" s="9" t="n"/>
      <c r="F82" s="9" t="n"/>
      <c r="G82" s="9" t="n"/>
      <c r="H82" s="9" t="n"/>
      <c r="I82" s="9" t="n"/>
      <c r="J82" s="3" t="n"/>
      <c r="K82" s="9" t="n"/>
    </row>
    <row r="83">
      <c r="A83" s="4" t="n"/>
      <c r="B83" s="9">
        <f>IF(A83="","",INT((DAY(A83)-1)/7)+1)</f>
        <v/>
      </c>
      <c r="C83" s="9" t="n"/>
      <c r="D83" s="9" t="n"/>
      <c r="E83" s="9" t="n"/>
      <c r="F83" s="9" t="n"/>
      <c r="G83" s="9" t="n"/>
      <c r="H83" s="9" t="n"/>
      <c r="I83" s="9" t="n"/>
      <c r="J83" s="3" t="n"/>
      <c r="K83" s="9" t="n"/>
    </row>
    <row r="84">
      <c r="A84" s="4" t="n"/>
      <c r="B84" s="9">
        <f>IF(A84="","",INT((DAY(A84)-1)/7)+1)</f>
        <v/>
      </c>
      <c r="C84" s="9" t="n"/>
      <c r="D84" s="9" t="n"/>
      <c r="E84" s="9" t="n"/>
      <c r="F84" s="9" t="n"/>
      <c r="G84" s="9" t="n"/>
      <c r="H84" s="9" t="n"/>
      <c r="I84" s="9" t="n"/>
      <c r="J84" s="3" t="n"/>
      <c r="K84" s="9" t="n"/>
    </row>
    <row r="85">
      <c r="A85" s="4" t="n"/>
      <c r="B85" s="9">
        <f>IF(A85="","",INT((DAY(A85)-1)/7)+1)</f>
        <v/>
      </c>
      <c r="C85" s="9" t="n"/>
      <c r="D85" s="9" t="n"/>
      <c r="E85" s="9" t="n"/>
      <c r="F85" s="9" t="n"/>
      <c r="G85" s="9" t="n"/>
      <c r="H85" s="9" t="n"/>
      <c r="I85" s="9" t="n"/>
      <c r="J85" s="3" t="n"/>
      <c r="K85" s="9" t="n"/>
    </row>
    <row r="86">
      <c r="A86" s="4" t="n"/>
      <c r="B86" s="9">
        <f>IF(A86="","",INT((DAY(A86)-1)/7)+1)</f>
        <v/>
      </c>
      <c r="C86" s="9" t="n"/>
      <c r="D86" s="9" t="n"/>
      <c r="E86" s="9" t="n"/>
      <c r="F86" s="9" t="n"/>
      <c r="G86" s="9" t="n"/>
      <c r="H86" s="9" t="n"/>
      <c r="I86" s="9" t="n"/>
      <c r="J86" s="3" t="n"/>
      <c r="K86" s="9" t="n"/>
    </row>
    <row r="87">
      <c r="A87" s="4" t="n"/>
      <c r="B87" s="9">
        <f>IF(A87="","",INT((DAY(A87)-1)/7)+1)</f>
        <v/>
      </c>
      <c r="C87" s="9" t="n"/>
      <c r="D87" s="9" t="n"/>
      <c r="E87" s="9" t="n"/>
      <c r="F87" s="9" t="n"/>
      <c r="G87" s="9" t="n"/>
      <c r="H87" s="9" t="n"/>
      <c r="I87" s="9" t="n"/>
      <c r="J87" s="3" t="n"/>
      <c r="K87" s="9" t="n"/>
    </row>
    <row r="88">
      <c r="A88" s="4" t="n"/>
      <c r="B88" s="9">
        <f>IF(A88="","",INT((DAY(A88)-1)/7)+1)</f>
        <v/>
      </c>
      <c r="C88" s="9" t="n"/>
      <c r="D88" s="9" t="n"/>
      <c r="E88" s="9" t="n"/>
      <c r="F88" s="9" t="n"/>
      <c r="G88" s="9" t="n"/>
      <c r="H88" s="9" t="n"/>
      <c r="I88" s="9" t="n"/>
      <c r="J88" s="3" t="n"/>
      <c r="K88" s="9" t="n"/>
    </row>
    <row r="89">
      <c r="A89" s="4" t="n"/>
      <c r="B89" s="9">
        <f>IF(A89="","",INT((DAY(A89)-1)/7)+1)</f>
        <v/>
      </c>
      <c r="C89" s="9" t="n"/>
      <c r="D89" s="9" t="n"/>
      <c r="E89" s="9" t="n"/>
      <c r="F89" s="9" t="n"/>
      <c r="G89" s="9" t="n"/>
      <c r="H89" s="9" t="n"/>
      <c r="I89" s="9" t="n"/>
      <c r="J89" s="3" t="n"/>
      <c r="K89" s="9" t="n"/>
    </row>
    <row r="90">
      <c r="A90" s="4" t="n"/>
      <c r="B90" s="9">
        <f>IF(A90="","",INT((DAY(A90)-1)/7)+1)</f>
        <v/>
      </c>
      <c r="C90" s="9" t="n"/>
      <c r="D90" s="9" t="n"/>
      <c r="E90" s="9" t="n"/>
      <c r="F90" s="9" t="n"/>
      <c r="G90" s="9" t="n"/>
      <c r="H90" s="9" t="n"/>
      <c r="I90" s="9" t="n"/>
      <c r="J90" s="3" t="n"/>
      <c r="K90" s="9" t="n"/>
    </row>
    <row r="91">
      <c r="A91" s="4" t="n"/>
      <c r="B91" s="9">
        <f>IF(A91="","",INT((DAY(A91)-1)/7)+1)</f>
        <v/>
      </c>
      <c r="C91" s="9" t="n"/>
      <c r="D91" s="9" t="n"/>
      <c r="E91" s="9" t="n"/>
      <c r="F91" s="9" t="n"/>
      <c r="G91" s="9" t="n"/>
      <c r="H91" s="9" t="n"/>
      <c r="I91" s="9" t="n"/>
      <c r="J91" s="3" t="n"/>
      <c r="K91" s="9" t="n"/>
    </row>
    <row r="92">
      <c r="A92" s="4" t="n"/>
      <c r="B92" s="9">
        <f>IF(A92="","",INT((DAY(A92)-1)/7)+1)</f>
        <v/>
      </c>
      <c r="C92" s="9" t="n"/>
      <c r="D92" s="9" t="n"/>
      <c r="E92" s="9" t="n"/>
      <c r="F92" s="9" t="n"/>
      <c r="G92" s="9" t="n"/>
      <c r="H92" s="9" t="n"/>
      <c r="I92" s="9" t="n"/>
      <c r="J92" s="3" t="n"/>
      <c r="K92" s="9" t="n"/>
    </row>
    <row r="93">
      <c r="A93" s="4" t="n"/>
      <c r="B93" s="9">
        <f>IF(A93="","",INT((DAY(A93)-1)/7)+1)</f>
        <v/>
      </c>
      <c r="C93" s="9" t="n"/>
      <c r="D93" s="9" t="n"/>
      <c r="E93" s="9" t="n"/>
      <c r="F93" s="9" t="n"/>
      <c r="G93" s="9" t="n"/>
      <c r="H93" s="9" t="n"/>
      <c r="I93" s="9" t="n"/>
      <c r="J93" s="3" t="n"/>
      <c r="K93" s="9" t="n"/>
    </row>
    <row r="94">
      <c r="A94" s="4" t="n"/>
      <c r="B94" s="9">
        <f>IF(A94="","",INT((DAY(A94)-1)/7)+1)</f>
        <v/>
      </c>
      <c r="C94" s="9" t="n"/>
      <c r="D94" s="9" t="n"/>
      <c r="E94" s="9" t="n"/>
      <c r="F94" s="9" t="n"/>
      <c r="G94" s="9" t="n"/>
      <c r="H94" s="9" t="n"/>
      <c r="I94" s="9" t="n"/>
      <c r="J94" s="3" t="n"/>
      <c r="K94" s="9" t="n"/>
    </row>
    <row r="95">
      <c r="A95" s="4" t="n"/>
      <c r="B95" s="9">
        <f>IF(A95="","",INT((DAY(A95)-1)/7)+1)</f>
        <v/>
      </c>
      <c r="C95" s="9" t="n"/>
      <c r="D95" s="9" t="n"/>
      <c r="E95" s="9" t="n"/>
      <c r="F95" s="9" t="n"/>
      <c r="G95" s="9" t="n"/>
      <c r="H95" s="9" t="n"/>
      <c r="I95" s="9" t="n"/>
      <c r="J95" s="3" t="n"/>
      <c r="K95" s="9" t="n"/>
    </row>
    <row r="96">
      <c r="A96" s="4" t="n"/>
      <c r="B96" s="9">
        <f>IF(A96="","",INT((DAY(A96)-1)/7)+1)</f>
        <v/>
      </c>
      <c r="C96" s="9" t="n"/>
      <c r="D96" s="9" t="n"/>
      <c r="E96" s="9" t="n"/>
      <c r="F96" s="9" t="n"/>
      <c r="G96" s="9" t="n"/>
      <c r="H96" s="9" t="n"/>
      <c r="I96" s="9" t="n"/>
      <c r="J96" s="3" t="n"/>
      <c r="K96" s="9" t="n"/>
    </row>
    <row r="97">
      <c r="A97" s="4" t="n"/>
      <c r="B97" s="9">
        <f>IF(A97="","",INT((DAY(A97)-1)/7)+1)</f>
        <v/>
      </c>
      <c r="C97" s="9" t="n"/>
      <c r="D97" s="9" t="n"/>
      <c r="E97" s="9" t="n"/>
      <c r="F97" s="9" t="n"/>
      <c r="G97" s="9" t="n"/>
      <c r="H97" s="9" t="n"/>
      <c r="I97" s="9" t="n"/>
      <c r="J97" s="3" t="n"/>
      <c r="K97" s="9" t="n"/>
    </row>
    <row r="98">
      <c r="A98" s="4" t="n"/>
      <c r="B98" s="9">
        <f>IF(A98="","",INT((DAY(A98)-1)/7)+1)</f>
        <v/>
      </c>
      <c r="C98" s="9" t="n"/>
      <c r="D98" s="9" t="n"/>
      <c r="E98" s="9" t="n"/>
      <c r="F98" s="9" t="n"/>
      <c r="G98" s="9" t="n"/>
      <c r="H98" s="9" t="n"/>
      <c r="I98" s="9" t="n"/>
      <c r="J98" s="3" t="n"/>
      <c r="K98" s="9" t="n"/>
    </row>
    <row r="99">
      <c r="A99" s="4" t="n"/>
      <c r="B99" s="9">
        <f>IF(A99="","",INT((DAY(A99)-1)/7)+1)</f>
        <v/>
      </c>
      <c r="C99" s="9" t="n"/>
      <c r="D99" s="9" t="n"/>
      <c r="E99" s="9" t="n"/>
      <c r="F99" s="9" t="n"/>
      <c r="G99" s="9" t="n"/>
      <c r="H99" s="9" t="n"/>
      <c r="I99" s="9" t="n"/>
      <c r="J99" s="3" t="n"/>
      <c r="K99" s="9" t="n"/>
    </row>
    <row r="100">
      <c r="A100" s="4" t="n"/>
      <c r="B100" s="9">
        <f>IF(A100="","",INT((DAY(A100)-1)/7)+1)</f>
        <v/>
      </c>
      <c r="C100" s="9" t="n"/>
      <c r="D100" s="9" t="n"/>
      <c r="E100" s="9" t="n"/>
      <c r="F100" s="9" t="n"/>
      <c r="G100" s="9" t="n"/>
      <c r="H100" s="9" t="n"/>
      <c r="I100" s="9" t="n"/>
      <c r="J100" s="3" t="n"/>
      <c r="K100" s="9" t="n"/>
    </row>
    <row r="101">
      <c r="A101" s="4" t="n"/>
      <c r="B101" s="9">
        <f>IF(A101="","",INT((DAY(A101)-1)/7)+1)</f>
        <v/>
      </c>
      <c r="C101" s="9" t="n"/>
      <c r="D101" s="9" t="n"/>
      <c r="E101" s="9" t="n"/>
      <c r="F101" s="9" t="n"/>
      <c r="G101" s="9" t="n"/>
      <c r="H101" s="9" t="n"/>
      <c r="I101" s="9" t="n"/>
      <c r="J101" s="3" t="n"/>
      <c r="K101" s="9" t="n"/>
    </row>
    <row r="102">
      <c r="A102" s="4" t="n"/>
      <c r="B102" s="9">
        <f>IF(A102="","",INT((DAY(A102)-1)/7)+1)</f>
        <v/>
      </c>
      <c r="C102" s="9" t="n"/>
      <c r="D102" s="9" t="n"/>
      <c r="E102" s="9" t="n"/>
      <c r="F102" s="9" t="n"/>
      <c r="G102" s="9" t="n"/>
      <c r="H102" s="9" t="n"/>
      <c r="I102" s="9" t="n"/>
      <c r="J102" s="3" t="n"/>
      <c r="K102" s="9" t="n"/>
    </row>
    <row r="103">
      <c r="A103" s="4" t="n"/>
      <c r="B103" s="9">
        <f>IF(A103="","",INT((DAY(A103)-1)/7)+1)</f>
        <v/>
      </c>
      <c r="C103" s="9" t="n"/>
      <c r="D103" s="9" t="n"/>
      <c r="E103" s="9" t="n"/>
      <c r="F103" s="9" t="n"/>
      <c r="G103" s="9" t="n"/>
      <c r="H103" s="9" t="n"/>
      <c r="I103" s="9" t="n"/>
      <c r="J103" s="3" t="n"/>
      <c r="K103" s="9" t="n"/>
    </row>
    <row r="104">
      <c r="A104" s="4" t="n"/>
      <c r="B104" s="9">
        <f>IF(A104="","",INT((DAY(A104)-1)/7)+1)</f>
        <v/>
      </c>
      <c r="C104" s="9" t="n"/>
      <c r="D104" s="9" t="n"/>
      <c r="E104" s="9" t="n"/>
      <c r="F104" s="9" t="n"/>
      <c r="G104" s="9" t="n"/>
      <c r="H104" s="9" t="n"/>
      <c r="I104" s="9" t="n"/>
      <c r="J104" s="3" t="n"/>
      <c r="K104" s="9" t="n"/>
    </row>
    <row r="105">
      <c r="A105" s="4" t="n"/>
      <c r="B105" s="9">
        <f>IF(A105="","",INT((DAY(A105)-1)/7)+1)</f>
        <v/>
      </c>
      <c r="C105" s="9" t="n"/>
      <c r="D105" s="9" t="n"/>
      <c r="E105" s="9" t="n"/>
      <c r="F105" s="9" t="n"/>
      <c r="G105" s="9" t="n"/>
      <c r="H105" s="9" t="n"/>
      <c r="I105" s="9" t="n"/>
      <c r="J105" s="3" t="n"/>
      <c r="K105" s="9" t="n"/>
    </row>
    <row r="106">
      <c r="A106" s="4" t="n"/>
      <c r="B106" s="9">
        <f>IF(A106="","",INT((DAY(A106)-1)/7)+1)</f>
        <v/>
      </c>
      <c r="C106" s="9" t="n"/>
      <c r="D106" s="9" t="n"/>
      <c r="E106" s="9" t="n"/>
      <c r="F106" s="9" t="n"/>
      <c r="G106" s="9" t="n"/>
      <c r="H106" s="9" t="n"/>
      <c r="I106" s="9" t="n"/>
      <c r="J106" s="3" t="n"/>
      <c r="K106" s="9" t="n"/>
    </row>
    <row r="107">
      <c r="A107" s="4" t="n"/>
      <c r="B107" s="9">
        <f>IF(A107="","",INT((DAY(A107)-1)/7)+1)</f>
        <v/>
      </c>
      <c r="C107" s="9" t="n"/>
      <c r="D107" s="9" t="n"/>
      <c r="E107" s="9" t="n"/>
      <c r="F107" s="9" t="n"/>
      <c r="G107" s="9" t="n"/>
      <c r="H107" s="9" t="n"/>
      <c r="I107" s="9" t="n"/>
      <c r="J107" s="3" t="n"/>
      <c r="K107" s="9" t="n"/>
    </row>
    <row r="108">
      <c r="A108" s="4" t="n"/>
      <c r="B108" s="9">
        <f>IF(A108="","",INT((DAY(A108)-1)/7)+1)</f>
        <v/>
      </c>
      <c r="C108" s="9" t="n"/>
      <c r="D108" s="9" t="n"/>
      <c r="E108" s="9" t="n"/>
      <c r="F108" s="9" t="n"/>
      <c r="G108" s="9" t="n"/>
      <c r="H108" s="9" t="n"/>
      <c r="I108" s="9" t="n"/>
      <c r="J108" s="3" t="n"/>
      <c r="K108" s="9" t="n"/>
    </row>
    <row r="109">
      <c r="A109" s="4" t="n"/>
      <c r="B109" s="9">
        <f>IF(A109="","",INT((DAY(A109)-1)/7)+1)</f>
        <v/>
      </c>
      <c r="C109" s="9" t="n"/>
      <c r="D109" s="9" t="n"/>
      <c r="E109" s="9" t="n"/>
      <c r="F109" s="9" t="n"/>
      <c r="G109" s="9" t="n"/>
      <c r="H109" s="9" t="n"/>
      <c r="I109" s="9" t="n"/>
      <c r="J109" s="3" t="n"/>
      <c r="K109" s="9" t="n"/>
    </row>
    <row r="110">
      <c r="A110" s="4" t="n"/>
      <c r="B110" s="9">
        <f>IF(A110="","",INT((DAY(A110)-1)/7)+1)</f>
        <v/>
      </c>
      <c r="C110" s="9" t="n"/>
      <c r="D110" s="9" t="n"/>
      <c r="E110" s="9" t="n"/>
      <c r="F110" s="9" t="n"/>
      <c r="G110" s="9" t="n"/>
      <c r="H110" s="9" t="n"/>
      <c r="I110" s="9" t="n"/>
      <c r="J110" s="3" t="n"/>
      <c r="K110" s="9" t="n"/>
    </row>
    <row r="111">
      <c r="A111" s="4" t="n"/>
      <c r="B111" s="9">
        <f>IF(A111="","",INT((DAY(A111)-1)/7)+1)</f>
        <v/>
      </c>
      <c r="C111" s="9" t="n"/>
      <c r="D111" s="9" t="n"/>
      <c r="E111" s="9" t="n"/>
      <c r="F111" s="9" t="n"/>
      <c r="G111" s="9" t="n"/>
      <c r="H111" s="9" t="n"/>
      <c r="I111" s="9" t="n"/>
      <c r="J111" s="3" t="n"/>
      <c r="K111" s="9" t="n"/>
    </row>
    <row r="112">
      <c r="A112" s="4" t="n"/>
      <c r="B112" s="9">
        <f>IF(A112="","",INT((DAY(A112)-1)/7)+1)</f>
        <v/>
      </c>
      <c r="C112" s="9" t="n"/>
      <c r="D112" s="9" t="n"/>
      <c r="E112" s="9" t="n"/>
      <c r="F112" s="9" t="n"/>
      <c r="G112" s="9" t="n"/>
      <c r="H112" s="9" t="n"/>
      <c r="I112" s="9" t="n"/>
      <c r="J112" s="3" t="n"/>
      <c r="K112" s="9" t="n"/>
    </row>
    <row r="113">
      <c r="A113" s="4" t="n"/>
      <c r="B113" s="9">
        <f>IF(A113="","",INT((DAY(A113)-1)/7)+1)</f>
        <v/>
      </c>
      <c r="C113" s="9" t="n"/>
      <c r="D113" s="9" t="n"/>
      <c r="E113" s="9" t="n"/>
      <c r="F113" s="9" t="n"/>
      <c r="G113" s="9" t="n"/>
      <c r="H113" s="9" t="n"/>
      <c r="I113" s="9" t="n"/>
      <c r="J113" s="3" t="n"/>
      <c r="K113" s="9" t="n"/>
    </row>
    <row r="114">
      <c r="A114" s="4" t="n"/>
      <c r="B114" s="9">
        <f>IF(A114="","",INT((DAY(A114)-1)/7)+1)</f>
        <v/>
      </c>
      <c r="C114" s="9" t="n"/>
      <c r="D114" s="9" t="n"/>
      <c r="E114" s="9" t="n"/>
      <c r="F114" s="9" t="n"/>
      <c r="G114" s="9" t="n"/>
      <c r="H114" s="9" t="n"/>
      <c r="I114" s="9" t="n"/>
      <c r="J114" s="3" t="n"/>
      <c r="K114" s="9" t="n"/>
    </row>
    <row r="115">
      <c r="A115" s="4" t="n"/>
      <c r="B115" s="9">
        <f>IF(A115="","",INT((DAY(A115)-1)/7)+1)</f>
        <v/>
      </c>
      <c r="C115" s="9" t="n"/>
      <c r="D115" s="9" t="n"/>
      <c r="E115" s="9" t="n"/>
      <c r="F115" s="9" t="n"/>
      <c r="G115" s="9" t="n"/>
      <c r="H115" s="9" t="n"/>
      <c r="I115" s="9" t="n"/>
      <c r="J115" s="3" t="n"/>
      <c r="K115" s="9" t="n"/>
    </row>
    <row r="116">
      <c r="A116" s="4" t="n"/>
      <c r="B116" s="9">
        <f>IF(A116="","",INT((DAY(A116)-1)/7)+1)</f>
        <v/>
      </c>
      <c r="C116" s="9" t="n"/>
      <c r="D116" s="9" t="n"/>
      <c r="E116" s="9" t="n"/>
      <c r="F116" s="9" t="n"/>
      <c r="G116" s="9" t="n"/>
      <c r="H116" s="9" t="n"/>
      <c r="I116" s="9" t="n"/>
      <c r="J116" s="3" t="n"/>
      <c r="K116" s="9" t="n"/>
    </row>
    <row r="117">
      <c r="A117" s="4" t="n"/>
      <c r="B117" s="9">
        <f>IF(A117="","",INT((DAY(A117)-1)/7)+1)</f>
        <v/>
      </c>
      <c r="C117" s="9" t="n"/>
      <c r="D117" s="9" t="n"/>
      <c r="E117" s="9" t="n"/>
      <c r="F117" s="9" t="n"/>
      <c r="G117" s="9" t="n"/>
      <c r="H117" s="9" t="n"/>
      <c r="I117" s="9" t="n"/>
      <c r="J117" s="3" t="n"/>
      <c r="K117" s="9" t="n"/>
    </row>
    <row r="118">
      <c r="A118" s="4" t="n"/>
      <c r="B118" s="9">
        <f>IF(A118="","",INT((DAY(A118)-1)/7)+1)</f>
        <v/>
      </c>
      <c r="C118" s="9" t="n"/>
      <c r="D118" s="9" t="n"/>
      <c r="E118" s="9" t="n"/>
      <c r="F118" s="9" t="n"/>
      <c r="G118" s="9" t="n"/>
      <c r="H118" s="9" t="n"/>
      <c r="I118" s="9" t="n"/>
      <c r="J118" s="3" t="n"/>
      <c r="K118" s="9" t="n"/>
    </row>
    <row r="119">
      <c r="A119" s="4" t="n"/>
      <c r="B119" s="9">
        <f>IF(A119="","",INT((DAY(A119)-1)/7)+1)</f>
        <v/>
      </c>
      <c r="C119" s="9" t="n"/>
      <c r="D119" s="9" t="n"/>
      <c r="E119" s="9" t="n"/>
      <c r="F119" s="9" t="n"/>
      <c r="G119" s="9" t="n"/>
      <c r="H119" s="9" t="n"/>
      <c r="I119" s="9" t="n"/>
      <c r="J119" s="3" t="n"/>
      <c r="K119" s="9" t="n"/>
    </row>
    <row r="120">
      <c r="A120" s="4" t="n"/>
      <c r="B120" s="9">
        <f>IF(A120="","",INT((DAY(A120)-1)/7)+1)</f>
        <v/>
      </c>
      <c r="C120" s="9" t="n"/>
      <c r="D120" s="9" t="n"/>
      <c r="E120" s="9" t="n"/>
      <c r="F120" s="9" t="n"/>
      <c r="G120" s="9" t="n"/>
      <c r="H120" s="9" t="n"/>
      <c r="I120" s="9" t="n"/>
      <c r="J120" s="3" t="n"/>
      <c r="K120" s="9" t="n"/>
    </row>
    <row r="121">
      <c r="A121" s="4" t="n"/>
      <c r="B121" s="9">
        <f>IF(A121="","",INT((DAY(A121)-1)/7)+1)</f>
        <v/>
      </c>
      <c r="C121" s="9" t="n"/>
      <c r="D121" s="9" t="n"/>
      <c r="E121" s="9" t="n"/>
      <c r="F121" s="9" t="n"/>
      <c r="G121" s="9" t="n"/>
      <c r="H121" s="9" t="n"/>
      <c r="I121" s="9" t="n"/>
      <c r="J121" s="3" t="n"/>
      <c r="K121" s="9" t="n"/>
    </row>
    <row r="122">
      <c r="A122" s="4" t="n"/>
      <c r="B122" s="9">
        <f>IF(A122="","",INT((DAY(A122)-1)/7)+1)</f>
        <v/>
      </c>
      <c r="C122" s="9" t="n"/>
      <c r="D122" s="9" t="n"/>
      <c r="E122" s="9" t="n"/>
      <c r="F122" s="9" t="n"/>
      <c r="G122" s="9" t="n"/>
      <c r="H122" s="9" t="n"/>
      <c r="I122" s="9" t="n"/>
      <c r="J122" s="3" t="n"/>
      <c r="K122" s="9" t="n"/>
    </row>
    <row r="123">
      <c r="A123" s="4" t="n"/>
      <c r="B123" s="9">
        <f>IF(A123="","",INT((DAY(A123)-1)/7)+1)</f>
        <v/>
      </c>
      <c r="C123" s="9" t="n"/>
      <c r="D123" s="9" t="n"/>
      <c r="E123" s="9" t="n"/>
      <c r="F123" s="9" t="n"/>
      <c r="G123" s="9" t="n"/>
      <c r="H123" s="9" t="n"/>
      <c r="I123" s="9" t="n"/>
      <c r="J123" s="3" t="n"/>
      <c r="K123" s="9" t="n"/>
    </row>
    <row r="124">
      <c r="A124" s="4" t="n"/>
      <c r="B124" s="9">
        <f>IF(A124="","",INT((DAY(A124)-1)/7)+1)</f>
        <v/>
      </c>
      <c r="C124" s="9" t="n"/>
      <c r="D124" s="9" t="n"/>
      <c r="E124" s="9" t="n"/>
      <c r="F124" s="9" t="n"/>
      <c r="G124" s="9" t="n"/>
      <c r="H124" s="9" t="n"/>
      <c r="I124" s="9" t="n"/>
      <c r="J124" s="3" t="n"/>
      <c r="K124" s="9" t="n"/>
    </row>
    <row r="125">
      <c r="A125" s="4" t="n"/>
      <c r="B125" s="9">
        <f>IF(A125="","",INT((DAY(A125)-1)/7)+1)</f>
        <v/>
      </c>
      <c r="C125" s="9" t="n"/>
      <c r="D125" s="9" t="n"/>
      <c r="E125" s="9" t="n"/>
      <c r="F125" s="9" t="n"/>
      <c r="G125" s="9" t="n"/>
      <c r="H125" s="9" t="n"/>
      <c r="I125" s="9" t="n"/>
      <c r="J125" s="3" t="n"/>
      <c r="K125" s="9" t="n"/>
    </row>
    <row r="126">
      <c r="A126" s="4" t="n"/>
      <c r="B126" s="9">
        <f>IF(A126="","",INT((DAY(A126)-1)/7)+1)</f>
        <v/>
      </c>
      <c r="C126" s="9" t="n"/>
      <c r="D126" s="9" t="n"/>
      <c r="E126" s="9" t="n"/>
      <c r="F126" s="9" t="n"/>
      <c r="G126" s="9" t="n"/>
      <c r="H126" s="9" t="n"/>
      <c r="I126" s="9" t="n"/>
      <c r="J126" s="3" t="n"/>
      <c r="K126" s="9" t="n"/>
    </row>
    <row r="127">
      <c r="A127" s="4" t="n"/>
      <c r="B127" s="9">
        <f>IF(A127="","",INT((DAY(A127)-1)/7)+1)</f>
        <v/>
      </c>
      <c r="C127" s="9" t="n"/>
      <c r="D127" s="9" t="n"/>
      <c r="E127" s="9" t="n"/>
      <c r="F127" s="9" t="n"/>
      <c r="G127" s="9" t="n"/>
      <c r="H127" s="9" t="n"/>
      <c r="I127" s="9" t="n"/>
      <c r="J127" s="3" t="n"/>
      <c r="K127" s="9" t="n"/>
    </row>
    <row r="128">
      <c r="A128" s="4" t="n"/>
      <c r="B128" s="9">
        <f>IF(A128="","",INT((DAY(A128)-1)/7)+1)</f>
        <v/>
      </c>
      <c r="C128" s="9" t="n"/>
      <c r="D128" s="9" t="n"/>
      <c r="E128" s="9" t="n"/>
      <c r="F128" s="9" t="n"/>
      <c r="G128" s="9" t="n"/>
      <c r="H128" s="9" t="n"/>
      <c r="I128" s="9" t="n"/>
      <c r="J128" s="3" t="n"/>
      <c r="K128" s="9" t="n"/>
    </row>
    <row r="129">
      <c r="A129" s="4" t="n"/>
      <c r="B129" s="9">
        <f>IF(A129="","",INT((DAY(A129)-1)/7)+1)</f>
        <v/>
      </c>
      <c r="C129" s="9" t="n"/>
      <c r="D129" s="9" t="n"/>
      <c r="E129" s="9" t="n"/>
      <c r="F129" s="9" t="n"/>
      <c r="G129" s="9" t="n"/>
      <c r="H129" s="9" t="n"/>
      <c r="I129" s="9" t="n"/>
      <c r="J129" s="3" t="n"/>
      <c r="K129" s="9" t="n"/>
    </row>
    <row r="130">
      <c r="A130" s="4" t="n"/>
      <c r="B130" s="9">
        <f>IF(A130="","",INT((DAY(A130)-1)/7)+1)</f>
        <v/>
      </c>
      <c r="C130" s="9" t="n"/>
      <c r="D130" s="9" t="n"/>
      <c r="E130" s="9" t="n"/>
      <c r="F130" s="9" t="n"/>
      <c r="G130" s="9" t="n"/>
      <c r="H130" s="9" t="n"/>
      <c r="I130" s="9" t="n"/>
      <c r="J130" s="3" t="n"/>
      <c r="K130" s="9" t="n"/>
    </row>
    <row r="131">
      <c r="A131" s="4" t="n"/>
      <c r="B131" s="9">
        <f>IF(A131="","",INT((DAY(A131)-1)/7)+1)</f>
        <v/>
      </c>
      <c r="C131" s="9" t="n"/>
      <c r="D131" s="9" t="n"/>
      <c r="E131" s="9" t="n"/>
      <c r="F131" s="9" t="n"/>
      <c r="G131" s="9" t="n"/>
      <c r="H131" s="9" t="n"/>
      <c r="I131" s="9" t="n"/>
      <c r="J131" s="3" t="n"/>
      <c r="K131" s="9" t="n"/>
    </row>
    <row r="132">
      <c r="A132" s="4" t="n"/>
      <c r="B132" s="9">
        <f>IF(A132="","",INT((DAY(A132)-1)/7)+1)</f>
        <v/>
      </c>
      <c r="C132" s="9" t="n"/>
      <c r="D132" s="9" t="n"/>
      <c r="E132" s="9" t="n"/>
      <c r="F132" s="9" t="n"/>
      <c r="G132" s="9" t="n"/>
      <c r="H132" s="9" t="n"/>
      <c r="I132" s="9" t="n"/>
      <c r="J132" s="3" t="n"/>
      <c r="K132" s="9" t="n"/>
    </row>
    <row r="133">
      <c r="A133" s="4" t="n"/>
      <c r="B133" s="9">
        <f>IF(A133="","",INT((DAY(A133)-1)/7)+1)</f>
        <v/>
      </c>
      <c r="C133" s="9" t="n"/>
      <c r="D133" s="9" t="n"/>
      <c r="E133" s="9" t="n"/>
      <c r="F133" s="9" t="n"/>
      <c r="G133" s="9" t="n"/>
      <c r="H133" s="9" t="n"/>
      <c r="I133" s="9" t="n"/>
      <c r="J133" s="3" t="n"/>
      <c r="K133" s="9" t="n"/>
    </row>
    <row r="134">
      <c r="A134" s="4" t="n"/>
      <c r="B134" s="9">
        <f>IF(A134="","",INT((DAY(A134)-1)/7)+1)</f>
        <v/>
      </c>
      <c r="C134" s="9" t="n"/>
      <c r="D134" s="9" t="n"/>
      <c r="E134" s="9" t="n"/>
      <c r="F134" s="9" t="n"/>
      <c r="G134" s="9" t="n"/>
      <c r="H134" s="9" t="n"/>
      <c r="I134" s="9" t="n"/>
      <c r="J134" s="3" t="n"/>
      <c r="K134" s="9" t="n"/>
    </row>
    <row r="135">
      <c r="A135" s="4" t="n"/>
      <c r="B135" s="9">
        <f>IF(A135="","",INT((DAY(A135)-1)/7)+1)</f>
        <v/>
      </c>
      <c r="C135" s="9" t="n"/>
      <c r="D135" s="9" t="n"/>
      <c r="E135" s="9" t="n"/>
      <c r="F135" s="9" t="n"/>
      <c r="G135" s="9" t="n"/>
      <c r="H135" s="9" t="n"/>
      <c r="I135" s="9" t="n"/>
      <c r="J135" s="3" t="n"/>
      <c r="K135" s="9" t="n"/>
    </row>
    <row r="136">
      <c r="A136" s="4" t="n"/>
      <c r="B136" s="9">
        <f>IF(A136="","",INT((DAY(A136)-1)/7)+1)</f>
        <v/>
      </c>
      <c r="C136" s="9" t="n"/>
      <c r="D136" s="9" t="n"/>
      <c r="E136" s="9" t="n"/>
      <c r="F136" s="9" t="n"/>
      <c r="G136" s="9" t="n"/>
      <c r="H136" s="9" t="n"/>
      <c r="I136" s="9" t="n"/>
      <c r="J136" s="3" t="n"/>
      <c r="K136" s="9" t="n"/>
    </row>
    <row r="137">
      <c r="A137" s="4" t="n"/>
      <c r="B137" s="9">
        <f>IF(A137="","",INT((DAY(A137)-1)/7)+1)</f>
        <v/>
      </c>
      <c r="C137" s="9" t="n"/>
      <c r="D137" s="9" t="n"/>
      <c r="E137" s="9" t="n"/>
      <c r="F137" s="9" t="n"/>
      <c r="G137" s="9" t="n"/>
      <c r="H137" s="9" t="n"/>
      <c r="I137" s="9" t="n"/>
      <c r="J137" s="3" t="n"/>
      <c r="K137" s="9" t="n"/>
    </row>
    <row r="138">
      <c r="A138" s="4" t="n"/>
      <c r="B138" s="9">
        <f>IF(A138="","",INT((DAY(A138)-1)/7)+1)</f>
        <v/>
      </c>
      <c r="C138" s="9" t="n"/>
      <c r="D138" s="9" t="n"/>
      <c r="E138" s="9" t="n"/>
      <c r="F138" s="9" t="n"/>
      <c r="G138" s="9" t="n"/>
      <c r="H138" s="9" t="n"/>
      <c r="I138" s="9" t="n"/>
      <c r="J138" s="3" t="n"/>
      <c r="K138" s="9" t="n"/>
    </row>
    <row r="139">
      <c r="A139" s="4" t="n"/>
      <c r="B139" s="9">
        <f>IF(A139="","",INT((DAY(A139)-1)/7)+1)</f>
        <v/>
      </c>
      <c r="C139" s="9" t="n"/>
      <c r="D139" s="9" t="n"/>
      <c r="E139" s="9" t="n"/>
      <c r="F139" s="9" t="n"/>
      <c r="G139" s="9" t="n"/>
      <c r="H139" s="9" t="n"/>
      <c r="I139" s="9" t="n"/>
      <c r="J139" s="3" t="n"/>
      <c r="K139" s="9" t="n"/>
    </row>
    <row r="140">
      <c r="A140" s="4" t="n"/>
      <c r="B140" s="9">
        <f>IF(A140="","",INT((DAY(A140)-1)/7)+1)</f>
        <v/>
      </c>
      <c r="C140" s="9" t="n"/>
      <c r="D140" s="9" t="n"/>
      <c r="E140" s="9" t="n"/>
      <c r="F140" s="9" t="n"/>
      <c r="G140" s="9" t="n"/>
      <c r="H140" s="9" t="n"/>
      <c r="I140" s="9" t="n"/>
      <c r="J140" s="3" t="n"/>
      <c r="K140" s="9" t="n"/>
    </row>
    <row r="141">
      <c r="A141" s="4" t="n"/>
      <c r="B141" s="9">
        <f>IF(A141="","",INT((DAY(A141)-1)/7)+1)</f>
        <v/>
      </c>
      <c r="C141" s="9" t="n"/>
      <c r="D141" s="9" t="n"/>
      <c r="E141" s="9" t="n"/>
      <c r="F141" s="9" t="n"/>
      <c r="G141" s="9" t="n"/>
      <c r="H141" s="9" t="n"/>
      <c r="I141" s="9" t="n"/>
      <c r="J141" s="3" t="n"/>
      <c r="K141" s="9" t="n"/>
    </row>
    <row r="142">
      <c r="A142" s="4" t="n"/>
      <c r="B142" s="9">
        <f>IF(A142="","",INT((DAY(A142)-1)/7)+1)</f>
        <v/>
      </c>
      <c r="C142" s="9" t="n"/>
      <c r="D142" s="9" t="n"/>
      <c r="E142" s="9" t="n"/>
      <c r="F142" s="9" t="n"/>
      <c r="G142" s="9" t="n"/>
      <c r="H142" s="9" t="n"/>
      <c r="I142" s="9" t="n"/>
      <c r="J142" s="3" t="n"/>
      <c r="K142" s="9" t="n"/>
    </row>
    <row r="143">
      <c r="A143" s="4" t="n"/>
      <c r="B143" s="9">
        <f>IF(A143="","",INT((DAY(A143)-1)/7)+1)</f>
        <v/>
      </c>
      <c r="C143" s="9" t="n"/>
      <c r="D143" s="9" t="n"/>
      <c r="E143" s="9" t="n"/>
      <c r="F143" s="9" t="n"/>
      <c r="G143" s="9" t="n"/>
      <c r="H143" s="9" t="n"/>
      <c r="I143" s="9" t="n"/>
      <c r="J143" s="3" t="n"/>
      <c r="K143" s="9" t="n"/>
    </row>
    <row r="144">
      <c r="A144" s="4" t="n"/>
      <c r="B144" s="9">
        <f>IF(A144="","",INT((DAY(A144)-1)/7)+1)</f>
        <v/>
      </c>
      <c r="C144" s="9" t="n"/>
      <c r="D144" s="9" t="n"/>
      <c r="E144" s="9" t="n"/>
      <c r="F144" s="9" t="n"/>
      <c r="G144" s="9" t="n"/>
      <c r="H144" s="9" t="n"/>
      <c r="I144" s="9" t="n"/>
      <c r="J144" s="3" t="n"/>
      <c r="K144" s="9" t="n"/>
    </row>
    <row r="145">
      <c r="A145" s="4" t="n"/>
      <c r="B145" s="9">
        <f>IF(A145="","",INT((DAY(A145)-1)/7)+1)</f>
        <v/>
      </c>
      <c r="C145" s="9" t="n"/>
      <c r="D145" s="9" t="n"/>
      <c r="E145" s="9" t="n"/>
      <c r="F145" s="9" t="n"/>
      <c r="G145" s="9" t="n"/>
      <c r="H145" s="9" t="n"/>
      <c r="I145" s="9" t="n"/>
      <c r="J145" s="3" t="n"/>
      <c r="K145" s="9" t="n"/>
    </row>
    <row r="146">
      <c r="A146" s="4" t="n"/>
      <c r="B146" s="9">
        <f>IF(A146="","",INT((DAY(A146)-1)/7)+1)</f>
        <v/>
      </c>
      <c r="C146" s="9" t="n"/>
      <c r="D146" s="9" t="n"/>
      <c r="E146" s="9" t="n"/>
      <c r="F146" s="9" t="n"/>
      <c r="G146" s="9" t="n"/>
      <c r="H146" s="9" t="n"/>
      <c r="I146" s="9" t="n"/>
      <c r="J146" s="3" t="n"/>
      <c r="K146" s="9" t="n"/>
    </row>
    <row r="147">
      <c r="A147" s="4" t="n"/>
      <c r="B147" s="9">
        <f>IF(A147="","",INT((DAY(A147)-1)/7)+1)</f>
        <v/>
      </c>
      <c r="C147" s="9" t="n"/>
      <c r="D147" s="9" t="n"/>
      <c r="E147" s="9" t="n"/>
      <c r="F147" s="9" t="n"/>
      <c r="G147" s="9" t="n"/>
      <c r="H147" s="9" t="n"/>
      <c r="I147" s="9" t="n"/>
      <c r="J147" s="3" t="n"/>
      <c r="K147" s="9" t="n"/>
    </row>
    <row r="148">
      <c r="A148" s="4" t="n"/>
      <c r="B148" s="9">
        <f>IF(A148="","",INT((DAY(A148)-1)/7)+1)</f>
        <v/>
      </c>
      <c r="C148" s="9" t="n"/>
      <c r="D148" s="9" t="n"/>
      <c r="E148" s="9" t="n"/>
      <c r="F148" s="9" t="n"/>
      <c r="G148" s="9" t="n"/>
      <c r="H148" s="9" t="n"/>
      <c r="I148" s="9" t="n"/>
      <c r="J148" s="3" t="n"/>
      <c r="K148" s="9" t="n"/>
    </row>
    <row r="149">
      <c r="A149" s="4" t="n"/>
      <c r="B149" s="9">
        <f>IF(A149="","",INT((DAY(A149)-1)/7)+1)</f>
        <v/>
      </c>
      <c r="C149" s="9" t="n"/>
      <c r="D149" s="9" t="n"/>
      <c r="E149" s="9" t="n"/>
      <c r="F149" s="9" t="n"/>
      <c r="G149" s="9" t="n"/>
      <c r="H149" s="9" t="n"/>
      <c r="I149" s="9" t="n"/>
      <c r="J149" s="3" t="n"/>
      <c r="K149" s="9" t="n"/>
    </row>
    <row r="150">
      <c r="A150" s="4" t="n"/>
      <c r="B150" s="9">
        <f>IF(A150="","",INT((DAY(A150)-1)/7)+1)</f>
        <v/>
      </c>
      <c r="C150" s="9" t="n"/>
      <c r="D150" s="9" t="n"/>
      <c r="E150" s="9" t="n"/>
      <c r="F150" s="9" t="n"/>
      <c r="G150" s="9" t="n"/>
      <c r="H150" s="9" t="n"/>
      <c r="I150" s="9" t="n"/>
      <c r="J150" s="3" t="n"/>
      <c r="K150" s="9" t="n"/>
    </row>
    <row r="151">
      <c r="A151" s="4" t="n"/>
      <c r="B151" s="9">
        <f>IF(A151="","",INT((DAY(A151)-1)/7)+1)</f>
        <v/>
      </c>
      <c r="C151" s="9" t="n"/>
      <c r="D151" s="9" t="n"/>
      <c r="E151" s="9" t="n"/>
      <c r="F151" s="9" t="n"/>
      <c r="G151" s="9" t="n"/>
      <c r="H151" s="9" t="n"/>
      <c r="I151" s="9" t="n"/>
      <c r="J151" s="3" t="n"/>
      <c r="K151" s="9" t="n"/>
    </row>
    <row r="152">
      <c r="A152" s="4" t="n"/>
      <c r="B152" s="9">
        <f>IF(A152="","",INT((DAY(A152)-1)/7)+1)</f>
        <v/>
      </c>
      <c r="C152" s="9" t="n"/>
      <c r="D152" s="9" t="n"/>
      <c r="E152" s="9" t="n"/>
      <c r="F152" s="9" t="n"/>
      <c r="G152" s="9" t="n"/>
      <c r="H152" s="9" t="n"/>
      <c r="I152" s="9" t="n"/>
      <c r="J152" s="3" t="n"/>
      <c r="K152" s="9" t="n"/>
    </row>
    <row r="153">
      <c r="A153" s="4" t="n"/>
      <c r="B153" s="9">
        <f>IF(A153="","",INT((DAY(A153)-1)/7)+1)</f>
        <v/>
      </c>
      <c r="C153" s="9" t="n"/>
      <c r="D153" s="9" t="n"/>
      <c r="E153" s="9" t="n"/>
      <c r="F153" s="9" t="n"/>
      <c r="G153" s="9" t="n"/>
      <c r="H153" s="9" t="n"/>
      <c r="I153" s="9" t="n"/>
      <c r="J153" s="3" t="n"/>
      <c r="K153" s="9" t="n"/>
    </row>
    <row r="154">
      <c r="A154" s="4" t="n"/>
      <c r="B154" s="9">
        <f>IF(A154="","",INT((DAY(A154)-1)/7)+1)</f>
        <v/>
      </c>
      <c r="C154" s="9" t="n"/>
      <c r="D154" s="9" t="n"/>
      <c r="E154" s="9" t="n"/>
      <c r="F154" s="9" t="n"/>
      <c r="G154" s="9" t="n"/>
      <c r="H154" s="9" t="n"/>
      <c r="I154" s="9" t="n"/>
      <c r="J154" s="3" t="n"/>
      <c r="K154" s="9" t="n"/>
    </row>
    <row r="155">
      <c r="A155" s="4" t="n"/>
      <c r="B155" s="9">
        <f>IF(A155="","",INT((DAY(A155)-1)/7)+1)</f>
        <v/>
      </c>
      <c r="C155" s="9" t="n"/>
      <c r="D155" s="9" t="n"/>
      <c r="E155" s="9" t="n"/>
      <c r="F155" s="9" t="n"/>
      <c r="G155" s="9" t="n"/>
      <c r="H155" s="9" t="n"/>
      <c r="I155" s="9" t="n"/>
      <c r="J155" s="3" t="n"/>
      <c r="K155" s="9" t="n"/>
    </row>
    <row r="156">
      <c r="A156" s="4" t="n"/>
      <c r="B156" s="9">
        <f>IF(A156="","",INT((DAY(A156)-1)/7)+1)</f>
        <v/>
      </c>
      <c r="C156" s="9" t="n"/>
      <c r="D156" s="9" t="n"/>
      <c r="E156" s="9" t="n"/>
      <c r="F156" s="9" t="n"/>
      <c r="G156" s="9" t="n"/>
      <c r="H156" s="9" t="n"/>
      <c r="I156" s="9" t="n"/>
      <c r="J156" s="3" t="n"/>
      <c r="K156" s="9" t="n"/>
    </row>
    <row r="157">
      <c r="A157" s="4" t="n"/>
      <c r="B157" s="9">
        <f>IF(A157="","",INT((DAY(A157)-1)/7)+1)</f>
        <v/>
      </c>
      <c r="C157" s="9" t="n"/>
      <c r="D157" s="9" t="n"/>
      <c r="E157" s="9" t="n"/>
      <c r="F157" s="9" t="n"/>
      <c r="G157" s="9" t="n"/>
      <c r="H157" s="9" t="n"/>
      <c r="I157" s="9" t="n"/>
      <c r="J157" s="3" t="n"/>
      <c r="K157" s="9" t="n"/>
    </row>
    <row r="158">
      <c r="A158" s="4" t="n"/>
      <c r="B158" s="9">
        <f>IF(A158="","",INT((DAY(A158)-1)/7)+1)</f>
        <v/>
      </c>
      <c r="C158" s="9" t="n"/>
      <c r="D158" s="9" t="n"/>
      <c r="E158" s="9" t="n"/>
      <c r="F158" s="9" t="n"/>
      <c r="G158" s="9" t="n"/>
      <c r="H158" s="9" t="n"/>
      <c r="I158" s="9" t="n"/>
      <c r="J158" s="3" t="n"/>
      <c r="K158" s="9" t="n"/>
    </row>
    <row r="159">
      <c r="A159" s="4" t="n"/>
      <c r="B159" s="9">
        <f>IF(A159="","",INT((DAY(A159)-1)/7)+1)</f>
        <v/>
      </c>
      <c r="C159" s="9" t="n"/>
      <c r="D159" s="9" t="n"/>
      <c r="E159" s="9" t="n"/>
      <c r="F159" s="9" t="n"/>
      <c r="G159" s="9" t="n"/>
      <c r="H159" s="9" t="n"/>
      <c r="I159" s="9" t="n"/>
      <c r="J159" s="3" t="n"/>
      <c r="K159" s="9" t="n"/>
    </row>
    <row r="160">
      <c r="A160" s="4" t="n"/>
      <c r="B160" s="9">
        <f>IF(A160="","",INT((DAY(A160)-1)/7)+1)</f>
        <v/>
      </c>
      <c r="C160" s="9" t="n"/>
      <c r="D160" s="9" t="n"/>
      <c r="E160" s="9" t="n"/>
      <c r="F160" s="9" t="n"/>
      <c r="G160" s="9" t="n"/>
      <c r="H160" s="9" t="n"/>
      <c r="I160" s="9" t="n"/>
      <c r="J160" s="3" t="n"/>
      <c r="K160" s="9" t="n"/>
    </row>
    <row r="161">
      <c r="A161" s="4" t="n"/>
      <c r="B161" s="9">
        <f>IF(A161="","",INT((DAY(A161)-1)/7)+1)</f>
        <v/>
      </c>
      <c r="C161" s="9" t="n"/>
      <c r="D161" s="9" t="n"/>
      <c r="E161" s="9" t="n"/>
      <c r="F161" s="9" t="n"/>
      <c r="G161" s="9" t="n"/>
      <c r="H161" s="9" t="n"/>
      <c r="I161" s="9" t="n"/>
      <c r="J161" s="3" t="n"/>
      <c r="K161" s="9" t="n"/>
    </row>
    <row r="162">
      <c r="A162" s="4" t="n"/>
      <c r="B162" s="9">
        <f>IF(A162="","",INT((DAY(A162)-1)/7)+1)</f>
        <v/>
      </c>
      <c r="C162" s="9" t="n"/>
      <c r="D162" s="9" t="n"/>
      <c r="E162" s="9" t="n"/>
      <c r="F162" s="9" t="n"/>
      <c r="G162" s="9" t="n"/>
      <c r="H162" s="9" t="n"/>
      <c r="I162" s="9" t="n"/>
      <c r="J162" s="3" t="n"/>
      <c r="K162" s="9" t="n"/>
    </row>
    <row r="163">
      <c r="A163" s="4" t="n"/>
      <c r="B163" s="9">
        <f>IF(A163="","",INT((DAY(A163)-1)/7)+1)</f>
        <v/>
      </c>
      <c r="C163" s="9" t="n"/>
      <c r="D163" s="9" t="n"/>
      <c r="E163" s="9" t="n"/>
      <c r="F163" s="9" t="n"/>
      <c r="G163" s="9" t="n"/>
      <c r="H163" s="9" t="n"/>
      <c r="I163" s="9" t="n"/>
      <c r="J163" s="3" t="n"/>
      <c r="K163" s="9" t="n"/>
    </row>
    <row r="164">
      <c r="A164" s="4" t="n"/>
      <c r="B164" s="9">
        <f>IF(A164="","",INT((DAY(A164)-1)/7)+1)</f>
        <v/>
      </c>
      <c r="C164" s="9" t="n"/>
      <c r="D164" s="9" t="n"/>
      <c r="E164" s="9" t="n"/>
      <c r="F164" s="9" t="n"/>
      <c r="G164" s="9" t="n"/>
      <c r="H164" s="9" t="n"/>
      <c r="I164" s="9" t="n"/>
      <c r="J164" s="3" t="n"/>
      <c r="K164" s="9" t="n"/>
    </row>
    <row r="165">
      <c r="A165" s="4" t="n"/>
      <c r="B165" s="9">
        <f>IF(A165="","",INT((DAY(A165)-1)/7)+1)</f>
        <v/>
      </c>
      <c r="C165" s="9" t="n"/>
      <c r="D165" s="9" t="n"/>
      <c r="E165" s="9" t="n"/>
      <c r="F165" s="9" t="n"/>
      <c r="G165" s="9" t="n"/>
      <c r="H165" s="9" t="n"/>
      <c r="I165" s="9" t="n"/>
      <c r="J165" s="3" t="n"/>
      <c r="K165" s="9" t="n"/>
    </row>
    <row r="166">
      <c r="A166" s="4" t="n"/>
      <c r="B166" s="9">
        <f>IF(A166="","",INT((DAY(A166)-1)/7)+1)</f>
        <v/>
      </c>
      <c r="C166" s="9" t="n"/>
      <c r="D166" s="9" t="n"/>
      <c r="E166" s="9" t="n"/>
      <c r="F166" s="9" t="n"/>
      <c r="G166" s="9" t="n"/>
      <c r="H166" s="9" t="n"/>
      <c r="I166" s="9" t="n"/>
      <c r="J166" s="3" t="n"/>
      <c r="K166" s="9" t="n"/>
    </row>
    <row r="167">
      <c r="A167" s="4" t="n"/>
      <c r="B167" s="9">
        <f>IF(A167="","",INT((DAY(A167)-1)/7)+1)</f>
        <v/>
      </c>
      <c r="C167" s="9" t="n"/>
      <c r="D167" s="9" t="n"/>
      <c r="E167" s="9" t="n"/>
      <c r="F167" s="9" t="n"/>
      <c r="G167" s="9" t="n"/>
      <c r="H167" s="9" t="n"/>
      <c r="I167" s="9" t="n"/>
      <c r="J167" s="3" t="n"/>
      <c r="K167" s="9" t="n"/>
    </row>
    <row r="168">
      <c r="A168" s="4" t="n"/>
      <c r="B168" s="9">
        <f>IF(A168="","",INT((DAY(A168)-1)/7)+1)</f>
        <v/>
      </c>
      <c r="C168" s="9" t="n"/>
      <c r="D168" s="9" t="n"/>
      <c r="E168" s="9" t="n"/>
      <c r="F168" s="9" t="n"/>
      <c r="G168" s="9" t="n"/>
      <c r="H168" s="9" t="n"/>
      <c r="I168" s="9" t="n"/>
      <c r="J168" s="3" t="n"/>
      <c r="K168" s="9" t="n"/>
    </row>
    <row r="169">
      <c r="A169" s="4" t="n"/>
      <c r="B169" s="9">
        <f>IF(A169="","",INT((DAY(A169)-1)/7)+1)</f>
        <v/>
      </c>
      <c r="C169" s="9" t="n"/>
      <c r="D169" s="9" t="n"/>
      <c r="E169" s="9" t="n"/>
      <c r="F169" s="9" t="n"/>
      <c r="G169" s="9" t="n"/>
      <c r="H169" s="9" t="n"/>
      <c r="I169" s="9" t="n"/>
      <c r="J169" s="3" t="n"/>
      <c r="K169" s="9" t="n"/>
    </row>
    <row r="170">
      <c r="A170" s="4" t="n"/>
      <c r="B170" s="9">
        <f>IF(A170="","",INT((DAY(A170)-1)/7)+1)</f>
        <v/>
      </c>
      <c r="C170" s="9" t="n"/>
      <c r="D170" s="9" t="n"/>
      <c r="E170" s="9" t="n"/>
      <c r="F170" s="9" t="n"/>
      <c r="G170" s="9" t="n"/>
      <c r="H170" s="9" t="n"/>
      <c r="I170" s="9" t="n"/>
      <c r="J170" s="3" t="n"/>
      <c r="K170" s="9" t="n"/>
    </row>
    <row r="171">
      <c r="A171" s="4" t="n"/>
      <c r="B171" s="9">
        <f>IF(A171="","",INT((DAY(A171)-1)/7)+1)</f>
        <v/>
      </c>
      <c r="C171" s="9" t="n"/>
      <c r="D171" s="9" t="n"/>
      <c r="E171" s="9" t="n"/>
      <c r="F171" s="9" t="n"/>
      <c r="G171" s="9" t="n"/>
      <c r="H171" s="9" t="n"/>
      <c r="I171" s="9" t="n"/>
      <c r="J171" s="3" t="n"/>
      <c r="K171" s="9" t="n"/>
    </row>
    <row r="172">
      <c r="A172" s="4" t="n"/>
      <c r="B172" s="9">
        <f>IF(A172="","",INT((DAY(A172)-1)/7)+1)</f>
        <v/>
      </c>
      <c r="C172" s="9" t="n"/>
      <c r="D172" s="9" t="n"/>
      <c r="E172" s="9" t="n"/>
      <c r="F172" s="9" t="n"/>
      <c r="G172" s="9" t="n"/>
      <c r="H172" s="9" t="n"/>
      <c r="I172" s="9" t="n"/>
      <c r="J172" s="3" t="n"/>
      <c r="K172" s="9" t="n"/>
    </row>
    <row r="173">
      <c r="A173" s="4" t="n"/>
      <c r="B173" s="9">
        <f>IF(A173="","",INT((DAY(A173)-1)/7)+1)</f>
        <v/>
      </c>
      <c r="C173" s="9" t="n"/>
      <c r="D173" s="9" t="n"/>
      <c r="E173" s="9" t="n"/>
      <c r="F173" s="9" t="n"/>
      <c r="G173" s="9" t="n"/>
      <c r="H173" s="9" t="n"/>
      <c r="I173" s="9" t="n"/>
      <c r="J173" s="3" t="n"/>
      <c r="K173" s="9" t="n"/>
    </row>
    <row r="174">
      <c r="A174" s="4" t="n"/>
      <c r="B174" s="9">
        <f>IF(A174="","",INT((DAY(A174)-1)/7)+1)</f>
        <v/>
      </c>
      <c r="C174" s="9" t="n"/>
      <c r="D174" s="9" t="n"/>
      <c r="E174" s="9" t="n"/>
      <c r="F174" s="9" t="n"/>
      <c r="G174" s="9" t="n"/>
      <c r="H174" s="9" t="n"/>
      <c r="I174" s="9" t="n"/>
      <c r="J174" s="3" t="n"/>
      <c r="K174" s="9" t="n"/>
    </row>
    <row r="175">
      <c r="A175" s="4" t="n"/>
      <c r="B175" s="9">
        <f>IF(A175="","",INT((DAY(A175)-1)/7)+1)</f>
        <v/>
      </c>
      <c r="C175" s="9" t="n"/>
      <c r="D175" s="9" t="n"/>
      <c r="E175" s="9" t="n"/>
      <c r="F175" s="9" t="n"/>
      <c r="G175" s="9" t="n"/>
      <c r="H175" s="9" t="n"/>
      <c r="I175" s="9" t="n"/>
      <c r="J175" s="3" t="n"/>
      <c r="K175" s="9" t="n"/>
    </row>
    <row r="176">
      <c r="A176" s="4" t="n"/>
      <c r="B176" s="9">
        <f>IF(A176="","",INT((DAY(A176)-1)/7)+1)</f>
        <v/>
      </c>
      <c r="C176" s="9" t="n"/>
      <c r="D176" s="9" t="n"/>
      <c r="E176" s="9" t="n"/>
      <c r="F176" s="9" t="n"/>
      <c r="G176" s="9" t="n"/>
      <c r="H176" s="9" t="n"/>
      <c r="I176" s="9" t="n"/>
      <c r="J176" s="3" t="n"/>
      <c r="K176" s="9" t="n"/>
    </row>
    <row r="177">
      <c r="A177" s="4" t="n"/>
      <c r="B177" s="9">
        <f>IF(A177="","",INT((DAY(A177)-1)/7)+1)</f>
        <v/>
      </c>
      <c r="C177" s="9" t="n"/>
      <c r="D177" s="9" t="n"/>
      <c r="E177" s="9" t="n"/>
      <c r="F177" s="9" t="n"/>
      <c r="G177" s="9" t="n"/>
      <c r="H177" s="9" t="n"/>
      <c r="I177" s="9" t="n"/>
      <c r="J177" s="3" t="n"/>
      <c r="K177" s="9" t="n"/>
    </row>
    <row r="178">
      <c r="A178" s="4" t="n"/>
      <c r="B178" s="9">
        <f>IF(A178="","",INT((DAY(A178)-1)/7)+1)</f>
        <v/>
      </c>
      <c r="C178" s="9" t="n"/>
      <c r="D178" s="9" t="n"/>
      <c r="E178" s="9" t="n"/>
      <c r="F178" s="9" t="n"/>
      <c r="G178" s="9" t="n"/>
      <c r="H178" s="9" t="n"/>
      <c r="I178" s="9" t="n"/>
      <c r="J178" s="3" t="n"/>
      <c r="K178" s="9" t="n"/>
    </row>
    <row r="179">
      <c r="A179" s="4" t="n"/>
      <c r="B179" s="9">
        <f>IF(A179="","",INT((DAY(A179)-1)/7)+1)</f>
        <v/>
      </c>
      <c r="C179" s="9" t="n"/>
      <c r="D179" s="9" t="n"/>
      <c r="E179" s="9" t="n"/>
      <c r="F179" s="9" t="n"/>
      <c r="G179" s="9" t="n"/>
      <c r="H179" s="9" t="n"/>
      <c r="I179" s="9" t="n"/>
      <c r="J179" s="3" t="n"/>
      <c r="K179" s="9" t="n"/>
    </row>
    <row r="180">
      <c r="A180" s="4" t="n"/>
      <c r="B180" s="9">
        <f>IF(A180="","",INT((DAY(A180)-1)/7)+1)</f>
        <v/>
      </c>
      <c r="C180" s="9" t="n"/>
      <c r="D180" s="9" t="n"/>
      <c r="E180" s="9" t="n"/>
      <c r="F180" s="9" t="n"/>
      <c r="G180" s="9" t="n"/>
      <c r="H180" s="9" t="n"/>
      <c r="I180" s="9" t="n"/>
      <c r="J180" s="3" t="n"/>
      <c r="K180" s="9" t="n"/>
    </row>
    <row r="181">
      <c r="A181" s="4" t="n"/>
      <c r="B181" s="9">
        <f>IF(A181="","",INT((DAY(A181)-1)/7)+1)</f>
        <v/>
      </c>
      <c r="C181" s="9" t="n"/>
      <c r="D181" s="9" t="n"/>
      <c r="E181" s="9" t="n"/>
      <c r="F181" s="9" t="n"/>
      <c r="G181" s="9" t="n"/>
      <c r="H181" s="9" t="n"/>
      <c r="I181" s="9" t="n"/>
      <c r="J181" s="3" t="n"/>
      <c r="K181" s="9" t="n"/>
    </row>
    <row r="182">
      <c r="A182" s="4" t="n"/>
      <c r="B182" s="9">
        <f>IF(A182="","",INT((DAY(A182)-1)/7)+1)</f>
        <v/>
      </c>
      <c r="C182" s="9" t="n"/>
      <c r="D182" s="9" t="n"/>
      <c r="E182" s="9" t="n"/>
      <c r="F182" s="9" t="n"/>
      <c r="G182" s="9" t="n"/>
      <c r="H182" s="9" t="n"/>
      <c r="I182" s="9" t="n"/>
      <c r="J182" s="3" t="n"/>
      <c r="K182" s="9" t="n"/>
    </row>
    <row r="183">
      <c r="A183" s="4" t="n"/>
      <c r="B183" s="9">
        <f>IF(A183="","",INT((DAY(A183)-1)/7)+1)</f>
        <v/>
      </c>
      <c r="C183" s="9" t="n"/>
      <c r="D183" s="9" t="n"/>
      <c r="E183" s="9" t="n"/>
      <c r="F183" s="9" t="n"/>
      <c r="G183" s="9" t="n"/>
      <c r="H183" s="9" t="n"/>
      <c r="I183" s="9" t="n"/>
      <c r="J183" s="3" t="n"/>
      <c r="K183" s="9" t="n"/>
    </row>
    <row r="184">
      <c r="A184" s="4" t="n"/>
      <c r="B184" s="9">
        <f>IF(A184="","",INT((DAY(A184)-1)/7)+1)</f>
        <v/>
      </c>
      <c r="C184" s="9" t="n"/>
      <c r="D184" s="9" t="n"/>
      <c r="E184" s="9" t="n"/>
      <c r="F184" s="9" t="n"/>
      <c r="G184" s="9" t="n"/>
      <c r="H184" s="9" t="n"/>
      <c r="I184" s="9" t="n"/>
      <c r="J184" s="3" t="n"/>
      <c r="K184" s="9" t="n"/>
    </row>
    <row r="185">
      <c r="A185" s="4" t="n"/>
      <c r="B185" s="9">
        <f>IF(A185="","",INT((DAY(A185)-1)/7)+1)</f>
        <v/>
      </c>
      <c r="C185" s="9" t="n"/>
      <c r="D185" s="9" t="n"/>
      <c r="E185" s="9" t="n"/>
      <c r="F185" s="9" t="n"/>
      <c r="G185" s="9" t="n"/>
      <c r="H185" s="9" t="n"/>
      <c r="I185" s="9" t="n"/>
      <c r="J185" s="3" t="n"/>
      <c r="K185" s="9" t="n"/>
    </row>
    <row r="186">
      <c r="A186" s="4" t="n"/>
      <c r="B186" s="9">
        <f>IF(A186="","",INT((DAY(A186)-1)/7)+1)</f>
        <v/>
      </c>
      <c r="C186" s="9" t="n"/>
      <c r="D186" s="9" t="n"/>
      <c r="E186" s="9" t="n"/>
      <c r="F186" s="9" t="n"/>
      <c r="G186" s="9" t="n"/>
      <c r="H186" s="9" t="n"/>
      <c r="I186" s="9" t="n"/>
      <c r="J186" s="3" t="n"/>
      <c r="K186" s="9" t="n"/>
    </row>
    <row r="187">
      <c r="A187" s="4" t="n"/>
      <c r="B187" s="9">
        <f>IF(A187="","",INT((DAY(A187)-1)/7)+1)</f>
        <v/>
      </c>
      <c r="C187" s="9" t="n"/>
      <c r="D187" s="9" t="n"/>
      <c r="E187" s="9" t="n"/>
      <c r="F187" s="9" t="n"/>
      <c r="G187" s="9" t="n"/>
      <c r="H187" s="9" t="n"/>
      <c r="I187" s="9" t="n"/>
      <c r="J187" s="3" t="n"/>
      <c r="K187" s="9" t="n"/>
    </row>
    <row r="188">
      <c r="A188" s="4" t="n"/>
      <c r="B188" s="9">
        <f>IF(A188="","",INT((DAY(A188)-1)/7)+1)</f>
        <v/>
      </c>
      <c r="C188" s="9" t="n"/>
      <c r="D188" s="9" t="n"/>
      <c r="E188" s="9" t="n"/>
      <c r="F188" s="9" t="n"/>
      <c r="G188" s="9" t="n"/>
      <c r="H188" s="9" t="n"/>
      <c r="I188" s="9" t="n"/>
      <c r="J188" s="3" t="n"/>
      <c r="K188" s="9" t="n"/>
    </row>
    <row r="189">
      <c r="A189" s="4" t="n"/>
      <c r="B189" s="9">
        <f>IF(A189="","",INT((DAY(A189)-1)/7)+1)</f>
        <v/>
      </c>
      <c r="C189" s="9" t="n"/>
      <c r="D189" s="9" t="n"/>
      <c r="E189" s="9" t="n"/>
      <c r="F189" s="9" t="n"/>
      <c r="G189" s="9" t="n"/>
      <c r="H189" s="9" t="n"/>
      <c r="I189" s="9" t="n"/>
      <c r="J189" s="3" t="n"/>
      <c r="K189" s="9" t="n"/>
    </row>
    <row r="190">
      <c r="A190" s="4" t="n"/>
      <c r="B190" s="9">
        <f>IF(A190="","",INT((DAY(A190)-1)/7)+1)</f>
        <v/>
      </c>
      <c r="C190" s="9" t="n"/>
      <c r="D190" s="9" t="n"/>
      <c r="E190" s="9" t="n"/>
      <c r="F190" s="9" t="n"/>
      <c r="G190" s="9" t="n"/>
      <c r="H190" s="9" t="n"/>
      <c r="I190" s="9" t="n"/>
      <c r="J190" s="3" t="n"/>
      <c r="K190" s="9" t="n"/>
    </row>
    <row r="191">
      <c r="A191" s="4" t="n"/>
      <c r="B191" s="9">
        <f>IF(A191="","",INT((DAY(A191)-1)/7)+1)</f>
        <v/>
      </c>
      <c r="C191" s="9" t="n"/>
      <c r="D191" s="9" t="n"/>
      <c r="E191" s="9" t="n"/>
      <c r="F191" s="9" t="n"/>
      <c r="G191" s="9" t="n"/>
      <c r="H191" s="9" t="n"/>
      <c r="I191" s="9" t="n"/>
      <c r="J191" s="3" t="n"/>
      <c r="K191" s="9" t="n"/>
    </row>
    <row r="192">
      <c r="A192" s="4" t="n"/>
      <c r="B192" s="9">
        <f>IF(A192="","",INT((DAY(A192)-1)/7)+1)</f>
        <v/>
      </c>
      <c r="C192" s="9" t="n"/>
      <c r="D192" s="9" t="n"/>
      <c r="E192" s="9" t="n"/>
      <c r="F192" s="9" t="n"/>
      <c r="G192" s="9" t="n"/>
      <c r="H192" s="9" t="n"/>
      <c r="I192" s="9" t="n"/>
      <c r="J192" s="3" t="n"/>
      <c r="K192" s="9" t="n"/>
    </row>
    <row r="193">
      <c r="A193" s="4" t="n"/>
      <c r="B193" s="9">
        <f>IF(A193="","",INT((DAY(A193)-1)/7)+1)</f>
        <v/>
      </c>
      <c r="C193" s="9" t="n"/>
      <c r="D193" s="9" t="n"/>
      <c r="E193" s="9" t="n"/>
      <c r="F193" s="9" t="n"/>
      <c r="G193" s="9" t="n"/>
      <c r="H193" s="9" t="n"/>
      <c r="I193" s="9" t="n"/>
      <c r="J193" s="3" t="n"/>
      <c r="K193" s="9" t="n"/>
    </row>
    <row r="194">
      <c r="A194" s="4" t="n"/>
      <c r="B194" s="9">
        <f>IF(A194="","",INT((DAY(A194)-1)/7)+1)</f>
        <v/>
      </c>
      <c r="C194" s="9" t="n"/>
      <c r="D194" s="9" t="n"/>
      <c r="E194" s="9" t="n"/>
      <c r="F194" s="9" t="n"/>
      <c r="G194" s="9" t="n"/>
      <c r="H194" s="9" t="n"/>
      <c r="I194" s="9" t="n"/>
      <c r="J194" s="3" t="n"/>
      <c r="K194" s="9" t="n"/>
    </row>
    <row r="195">
      <c r="A195" s="4" t="n"/>
      <c r="B195" s="9">
        <f>IF(A195="","",INT((DAY(A195)-1)/7)+1)</f>
        <v/>
      </c>
      <c r="C195" s="9" t="n"/>
      <c r="D195" s="9" t="n"/>
      <c r="E195" s="9" t="n"/>
      <c r="F195" s="9" t="n"/>
      <c r="G195" s="9" t="n"/>
      <c r="H195" s="9" t="n"/>
      <c r="I195" s="9" t="n"/>
      <c r="J195" s="3" t="n"/>
      <c r="K195" s="9" t="n"/>
    </row>
    <row r="196">
      <c r="A196" s="4" t="n"/>
      <c r="B196" s="9">
        <f>IF(A196="","",INT((DAY(A196)-1)/7)+1)</f>
        <v/>
      </c>
      <c r="C196" s="9" t="n"/>
      <c r="D196" s="9" t="n"/>
      <c r="E196" s="9" t="n"/>
      <c r="F196" s="9" t="n"/>
      <c r="G196" s="9" t="n"/>
      <c r="H196" s="9" t="n"/>
      <c r="I196" s="9" t="n"/>
      <c r="J196" s="3" t="n"/>
      <c r="K196" s="9" t="n"/>
    </row>
    <row r="197">
      <c r="A197" s="4" t="n"/>
      <c r="B197" s="9">
        <f>IF(A197="","",INT((DAY(A197)-1)/7)+1)</f>
        <v/>
      </c>
      <c r="C197" s="9" t="n"/>
      <c r="D197" s="9" t="n"/>
      <c r="E197" s="9" t="n"/>
      <c r="F197" s="9" t="n"/>
      <c r="G197" s="9" t="n"/>
      <c r="H197" s="9" t="n"/>
      <c r="I197" s="9" t="n"/>
      <c r="J197" s="3" t="n"/>
      <c r="K197" s="9" t="n"/>
    </row>
    <row r="198">
      <c r="A198" s="4" t="n"/>
      <c r="B198" s="9">
        <f>IF(A198="","",INT((DAY(A198)-1)/7)+1)</f>
        <v/>
      </c>
      <c r="C198" s="9" t="n"/>
      <c r="D198" s="9" t="n"/>
      <c r="E198" s="9" t="n"/>
      <c r="F198" s="9" t="n"/>
      <c r="G198" s="9" t="n"/>
      <c r="H198" s="9" t="n"/>
      <c r="I198" s="9" t="n"/>
      <c r="J198" s="3" t="n"/>
      <c r="K198" s="9" t="n"/>
    </row>
    <row r="199">
      <c r="A199" s="4" t="n"/>
      <c r="B199" s="9">
        <f>IF(A199="","",INT((DAY(A199)-1)/7)+1)</f>
        <v/>
      </c>
      <c r="C199" s="9" t="n"/>
      <c r="D199" s="9" t="n"/>
      <c r="E199" s="9" t="n"/>
      <c r="F199" s="9" t="n"/>
      <c r="G199" s="9" t="n"/>
      <c r="H199" s="9" t="n"/>
      <c r="I199" s="9" t="n"/>
      <c r="J199" s="3" t="n"/>
      <c r="K199" s="9" t="n"/>
    </row>
    <row r="200">
      <c r="A200" s="4" t="n"/>
      <c r="B200" s="9">
        <f>IF(A200="","",INT((DAY(A200)-1)/7)+1)</f>
        <v/>
      </c>
      <c r="C200" s="9" t="n"/>
      <c r="D200" s="9" t="n"/>
      <c r="E200" s="9" t="n"/>
      <c r="F200" s="9" t="n"/>
      <c r="G200" s="9" t="n"/>
      <c r="H200" s="9" t="n"/>
      <c r="I200" s="9" t="n"/>
      <c r="J200" s="3" t="n"/>
      <c r="K200" s="9" t="n"/>
    </row>
    <row r="201">
      <c r="A201" s="4" t="n"/>
      <c r="B201" s="9">
        <f>IF(A201="","",INT((DAY(A201)-1)/7)+1)</f>
        <v/>
      </c>
      <c r="C201" s="9" t="n"/>
      <c r="D201" s="9" t="n"/>
      <c r="E201" s="9" t="n"/>
      <c r="F201" s="9" t="n"/>
      <c r="G201" s="9" t="n"/>
      <c r="H201" s="9" t="n"/>
      <c r="I201" s="9" t="n"/>
      <c r="J201" s="3" t="n"/>
      <c r="K201" s="9" t="n"/>
    </row>
    <row r="202">
      <c r="A202" s="4" t="n"/>
      <c r="B202" s="9">
        <f>IF(A202="","",INT((DAY(A202)-1)/7)+1)</f>
        <v/>
      </c>
      <c r="C202" s="9" t="n"/>
      <c r="D202" s="9" t="n"/>
      <c r="E202" s="9" t="n"/>
      <c r="F202" s="9" t="n"/>
      <c r="G202" s="9" t="n"/>
      <c r="H202" s="9" t="n"/>
      <c r="I202" s="9" t="n"/>
      <c r="J202" s="3" t="n"/>
      <c r="K202" s="9" t="n"/>
    </row>
    <row r="203">
      <c r="A203" s="4" t="n"/>
      <c r="B203" s="9">
        <f>IF(A203="","",INT((DAY(A203)-1)/7)+1)</f>
        <v/>
      </c>
      <c r="C203" s="9" t="n"/>
      <c r="D203" s="9" t="n"/>
      <c r="E203" s="9" t="n"/>
      <c r="F203" s="9" t="n"/>
      <c r="G203" s="9" t="n"/>
      <c r="H203" s="9" t="n"/>
      <c r="I203" s="9" t="n"/>
      <c r="J203" s="3" t="n"/>
      <c r="K203" s="9" t="n"/>
    </row>
    <row r="204">
      <c r="A204" s="4" t="n"/>
      <c r="B204" s="9">
        <f>IF(A204="","",INT((DAY(A204)-1)/7)+1)</f>
        <v/>
      </c>
      <c r="C204" s="9" t="n"/>
      <c r="D204" s="9" t="n"/>
      <c r="E204" s="9" t="n"/>
      <c r="F204" s="9" t="n"/>
      <c r="G204" s="9" t="n"/>
      <c r="H204" s="9" t="n"/>
      <c r="I204" s="9" t="n"/>
      <c r="J204" s="3" t="n"/>
      <c r="K204" s="9" t="n"/>
    </row>
    <row r="205">
      <c r="A205" s="4" t="n"/>
      <c r="B205" s="9">
        <f>IF(A205="","",INT((DAY(A205)-1)/7)+1)</f>
        <v/>
      </c>
      <c r="C205" s="9" t="n"/>
      <c r="D205" s="9" t="n"/>
      <c r="E205" s="9" t="n"/>
      <c r="F205" s="9" t="n"/>
      <c r="G205" s="9" t="n"/>
      <c r="H205" s="9" t="n"/>
      <c r="I205" s="9" t="n"/>
      <c r="J205" s="3" t="n"/>
      <c r="K205" s="9" t="n"/>
    </row>
    <row r="206">
      <c r="A206" s="4" t="n"/>
      <c r="B206" s="9">
        <f>IF(A206="","",INT((DAY(A206)-1)/7)+1)</f>
        <v/>
      </c>
      <c r="C206" s="9" t="n"/>
      <c r="D206" s="9" t="n"/>
      <c r="E206" s="9" t="n"/>
      <c r="F206" s="9" t="n"/>
      <c r="G206" s="9" t="n"/>
      <c r="H206" s="9" t="n"/>
      <c r="I206" s="9" t="n"/>
      <c r="J206" s="3" t="n"/>
      <c r="K206" s="9" t="n"/>
    </row>
    <row r="207">
      <c r="A207" s="4" t="n"/>
      <c r="B207" s="9">
        <f>IF(A207="","",INT((DAY(A207)-1)/7)+1)</f>
        <v/>
      </c>
      <c r="C207" s="9" t="n"/>
      <c r="D207" s="9" t="n"/>
      <c r="E207" s="9" t="n"/>
      <c r="F207" s="9" t="n"/>
      <c r="G207" s="9" t="n"/>
      <c r="H207" s="9" t="n"/>
      <c r="I207" s="9" t="n"/>
      <c r="J207" s="3" t="n"/>
      <c r="K207" s="9" t="n"/>
    </row>
    <row r="208">
      <c r="A208" s="4" t="n"/>
      <c r="B208" s="9">
        <f>IF(A208="","",INT((DAY(A208)-1)/7)+1)</f>
        <v/>
      </c>
      <c r="C208" s="9" t="n"/>
      <c r="D208" s="9" t="n"/>
      <c r="E208" s="9" t="n"/>
      <c r="F208" s="9" t="n"/>
      <c r="G208" s="9" t="n"/>
      <c r="H208" s="9" t="n"/>
      <c r="I208" s="9" t="n"/>
      <c r="J208" s="3" t="n"/>
      <c r="K208" s="9" t="n"/>
    </row>
    <row r="209">
      <c r="A209" s="4" t="n"/>
      <c r="B209" s="9">
        <f>IF(A209="","",INT((DAY(A209)-1)/7)+1)</f>
        <v/>
      </c>
      <c r="C209" s="9" t="n"/>
      <c r="D209" s="9" t="n"/>
      <c r="E209" s="9" t="n"/>
      <c r="F209" s="9" t="n"/>
      <c r="G209" s="9" t="n"/>
      <c r="H209" s="9" t="n"/>
      <c r="I209" s="9" t="n"/>
      <c r="J209" s="3" t="n"/>
      <c r="K209" s="9" t="n"/>
    </row>
    <row r="210">
      <c r="A210" s="4" t="n"/>
      <c r="B210" s="9">
        <f>IF(A210="","",INT((DAY(A210)-1)/7)+1)</f>
        <v/>
      </c>
      <c r="C210" s="9" t="n"/>
      <c r="D210" s="9" t="n"/>
      <c r="E210" s="9" t="n"/>
      <c r="F210" s="9" t="n"/>
      <c r="G210" s="9" t="n"/>
      <c r="H210" s="9" t="n"/>
      <c r="I210" s="9" t="n"/>
      <c r="J210" s="3" t="n"/>
      <c r="K210" s="9" t="n"/>
    </row>
    <row r="211">
      <c r="A211" s="4" t="n"/>
      <c r="B211" s="9">
        <f>IF(A211="","",INT((DAY(A211)-1)/7)+1)</f>
        <v/>
      </c>
      <c r="C211" s="9" t="n"/>
      <c r="D211" s="9" t="n"/>
      <c r="E211" s="9" t="n"/>
      <c r="F211" s="9" t="n"/>
      <c r="G211" s="9" t="n"/>
      <c r="H211" s="9" t="n"/>
      <c r="I211" s="9" t="n"/>
      <c r="J211" s="3" t="n"/>
      <c r="K211" s="9" t="n"/>
    </row>
    <row r="212">
      <c r="A212" s="4" t="n"/>
      <c r="B212" s="9">
        <f>IF(A212="","",INT((DAY(A212)-1)/7)+1)</f>
        <v/>
      </c>
      <c r="C212" s="9" t="n"/>
      <c r="D212" s="9" t="n"/>
      <c r="E212" s="9" t="n"/>
      <c r="F212" s="9" t="n"/>
      <c r="G212" s="9" t="n"/>
      <c r="H212" s="9" t="n"/>
      <c r="I212" s="9" t="n"/>
      <c r="J212" s="3" t="n"/>
      <c r="K212" s="9" t="n"/>
    </row>
    <row r="213">
      <c r="A213" s="4" t="n"/>
      <c r="B213" s="9">
        <f>IF(A213="","",INT((DAY(A213)-1)/7)+1)</f>
        <v/>
      </c>
      <c r="C213" s="9" t="n"/>
      <c r="D213" s="9" t="n"/>
      <c r="E213" s="9" t="n"/>
      <c r="F213" s="9" t="n"/>
      <c r="G213" s="9" t="n"/>
      <c r="H213" s="9" t="n"/>
      <c r="I213" s="9" t="n"/>
      <c r="J213" s="3" t="n"/>
      <c r="K213" s="9" t="n"/>
    </row>
    <row r="214">
      <c r="A214" s="4" t="n"/>
      <c r="B214" s="9">
        <f>IF(A214="","",INT((DAY(A214)-1)/7)+1)</f>
        <v/>
      </c>
      <c r="C214" s="9" t="n"/>
      <c r="D214" s="9" t="n"/>
      <c r="E214" s="9" t="n"/>
      <c r="F214" s="9" t="n"/>
      <c r="G214" s="9" t="n"/>
      <c r="H214" s="9" t="n"/>
      <c r="I214" s="9" t="n"/>
      <c r="J214" s="3" t="n"/>
      <c r="K214" s="9" t="n"/>
    </row>
    <row r="215">
      <c r="A215" s="4" t="n"/>
      <c r="B215" s="9">
        <f>IF(A215="","",INT((DAY(A215)-1)/7)+1)</f>
        <v/>
      </c>
      <c r="C215" s="9" t="n"/>
      <c r="D215" s="9" t="n"/>
      <c r="E215" s="9" t="n"/>
      <c r="F215" s="9" t="n"/>
      <c r="G215" s="9" t="n"/>
      <c r="H215" s="9" t="n"/>
      <c r="I215" s="9" t="n"/>
      <c r="J215" s="3" t="n"/>
      <c r="K215" s="9" t="n"/>
    </row>
    <row r="216">
      <c r="A216" s="4" t="n"/>
      <c r="B216" s="9">
        <f>IF(A216="","",INT((DAY(A216)-1)/7)+1)</f>
        <v/>
      </c>
      <c r="C216" s="9" t="n"/>
      <c r="D216" s="9" t="n"/>
      <c r="E216" s="9" t="n"/>
      <c r="F216" s="9" t="n"/>
      <c r="G216" s="9" t="n"/>
      <c r="H216" s="9" t="n"/>
      <c r="I216" s="9" t="n"/>
      <c r="J216" s="3" t="n"/>
      <c r="K216" s="9" t="n"/>
    </row>
    <row r="217">
      <c r="A217" s="4" t="n"/>
      <c r="B217" s="9">
        <f>IF(A217="","",INT((DAY(A217)-1)/7)+1)</f>
        <v/>
      </c>
      <c r="C217" s="9" t="n"/>
      <c r="D217" s="9" t="n"/>
      <c r="E217" s="9" t="n"/>
      <c r="F217" s="9" t="n"/>
      <c r="G217" s="9" t="n"/>
      <c r="H217" s="9" t="n"/>
      <c r="I217" s="9" t="n"/>
      <c r="J217" s="3" t="n"/>
      <c r="K217" s="9" t="n"/>
    </row>
    <row r="218">
      <c r="A218" s="4" t="n"/>
      <c r="B218" s="9">
        <f>IF(A218="","",INT((DAY(A218)-1)/7)+1)</f>
        <v/>
      </c>
      <c r="C218" s="9" t="n"/>
      <c r="D218" s="9" t="n"/>
      <c r="E218" s="9" t="n"/>
      <c r="F218" s="9" t="n"/>
      <c r="G218" s="9" t="n"/>
      <c r="H218" s="9" t="n"/>
      <c r="I218" s="9" t="n"/>
      <c r="J218" s="3" t="n"/>
      <c r="K218" s="9" t="n"/>
    </row>
    <row r="219">
      <c r="A219" s="4" t="n"/>
      <c r="B219" s="9">
        <f>IF(A219="","",INT((DAY(A219)-1)/7)+1)</f>
        <v/>
      </c>
      <c r="C219" s="9" t="n"/>
      <c r="D219" s="9" t="n"/>
      <c r="E219" s="9" t="n"/>
      <c r="F219" s="9" t="n"/>
      <c r="G219" s="9" t="n"/>
      <c r="H219" s="9" t="n"/>
      <c r="I219" s="9" t="n"/>
      <c r="J219" s="3" t="n"/>
      <c r="K219" s="9" t="n"/>
    </row>
    <row r="220">
      <c r="A220" s="4" t="n"/>
      <c r="B220" s="9">
        <f>IF(A220="","",INT((DAY(A220)-1)/7)+1)</f>
        <v/>
      </c>
      <c r="C220" s="9" t="n"/>
      <c r="D220" s="9" t="n"/>
      <c r="E220" s="9" t="n"/>
      <c r="F220" s="9" t="n"/>
      <c r="G220" s="9" t="n"/>
      <c r="H220" s="9" t="n"/>
      <c r="I220" s="9" t="n"/>
      <c r="J220" s="3" t="n"/>
      <c r="K220" s="9" t="n"/>
    </row>
    <row r="221">
      <c r="A221" s="4" t="n"/>
      <c r="B221" s="9">
        <f>IF(A221="","",INT((DAY(A221)-1)/7)+1)</f>
        <v/>
      </c>
      <c r="C221" s="9" t="n"/>
      <c r="D221" s="9" t="n"/>
      <c r="E221" s="9" t="n"/>
      <c r="F221" s="9" t="n"/>
      <c r="G221" s="9" t="n"/>
      <c r="H221" s="9" t="n"/>
      <c r="I221" s="9" t="n"/>
      <c r="J221" s="3" t="n"/>
      <c r="K221" s="9" t="n"/>
    </row>
    <row r="222">
      <c r="A222" s="4" t="n"/>
      <c r="B222" s="9">
        <f>IF(A222="","",INT((DAY(A222)-1)/7)+1)</f>
        <v/>
      </c>
      <c r="C222" s="9" t="n"/>
      <c r="D222" s="9" t="n"/>
      <c r="E222" s="9" t="n"/>
      <c r="F222" s="9" t="n"/>
      <c r="G222" s="9" t="n"/>
      <c r="H222" s="9" t="n"/>
      <c r="I222" s="9" t="n"/>
      <c r="J222" s="3" t="n"/>
      <c r="K222" s="9" t="n"/>
    </row>
    <row r="223">
      <c r="A223" s="4" t="n"/>
      <c r="B223" s="9">
        <f>IF(A223="","",INT((DAY(A223)-1)/7)+1)</f>
        <v/>
      </c>
      <c r="C223" s="9" t="n"/>
      <c r="D223" s="9" t="n"/>
      <c r="E223" s="9" t="n"/>
      <c r="F223" s="9" t="n"/>
      <c r="G223" s="9" t="n"/>
      <c r="H223" s="9" t="n"/>
      <c r="I223" s="9" t="n"/>
      <c r="J223" s="3" t="n"/>
      <c r="K223" s="9" t="n"/>
    </row>
    <row r="224">
      <c r="A224" s="4" t="n"/>
      <c r="B224" s="9">
        <f>IF(A224="","",INT((DAY(A224)-1)/7)+1)</f>
        <v/>
      </c>
      <c r="C224" s="9" t="n"/>
      <c r="D224" s="9" t="n"/>
      <c r="E224" s="9" t="n"/>
      <c r="F224" s="9" t="n"/>
      <c r="G224" s="9" t="n"/>
      <c r="H224" s="9" t="n"/>
      <c r="I224" s="9" t="n"/>
      <c r="J224" s="3" t="n"/>
      <c r="K224" s="9" t="n"/>
    </row>
    <row r="225">
      <c r="A225" s="4" t="n"/>
      <c r="B225" s="9">
        <f>IF(A225="","",INT((DAY(A225)-1)/7)+1)</f>
        <v/>
      </c>
      <c r="C225" s="9" t="n"/>
      <c r="D225" s="9" t="n"/>
      <c r="E225" s="9" t="n"/>
      <c r="F225" s="9" t="n"/>
      <c r="G225" s="9" t="n"/>
      <c r="H225" s="9" t="n"/>
      <c r="I225" s="9" t="n"/>
      <c r="J225" s="3" t="n"/>
      <c r="K225" s="9" t="n"/>
    </row>
    <row r="226">
      <c r="A226" s="4" t="n"/>
      <c r="B226" s="9">
        <f>IF(A226="","",INT((DAY(A226)-1)/7)+1)</f>
        <v/>
      </c>
      <c r="C226" s="9" t="n"/>
      <c r="D226" s="9" t="n"/>
      <c r="E226" s="9" t="n"/>
      <c r="F226" s="9" t="n"/>
      <c r="G226" s="9" t="n"/>
      <c r="H226" s="9" t="n"/>
      <c r="I226" s="9" t="n"/>
      <c r="J226" s="3" t="n"/>
      <c r="K226" s="9" t="n"/>
    </row>
    <row r="227">
      <c r="A227" s="4" t="n"/>
      <c r="B227" s="9">
        <f>IF(A227="","",INT((DAY(A227)-1)/7)+1)</f>
        <v/>
      </c>
      <c r="C227" s="9" t="n"/>
      <c r="D227" s="9" t="n"/>
      <c r="E227" s="9" t="n"/>
      <c r="F227" s="9" t="n"/>
      <c r="G227" s="9" t="n"/>
      <c r="H227" s="9" t="n"/>
      <c r="I227" s="9" t="n"/>
      <c r="J227" s="3" t="n"/>
      <c r="K227" s="9" t="n"/>
    </row>
    <row r="228">
      <c r="A228" s="4" t="n"/>
      <c r="B228" s="9">
        <f>IF(A228="","",INT((DAY(A228)-1)/7)+1)</f>
        <v/>
      </c>
      <c r="C228" s="9" t="n"/>
      <c r="D228" s="9" t="n"/>
      <c r="E228" s="9" t="n"/>
      <c r="F228" s="9" t="n"/>
      <c r="G228" s="9" t="n"/>
      <c r="H228" s="9" t="n"/>
      <c r="I228" s="9" t="n"/>
      <c r="J228" s="3" t="n"/>
      <c r="K228" s="9" t="n"/>
    </row>
    <row r="229">
      <c r="A229" s="4" t="n"/>
      <c r="B229" s="9">
        <f>IF(A229="","",INT((DAY(A229)-1)/7)+1)</f>
        <v/>
      </c>
      <c r="C229" s="9" t="n"/>
      <c r="D229" s="9" t="n"/>
      <c r="E229" s="9" t="n"/>
      <c r="F229" s="9" t="n"/>
      <c r="G229" s="9" t="n"/>
      <c r="H229" s="9" t="n"/>
      <c r="I229" s="9" t="n"/>
      <c r="J229" s="3" t="n"/>
      <c r="K229" s="9" t="n"/>
    </row>
    <row r="230">
      <c r="A230" s="4" t="n"/>
      <c r="B230" s="9">
        <f>IF(A230="","",INT((DAY(A230)-1)/7)+1)</f>
        <v/>
      </c>
      <c r="C230" s="9" t="n"/>
      <c r="D230" s="9" t="n"/>
      <c r="E230" s="9" t="n"/>
      <c r="F230" s="9" t="n"/>
      <c r="G230" s="9" t="n"/>
      <c r="H230" s="9" t="n"/>
      <c r="I230" s="9" t="n"/>
      <c r="J230" s="3" t="n"/>
      <c r="K230" s="9" t="n"/>
    </row>
    <row r="231">
      <c r="A231" s="4" t="n"/>
      <c r="B231" s="9">
        <f>IF(A231="","",INT((DAY(A231)-1)/7)+1)</f>
        <v/>
      </c>
      <c r="C231" s="9" t="n"/>
      <c r="D231" s="9" t="n"/>
      <c r="E231" s="9" t="n"/>
      <c r="F231" s="9" t="n"/>
      <c r="G231" s="9" t="n"/>
      <c r="H231" s="9" t="n"/>
      <c r="I231" s="9" t="n"/>
      <c r="J231" s="3" t="n"/>
      <c r="K231" s="9" t="n"/>
    </row>
    <row r="232">
      <c r="A232" s="4" t="n"/>
      <c r="B232" s="9">
        <f>IF(A232="","",INT((DAY(A232)-1)/7)+1)</f>
        <v/>
      </c>
      <c r="C232" s="9" t="n"/>
      <c r="D232" s="9" t="n"/>
      <c r="E232" s="9" t="n"/>
      <c r="F232" s="9" t="n"/>
      <c r="G232" s="9" t="n"/>
      <c r="H232" s="9" t="n"/>
      <c r="I232" s="9" t="n"/>
      <c r="J232" s="3" t="n"/>
      <c r="K232" s="9" t="n"/>
    </row>
    <row r="233">
      <c r="A233" s="4" t="n"/>
      <c r="B233" s="9">
        <f>IF(A233="","",INT((DAY(A233)-1)/7)+1)</f>
        <v/>
      </c>
      <c r="C233" s="9" t="n"/>
      <c r="D233" s="9" t="n"/>
      <c r="E233" s="9" t="n"/>
      <c r="F233" s="9" t="n"/>
      <c r="G233" s="9" t="n"/>
      <c r="H233" s="9" t="n"/>
      <c r="I233" s="9" t="n"/>
      <c r="J233" s="3" t="n"/>
      <c r="K233" s="9" t="n"/>
    </row>
    <row r="234">
      <c r="A234" s="4" t="n"/>
      <c r="B234" s="9">
        <f>IF(A234="","",INT((DAY(A234)-1)/7)+1)</f>
        <v/>
      </c>
      <c r="C234" s="9" t="n"/>
      <c r="D234" s="9" t="n"/>
      <c r="E234" s="9" t="n"/>
      <c r="F234" s="9" t="n"/>
      <c r="G234" s="9" t="n"/>
      <c r="H234" s="9" t="n"/>
      <c r="I234" s="9" t="n"/>
      <c r="J234" s="3" t="n"/>
      <c r="K234" s="9" t="n"/>
    </row>
    <row r="235">
      <c r="A235" s="4" t="n"/>
      <c r="B235" s="9">
        <f>IF(A235="","",INT((DAY(A235)-1)/7)+1)</f>
        <v/>
      </c>
      <c r="C235" s="9" t="n"/>
      <c r="D235" s="9" t="n"/>
      <c r="E235" s="9" t="n"/>
      <c r="F235" s="9" t="n"/>
      <c r="G235" s="9" t="n"/>
      <c r="H235" s="9" t="n"/>
      <c r="I235" s="9" t="n"/>
      <c r="J235" s="3" t="n"/>
      <c r="K235" s="9" t="n"/>
    </row>
    <row r="236">
      <c r="A236" s="4" t="n"/>
      <c r="B236" s="9">
        <f>IF(A236="","",INT((DAY(A236)-1)/7)+1)</f>
        <v/>
      </c>
      <c r="C236" s="9" t="n"/>
      <c r="D236" s="9" t="n"/>
      <c r="E236" s="9" t="n"/>
      <c r="F236" s="9" t="n"/>
      <c r="G236" s="9" t="n"/>
      <c r="H236" s="9" t="n"/>
      <c r="I236" s="9" t="n"/>
      <c r="J236" s="3" t="n"/>
      <c r="K236" s="9" t="n"/>
    </row>
    <row r="237">
      <c r="A237" s="4" t="n"/>
      <c r="B237" s="9">
        <f>IF(A237="","",INT((DAY(A237)-1)/7)+1)</f>
        <v/>
      </c>
      <c r="C237" s="9" t="n"/>
      <c r="D237" s="9" t="n"/>
      <c r="E237" s="9" t="n"/>
      <c r="F237" s="9" t="n"/>
      <c r="G237" s="9" t="n"/>
      <c r="H237" s="9" t="n"/>
      <c r="I237" s="9" t="n"/>
      <c r="J237" s="3" t="n"/>
      <c r="K237" s="9" t="n"/>
    </row>
    <row r="238">
      <c r="A238" s="4" t="n"/>
      <c r="B238" s="9">
        <f>IF(A238="","",INT((DAY(A238)-1)/7)+1)</f>
        <v/>
      </c>
      <c r="C238" s="9" t="n"/>
      <c r="D238" s="9" t="n"/>
      <c r="E238" s="9" t="n"/>
      <c r="F238" s="9" t="n"/>
      <c r="G238" s="9" t="n"/>
      <c r="H238" s="9" t="n"/>
      <c r="I238" s="9" t="n"/>
      <c r="J238" s="3" t="n"/>
      <c r="K238" s="9" t="n"/>
    </row>
    <row r="239">
      <c r="A239" s="4" t="n"/>
      <c r="B239" s="9">
        <f>IF(A239="","",INT((DAY(A239)-1)/7)+1)</f>
        <v/>
      </c>
      <c r="C239" s="9" t="n"/>
      <c r="D239" s="9" t="n"/>
      <c r="E239" s="9" t="n"/>
      <c r="F239" s="9" t="n"/>
      <c r="G239" s="9" t="n"/>
      <c r="H239" s="9" t="n"/>
      <c r="I239" s="9" t="n"/>
      <c r="J239" s="3" t="n"/>
      <c r="K239" s="9" t="n"/>
    </row>
    <row r="240">
      <c r="A240" s="4" t="n"/>
      <c r="B240" s="9">
        <f>IF(A240="","",INT((DAY(A240)-1)/7)+1)</f>
        <v/>
      </c>
      <c r="C240" s="9" t="n"/>
      <c r="D240" s="9" t="n"/>
      <c r="E240" s="9" t="n"/>
      <c r="F240" s="9" t="n"/>
      <c r="G240" s="9" t="n"/>
      <c r="H240" s="9" t="n"/>
      <c r="I240" s="9" t="n"/>
      <c r="J240" s="3" t="n"/>
      <c r="K240" s="9" t="n"/>
    </row>
    <row r="241">
      <c r="A241" s="4" t="n"/>
      <c r="B241" s="9">
        <f>IF(A241="","",INT((DAY(A241)-1)/7)+1)</f>
        <v/>
      </c>
      <c r="C241" s="9" t="n"/>
      <c r="D241" s="9" t="n"/>
      <c r="E241" s="9" t="n"/>
      <c r="F241" s="9" t="n"/>
      <c r="G241" s="9" t="n"/>
      <c r="H241" s="9" t="n"/>
      <c r="I241" s="9" t="n"/>
      <c r="J241" s="3" t="n"/>
      <c r="K241" s="9" t="n"/>
    </row>
    <row r="242">
      <c r="A242" s="4" t="n"/>
      <c r="B242" s="9">
        <f>IF(A242="","",INT((DAY(A242)-1)/7)+1)</f>
        <v/>
      </c>
      <c r="C242" s="9" t="n"/>
      <c r="D242" s="9" t="n"/>
      <c r="E242" s="9" t="n"/>
      <c r="F242" s="9" t="n"/>
      <c r="G242" s="9" t="n"/>
      <c r="H242" s="9" t="n"/>
      <c r="I242" s="9" t="n"/>
      <c r="J242" s="3" t="n"/>
      <c r="K242" s="9" t="n"/>
    </row>
    <row r="243">
      <c r="A243" s="4" t="n"/>
      <c r="B243" s="9">
        <f>IF(A243="","",INT((DAY(A243)-1)/7)+1)</f>
        <v/>
      </c>
      <c r="C243" s="9" t="n"/>
      <c r="D243" s="9" t="n"/>
      <c r="E243" s="9" t="n"/>
      <c r="F243" s="9" t="n"/>
      <c r="G243" s="9" t="n"/>
      <c r="H243" s="9" t="n"/>
      <c r="I243" s="9" t="n"/>
      <c r="J243" s="3" t="n"/>
      <c r="K243" s="9" t="n"/>
    </row>
    <row r="244">
      <c r="A244" s="4" t="n"/>
      <c r="B244" s="9">
        <f>IF(A244="","",INT((DAY(A244)-1)/7)+1)</f>
        <v/>
      </c>
      <c r="C244" s="9" t="n"/>
      <c r="D244" s="9" t="n"/>
      <c r="E244" s="9" t="n"/>
      <c r="F244" s="9" t="n"/>
      <c r="G244" s="9" t="n"/>
      <c r="H244" s="9" t="n"/>
      <c r="I244" s="9" t="n"/>
      <c r="J244" s="3" t="n"/>
      <c r="K244" s="9" t="n"/>
    </row>
    <row r="245">
      <c r="A245" s="4" t="n"/>
      <c r="B245" s="9">
        <f>IF(A245="","",INT((DAY(A245)-1)/7)+1)</f>
        <v/>
      </c>
      <c r="C245" s="9" t="n"/>
      <c r="D245" s="9" t="n"/>
      <c r="E245" s="9" t="n"/>
      <c r="F245" s="9" t="n"/>
      <c r="G245" s="9" t="n"/>
      <c r="H245" s="9" t="n"/>
      <c r="I245" s="9" t="n"/>
      <c r="J245" s="3" t="n"/>
      <c r="K245" s="9" t="n"/>
    </row>
    <row r="246">
      <c r="A246" s="4" t="n"/>
      <c r="B246" s="9">
        <f>IF(A246="","",INT((DAY(A246)-1)/7)+1)</f>
        <v/>
      </c>
      <c r="C246" s="9" t="n"/>
      <c r="D246" s="9" t="n"/>
      <c r="E246" s="9" t="n"/>
      <c r="F246" s="9" t="n"/>
      <c r="G246" s="9" t="n"/>
      <c r="H246" s="9" t="n"/>
      <c r="I246" s="9" t="n"/>
      <c r="J246" s="3" t="n"/>
      <c r="K246" s="9" t="n"/>
    </row>
    <row r="247">
      <c r="A247" s="4" t="n"/>
      <c r="B247" s="9">
        <f>IF(A247="","",INT((DAY(A247)-1)/7)+1)</f>
        <v/>
      </c>
      <c r="C247" s="9" t="n"/>
      <c r="D247" s="9" t="n"/>
      <c r="E247" s="9" t="n"/>
      <c r="F247" s="9" t="n"/>
      <c r="G247" s="9" t="n"/>
      <c r="H247" s="9" t="n"/>
      <c r="I247" s="9" t="n"/>
      <c r="J247" s="3" t="n"/>
      <c r="K247" s="9" t="n"/>
    </row>
    <row r="248">
      <c r="A248" s="4" t="n"/>
      <c r="B248" s="9">
        <f>IF(A248="","",INT((DAY(A248)-1)/7)+1)</f>
        <v/>
      </c>
      <c r="C248" s="9" t="n"/>
      <c r="D248" s="9" t="n"/>
      <c r="E248" s="9" t="n"/>
      <c r="F248" s="9" t="n"/>
      <c r="G248" s="9" t="n"/>
      <c r="H248" s="9" t="n"/>
      <c r="I248" s="9" t="n"/>
      <c r="J248" s="3" t="n"/>
      <c r="K248" s="9" t="n"/>
    </row>
    <row r="249">
      <c r="A249" s="4" t="n"/>
      <c r="B249" s="9">
        <f>IF(A249="","",INT((DAY(A249)-1)/7)+1)</f>
        <v/>
      </c>
      <c r="C249" s="9" t="n"/>
      <c r="D249" s="9" t="n"/>
      <c r="E249" s="9" t="n"/>
      <c r="F249" s="9" t="n"/>
      <c r="G249" s="9" t="n"/>
      <c r="H249" s="9" t="n"/>
      <c r="I249" s="9" t="n"/>
      <c r="J249" s="3" t="n"/>
      <c r="K249" s="9" t="n"/>
    </row>
    <row r="250">
      <c r="A250" s="4" t="n"/>
      <c r="B250" s="9">
        <f>IF(A250="","",INT((DAY(A250)-1)/7)+1)</f>
        <v/>
      </c>
      <c r="C250" s="9" t="n"/>
      <c r="D250" s="9" t="n"/>
      <c r="E250" s="9" t="n"/>
      <c r="F250" s="9" t="n"/>
      <c r="G250" s="9" t="n"/>
      <c r="H250" s="9" t="n"/>
      <c r="I250" s="9" t="n"/>
      <c r="J250" s="3" t="n"/>
      <c r="K250" s="9" t="n"/>
    </row>
    <row r="251">
      <c r="A251" s="4" t="n"/>
      <c r="B251" s="9">
        <f>IF(A251="","",INT((DAY(A251)-1)/7)+1)</f>
        <v/>
      </c>
      <c r="C251" s="9" t="n"/>
      <c r="D251" s="9" t="n"/>
      <c r="E251" s="9" t="n"/>
      <c r="F251" s="9" t="n"/>
      <c r="G251" s="9" t="n"/>
      <c r="H251" s="9" t="n"/>
      <c r="I251" s="9" t="n"/>
      <c r="J251" s="3" t="n"/>
      <c r="K251" s="9" t="n"/>
    </row>
    <row r="252">
      <c r="A252" s="4" t="n"/>
      <c r="B252" s="9">
        <f>IF(A252="","",INT((DAY(A252)-1)/7)+1)</f>
        <v/>
      </c>
      <c r="C252" s="9" t="n"/>
      <c r="D252" s="9" t="n"/>
      <c r="E252" s="9" t="n"/>
      <c r="F252" s="9" t="n"/>
      <c r="G252" s="9" t="n"/>
      <c r="H252" s="9" t="n"/>
      <c r="I252" s="9" t="n"/>
      <c r="J252" s="3" t="n"/>
      <c r="K252" s="9" t="n"/>
    </row>
    <row r="253">
      <c r="A253" s="4" t="n"/>
      <c r="B253" s="9">
        <f>IF(A253="","",INT((DAY(A253)-1)/7)+1)</f>
        <v/>
      </c>
      <c r="C253" s="9" t="n"/>
      <c r="D253" s="9" t="n"/>
      <c r="E253" s="9" t="n"/>
      <c r="F253" s="9" t="n"/>
      <c r="G253" s="9" t="n"/>
      <c r="H253" s="9" t="n"/>
      <c r="I253" s="9" t="n"/>
      <c r="J253" s="3" t="n"/>
      <c r="K253" s="9" t="n"/>
    </row>
    <row r="254">
      <c r="A254" s="4" t="n"/>
      <c r="B254" s="9">
        <f>IF(A254="","",INT((DAY(A254)-1)/7)+1)</f>
        <v/>
      </c>
      <c r="C254" s="9" t="n"/>
      <c r="D254" s="9" t="n"/>
      <c r="E254" s="9" t="n"/>
      <c r="F254" s="9" t="n"/>
      <c r="G254" s="9" t="n"/>
      <c r="H254" s="9" t="n"/>
      <c r="I254" s="9" t="n"/>
      <c r="J254" s="3" t="n"/>
      <c r="K254" s="9" t="n"/>
    </row>
    <row r="255">
      <c r="A255" s="4" t="n"/>
      <c r="B255" s="9">
        <f>IF(A255="","",INT((DAY(A255)-1)/7)+1)</f>
        <v/>
      </c>
      <c r="C255" s="9" t="n"/>
      <c r="D255" s="9" t="n"/>
      <c r="E255" s="9" t="n"/>
      <c r="F255" s="9" t="n"/>
      <c r="G255" s="9" t="n"/>
      <c r="H255" s="9" t="n"/>
      <c r="I255" s="9" t="n"/>
      <c r="J255" s="3" t="n"/>
      <c r="K255" s="9" t="n"/>
    </row>
    <row r="256">
      <c r="A256" s="4" t="n"/>
      <c r="B256" s="9">
        <f>IF(A256="","",INT((DAY(A256)-1)/7)+1)</f>
        <v/>
      </c>
      <c r="C256" s="9" t="n"/>
      <c r="D256" s="9" t="n"/>
      <c r="E256" s="9" t="n"/>
      <c r="F256" s="9" t="n"/>
      <c r="G256" s="9" t="n"/>
      <c r="H256" s="9" t="n"/>
      <c r="I256" s="9" t="n"/>
      <c r="J256" s="3" t="n"/>
      <c r="K256" s="9" t="n"/>
    </row>
    <row r="257">
      <c r="A257" s="4" t="n"/>
      <c r="B257" s="9">
        <f>IF(A257="","",INT((DAY(A257)-1)/7)+1)</f>
        <v/>
      </c>
      <c r="C257" s="9" t="n"/>
      <c r="D257" s="9" t="n"/>
      <c r="E257" s="9" t="n"/>
      <c r="F257" s="9" t="n"/>
      <c r="G257" s="9" t="n"/>
      <c r="H257" s="9" t="n"/>
      <c r="I257" s="9" t="n"/>
      <c r="J257" s="3" t="n"/>
      <c r="K257" s="9" t="n"/>
    </row>
    <row r="258">
      <c r="A258" s="4" t="n"/>
      <c r="B258" s="9">
        <f>IF(A258="","",INT((DAY(A258)-1)/7)+1)</f>
        <v/>
      </c>
      <c r="C258" s="9" t="n"/>
      <c r="D258" s="9" t="n"/>
      <c r="E258" s="9" t="n"/>
      <c r="F258" s="9" t="n"/>
      <c r="G258" s="9" t="n"/>
      <c r="H258" s="9" t="n"/>
      <c r="I258" s="9" t="n"/>
      <c r="J258" s="3" t="n"/>
      <c r="K258" s="9" t="n"/>
    </row>
    <row r="259">
      <c r="A259" s="4" t="n"/>
      <c r="B259" s="9">
        <f>IF(A259="","",INT((DAY(A259)-1)/7)+1)</f>
        <v/>
      </c>
      <c r="C259" s="9" t="n"/>
      <c r="D259" s="9" t="n"/>
      <c r="E259" s="9" t="n"/>
      <c r="F259" s="9" t="n"/>
      <c r="G259" s="9" t="n"/>
      <c r="H259" s="9" t="n"/>
      <c r="I259" s="9" t="n"/>
      <c r="J259" s="3" t="n"/>
      <c r="K259" s="9" t="n"/>
    </row>
    <row r="260">
      <c r="A260" s="4" t="n"/>
      <c r="B260" s="9">
        <f>IF(A260="","",INT((DAY(A260)-1)/7)+1)</f>
        <v/>
      </c>
      <c r="C260" s="9" t="n"/>
      <c r="D260" s="9" t="n"/>
      <c r="E260" s="9" t="n"/>
      <c r="F260" s="9" t="n"/>
      <c r="G260" s="9" t="n"/>
      <c r="H260" s="9" t="n"/>
      <c r="I260" s="9" t="n"/>
      <c r="J260" s="3" t="n"/>
      <c r="K260" s="9" t="n"/>
    </row>
    <row r="261">
      <c r="A261" s="4" t="n"/>
      <c r="B261" s="9">
        <f>IF(A261="","",INT((DAY(A261)-1)/7)+1)</f>
        <v/>
      </c>
      <c r="C261" s="9" t="n"/>
      <c r="D261" s="9" t="n"/>
      <c r="E261" s="9" t="n"/>
      <c r="F261" s="9" t="n"/>
      <c r="G261" s="9" t="n"/>
      <c r="H261" s="9" t="n"/>
      <c r="I261" s="9" t="n"/>
      <c r="J261" s="3" t="n"/>
      <c r="K261" s="9" t="n"/>
    </row>
    <row r="262">
      <c r="A262" s="4" t="n"/>
      <c r="B262" s="9">
        <f>IF(A262="","",INT((DAY(A262)-1)/7)+1)</f>
        <v/>
      </c>
      <c r="C262" s="9" t="n"/>
      <c r="D262" s="9" t="n"/>
      <c r="E262" s="9" t="n"/>
      <c r="F262" s="9" t="n"/>
      <c r="G262" s="9" t="n"/>
      <c r="H262" s="9" t="n"/>
      <c r="I262" s="9" t="n"/>
      <c r="J262" s="3" t="n"/>
      <c r="K262" s="9" t="n"/>
    </row>
    <row r="263">
      <c r="A263" s="4" t="n"/>
      <c r="B263" s="9">
        <f>IF(A263="","",INT((DAY(A263)-1)/7)+1)</f>
        <v/>
      </c>
      <c r="C263" s="9" t="n"/>
      <c r="D263" s="9" t="n"/>
      <c r="E263" s="9" t="n"/>
      <c r="F263" s="9" t="n"/>
      <c r="G263" s="9" t="n"/>
      <c r="H263" s="9" t="n"/>
      <c r="I263" s="9" t="n"/>
      <c r="J263" s="3" t="n"/>
      <c r="K263" s="9" t="n"/>
    </row>
    <row r="264">
      <c r="A264" s="4" t="n"/>
      <c r="B264" s="9">
        <f>IF(A264="","",INT((DAY(A264)-1)/7)+1)</f>
        <v/>
      </c>
      <c r="C264" s="9" t="n"/>
      <c r="D264" s="9" t="n"/>
      <c r="E264" s="9" t="n"/>
      <c r="F264" s="9" t="n"/>
      <c r="G264" s="9" t="n"/>
      <c r="H264" s="9" t="n"/>
      <c r="I264" s="9" t="n"/>
      <c r="J264" s="3" t="n"/>
      <c r="K264" s="9" t="n"/>
    </row>
    <row r="265">
      <c r="A265" s="4" t="n"/>
      <c r="B265" s="9">
        <f>IF(A265="","",INT((DAY(A265)-1)/7)+1)</f>
        <v/>
      </c>
      <c r="C265" s="9" t="n"/>
      <c r="D265" s="9" t="n"/>
      <c r="E265" s="9" t="n"/>
      <c r="F265" s="9" t="n"/>
      <c r="G265" s="9" t="n"/>
      <c r="H265" s="9" t="n"/>
      <c r="I265" s="9" t="n"/>
      <c r="J265" s="3" t="n"/>
      <c r="K265" s="9" t="n"/>
    </row>
    <row r="266">
      <c r="A266" s="4" t="n"/>
      <c r="B266" s="9">
        <f>IF(A266="","",INT((DAY(A266)-1)/7)+1)</f>
        <v/>
      </c>
      <c r="C266" s="9" t="n"/>
      <c r="D266" s="9" t="n"/>
      <c r="E266" s="9" t="n"/>
      <c r="F266" s="9" t="n"/>
      <c r="G266" s="9" t="n"/>
      <c r="H266" s="9" t="n"/>
      <c r="I266" s="9" t="n"/>
      <c r="J266" s="3" t="n"/>
      <c r="K266" s="9" t="n"/>
    </row>
    <row r="267">
      <c r="A267" s="4" t="n"/>
      <c r="B267" s="9">
        <f>IF(A267="","",INT((DAY(A267)-1)/7)+1)</f>
        <v/>
      </c>
      <c r="C267" s="9" t="n"/>
      <c r="D267" s="9" t="n"/>
      <c r="E267" s="9" t="n"/>
      <c r="F267" s="9" t="n"/>
      <c r="G267" s="9" t="n"/>
      <c r="H267" s="9" t="n"/>
      <c r="I267" s="9" t="n"/>
      <c r="J267" s="3" t="n"/>
      <c r="K267" s="9" t="n"/>
    </row>
    <row r="268">
      <c r="A268" s="4" t="n"/>
      <c r="B268" s="9">
        <f>IF(A268="","",INT((DAY(A268)-1)/7)+1)</f>
        <v/>
      </c>
      <c r="C268" s="9" t="n"/>
      <c r="D268" s="9" t="n"/>
      <c r="E268" s="9" t="n"/>
      <c r="F268" s="9" t="n"/>
      <c r="G268" s="9" t="n"/>
      <c r="H268" s="9" t="n"/>
      <c r="I268" s="9" t="n"/>
      <c r="J268" s="3" t="n"/>
      <c r="K268" s="9" t="n"/>
    </row>
    <row r="269">
      <c r="A269" s="4" t="n"/>
      <c r="B269" s="9">
        <f>IF(A269="","",INT((DAY(A269)-1)/7)+1)</f>
        <v/>
      </c>
      <c r="C269" s="9" t="n"/>
      <c r="D269" s="9" t="n"/>
      <c r="E269" s="9" t="n"/>
      <c r="F269" s="9" t="n"/>
      <c r="G269" s="9" t="n"/>
      <c r="H269" s="9" t="n"/>
      <c r="I269" s="9" t="n"/>
      <c r="J269" s="3" t="n"/>
      <c r="K269" s="9" t="n"/>
    </row>
    <row r="270">
      <c r="A270" s="4" t="n"/>
      <c r="B270" s="9">
        <f>IF(A270="","",INT((DAY(A270)-1)/7)+1)</f>
        <v/>
      </c>
      <c r="C270" s="9" t="n"/>
      <c r="D270" s="9" t="n"/>
      <c r="E270" s="9" t="n"/>
      <c r="F270" s="9" t="n"/>
      <c r="G270" s="9" t="n"/>
      <c r="H270" s="9" t="n"/>
      <c r="I270" s="9" t="n"/>
      <c r="J270" s="3" t="n"/>
      <c r="K270" s="9" t="n"/>
    </row>
    <row r="271">
      <c r="A271" s="4" t="n"/>
      <c r="B271" s="9">
        <f>IF(A271="","",INT((DAY(A271)-1)/7)+1)</f>
        <v/>
      </c>
      <c r="C271" s="9" t="n"/>
      <c r="D271" s="9" t="n"/>
      <c r="E271" s="9" t="n"/>
      <c r="F271" s="9" t="n"/>
      <c r="G271" s="9" t="n"/>
      <c r="H271" s="9" t="n"/>
      <c r="I271" s="9" t="n"/>
      <c r="J271" s="3" t="n"/>
      <c r="K271" s="9" t="n"/>
    </row>
    <row r="272">
      <c r="A272" s="4" t="n"/>
      <c r="B272" s="9">
        <f>IF(A272="","",INT((DAY(A272)-1)/7)+1)</f>
        <v/>
      </c>
      <c r="C272" s="9" t="n"/>
      <c r="D272" s="9" t="n"/>
      <c r="E272" s="9" t="n"/>
      <c r="F272" s="9" t="n"/>
      <c r="G272" s="9" t="n"/>
      <c r="H272" s="9" t="n"/>
      <c r="I272" s="9" t="n"/>
      <c r="J272" s="3" t="n"/>
      <c r="K272" s="9" t="n"/>
    </row>
    <row r="273">
      <c r="A273" s="4" t="n"/>
      <c r="B273" s="9">
        <f>IF(A273="","",INT((DAY(A273)-1)/7)+1)</f>
        <v/>
      </c>
      <c r="C273" s="9" t="n"/>
      <c r="D273" s="9" t="n"/>
      <c r="E273" s="9" t="n"/>
      <c r="F273" s="9" t="n"/>
      <c r="G273" s="9" t="n"/>
      <c r="H273" s="9" t="n"/>
      <c r="I273" s="9" t="n"/>
      <c r="J273" s="3" t="n"/>
      <c r="K273" s="9" t="n"/>
    </row>
    <row r="274">
      <c r="A274" s="4" t="n"/>
      <c r="B274" s="9">
        <f>IF(A274="","",INT((DAY(A274)-1)/7)+1)</f>
        <v/>
      </c>
      <c r="C274" s="9" t="n"/>
      <c r="D274" s="9" t="n"/>
      <c r="E274" s="9" t="n"/>
      <c r="F274" s="9" t="n"/>
      <c r="G274" s="9" t="n"/>
      <c r="H274" s="9" t="n"/>
      <c r="I274" s="9" t="n"/>
      <c r="J274" s="3" t="n"/>
      <c r="K274" s="9" t="n"/>
    </row>
    <row r="275">
      <c r="A275" s="4" t="n"/>
      <c r="B275" s="9">
        <f>IF(A275="","",INT((DAY(A275)-1)/7)+1)</f>
        <v/>
      </c>
      <c r="C275" s="9" t="n"/>
      <c r="D275" s="9" t="n"/>
      <c r="E275" s="9" t="n"/>
      <c r="F275" s="9" t="n"/>
      <c r="G275" s="9" t="n"/>
      <c r="H275" s="9" t="n"/>
      <c r="I275" s="9" t="n"/>
      <c r="J275" s="3" t="n"/>
      <c r="K275" s="9" t="n"/>
    </row>
    <row r="276">
      <c r="A276" s="4" t="n"/>
      <c r="B276" s="9">
        <f>IF(A276="","",INT((DAY(A276)-1)/7)+1)</f>
        <v/>
      </c>
      <c r="C276" s="9" t="n"/>
      <c r="D276" s="9" t="n"/>
      <c r="E276" s="9" t="n"/>
      <c r="F276" s="9" t="n"/>
      <c r="G276" s="9" t="n"/>
      <c r="H276" s="9" t="n"/>
      <c r="I276" s="9" t="n"/>
      <c r="J276" s="3" t="n"/>
      <c r="K276" s="9" t="n"/>
    </row>
    <row r="277">
      <c r="A277" s="4" t="n"/>
      <c r="B277" s="9">
        <f>IF(A277="","",INT((DAY(A277)-1)/7)+1)</f>
        <v/>
      </c>
      <c r="C277" s="9" t="n"/>
      <c r="D277" s="9" t="n"/>
      <c r="E277" s="9" t="n"/>
      <c r="F277" s="9" t="n"/>
      <c r="G277" s="9" t="n"/>
      <c r="H277" s="9" t="n"/>
      <c r="I277" s="9" t="n"/>
      <c r="J277" s="3" t="n"/>
      <c r="K277" s="9" t="n"/>
    </row>
    <row r="278">
      <c r="A278" s="4" t="n"/>
      <c r="B278" s="9">
        <f>IF(A278="","",INT((DAY(A278)-1)/7)+1)</f>
        <v/>
      </c>
      <c r="C278" s="9" t="n"/>
      <c r="D278" s="9" t="n"/>
      <c r="E278" s="9" t="n"/>
      <c r="F278" s="9" t="n"/>
      <c r="G278" s="9" t="n"/>
      <c r="H278" s="9" t="n"/>
      <c r="I278" s="9" t="n"/>
      <c r="J278" s="3" t="n"/>
      <c r="K278" s="9" t="n"/>
    </row>
    <row r="279">
      <c r="A279" s="4" t="n"/>
      <c r="B279" s="9">
        <f>IF(A279="","",INT((DAY(A279)-1)/7)+1)</f>
        <v/>
      </c>
      <c r="C279" s="9" t="n"/>
      <c r="D279" s="9" t="n"/>
      <c r="E279" s="9" t="n"/>
      <c r="F279" s="9" t="n"/>
      <c r="G279" s="9" t="n"/>
      <c r="H279" s="9" t="n"/>
      <c r="I279" s="9" t="n"/>
      <c r="J279" s="3" t="n"/>
      <c r="K279" s="9" t="n"/>
    </row>
    <row r="280">
      <c r="A280" s="4" t="n"/>
      <c r="B280" s="9">
        <f>IF(A280="","",INT((DAY(A280)-1)/7)+1)</f>
        <v/>
      </c>
      <c r="C280" s="9" t="n"/>
      <c r="D280" s="9" t="n"/>
      <c r="E280" s="9" t="n"/>
      <c r="F280" s="9" t="n"/>
      <c r="G280" s="9" t="n"/>
      <c r="H280" s="9" t="n"/>
      <c r="I280" s="9" t="n"/>
      <c r="J280" s="3" t="n"/>
      <c r="K280" s="9" t="n"/>
    </row>
    <row r="281">
      <c r="A281" s="4" t="n"/>
      <c r="B281" s="9">
        <f>IF(A281="","",INT((DAY(A281)-1)/7)+1)</f>
        <v/>
      </c>
      <c r="C281" s="9" t="n"/>
      <c r="D281" s="9" t="n"/>
      <c r="E281" s="9" t="n"/>
      <c r="F281" s="9" t="n"/>
      <c r="G281" s="9" t="n"/>
      <c r="H281" s="9" t="n"/>
      <c r="I281" s="9" t="n"/>
      <c r="J281" s="3" t="n"/>
      <c r="K281" s="9" t="n"/>
    </row>
    <row r="282">
      <c r="A282" s="4" t="n"/>
      <c r="B282" s="9">
        <f>IF(A282="","",INT((DAY(A282)-1)/7)+1)</f>
        <v/>
      </c>
      <c r="C282" s="9" t="n"/>
      <c r="D282" s="9" t="n"/>
      <c r="E282" s="9" t="n"/>
      <c r="F282" s="9" t="n"/>
      <c r="G282" s="9" t="n"/>
      <c r="H282" s="9" t="n"/>
      <c r="I282" s="9" t="n"/>
      <c r="J282" s="3" t="n"/>
      <c r="K282" s="9" t="n"/>
    </row>
    <row r="283">
      <c r="A283" s="4" t="n"/>
      <c r="B283" s="9">
        <f>IF(A283="","",INT((DAY(A283)-1)/7)+1)</f>
        <v/>
      </c>
      <c r="C283" s="9" t="n"/>
      <c r="D283" s="9" t="n"/>
      <c r="E283" s="9" t="n"/>
      <c r="F283" s="9" t="n"/>
      <c r="G283" s="9" t="n"/>
      <c r="H283" s="9" t="n"/>
      <c r="I283" s="9" t="n"/>
      <c r="J283" s="3" t="n"/>
      <c r="K283" s="9" t="n"/>
    </row>
    <row r="284">
      <c r="A284" s="4" t="n"/>
      <c r="B284" s="9">
        <f>IF(A284="","",INT((DAY(A284)-1)/7)+1)</f>
        <v/>
      </c>
      <c r="C284" s="9" t="n"/>
      <c r="D284" s="9" t="n"/>
      <c r="E284" s="9" t="n"/>
      <c r="F284" s="9" t="n"/>
      <c r="G284" s="9" t="n"/>
      <c r="H284" s="9" t="n"/>
      <c r="I284" s="9" t="n"/>
      <c r="J284" s="3" t="n"/>
      <c r="K284" s="9" t="n"/>
    </row>
    <row r="285">
      <c r="A285" s="4" t="n"/>
      <c r="B285" s="9">
        <f>IF(A285="","",INT((DAY(A285)-1)/7)+1)</f>
        <v/>
      </c>
      <c r="C285" s="9" t="n"/>
      <c r="D285" s="9" t="n"/>
      <c r="E285" s="9" t="n"/>
      <c r="F285" s="9" t="n"/>
      <c r="G285" s="9" t="n"/>
      <c r="H285" s="9" t="n"/>
      <c r="I285" s="9" t="n"/>
      <c r="J285" s="3" t="n"/>
      <c r="K285" s="9" t="n"/>
    </row>
    <row r="286">
      <c r="A286" s="4" t="n"/>
      <c r="B286" s="9">
        <f>IF(A286="","",INT((DAY(A286)-1)/7)+1)</f>
        <v/>
      </c>
      <c r="C286" s="9" t="n"/>
      <c r="D286" s="9" t="n"/>
      <c r="E286" s="9" t="n"/>
      <c r="F286" s="9" t="n"/>
      <c r="G286" s="9" t="n"/>
      <c r="H286" s="9" t="n"/>
      <c r="I286" s="9" t="n"/>
      <c r="J286" s="3" t="n"/>
      <c r="K286" s="9" t="n"/>
    </row>
    <row r="287">
      <c r="A287" s="4" t="n"/>
      <c r="B287" s="9">
        <f>IF(A287="","",INT((DAY(A287)-1)/7)+1)</f>
        <v/>
      </c>
      <c r="C287" s="9" t="n"/>
      <c r="D287" s="9" t="n"/>
      <c r="E287" s="9" t="n"/>
      <c r="F287" s="9" t="n"/>
      <c r="G287" s="9" t="n"/>
      <c r="H287" s="9" t="n"/>
      <c r="I287" s="9" t="n"/>
      <c r="J287" s="3" t="n"/>
      <c r="K287" s="9" t="n"/>
    </row>
    <row r="288">
      <c r="A288" s="4" t="n"/>
      <c r="B288" s="9">
        <f>IF(A288="","",INT((DAY(A288)-1)/7)+1)</f>
        <v/>
      </c>
      <c r="C288" s="9" t="n"/>
      <c r="D288" s="9" t="n"/>
      <c r="E288" s="9" t="n"/>
      <c r="F288" s="9" t="n"/>
      <c r="G288" s="9" t="n"/>
      <c r="H288" s="9" t="n"/>
      <c r="I288" s="9" t="n"/>
      <c r="J288" s="3" t="n"/>
      <c r="K288" s="9" t="n"/>
    </row>
    <row r="289">
      <c r="A289" s="4" t="n"/>
      <c r="B289" s="9">
        <f>IF(A289="","",INT((DAY(A289)-1)/7)+1)</f>
        <v/>
      </c>
      <c r="C289" s="9" t="n"/>
      <c r="D289" s="9" t="n"/>
      <c r="E289" s="9" t="n"/>
      <c r="F289" s="9" t="n"/>
      <c r="G289" s="9" t="n"/>
      <c r="H289" s="9" t="n"/>
      <c r="I289" s="9" t="n"/>
      <c r="J289" s="3" t="n"/>
      <c r="K289" s="9" t="n"/>
    </row>
    <row r="290">
      <c r="A290" s="4" t="n"/>
      <c r="B290" s="9">
        <f>IF(A290="","",INT((DAY(A290)-1)/7)+1)</f>
        <v/>
      </c>
      <c r="C290" s="9" t="n"/>
      <c r="D290" s="9" t="n"/>
      <c r="E290" s="9" t="n"/>
      <c r="F290" s="9" t="n"/>
      <c r="G290" s="9" t="n"/>
      <c r="H290" s="9" t="n"/>
      <c r="I290" s="9" t="n"/>
      <c r="J290" s="3" t="n"/>
      <c r="K290" s="9" t="n"/>
    </row>
    <row r="291">
      <c r="A291" s="4" t="n"/>
      <c r="B291" s="9">
        <f>IF(A291="","",INT((DAY(A291)-1)/7)+1)</f>
        <v/>
      </c>
      <c r="C291" s="9" t="n"/>
      <c r="D291" s="9" t="n"/>
      <c r="E291" s="9" t="n"/>
      <c r="F291" s="9" t="n"/>
      <c r="G291" s="9" t="n"/>
      <c r="H291" s="9" t="n"/>
      <c r="I291" s="9" t="n"/>
      <c r="J291" s="3" t="n"/>
      <c r="K291" s="9" t="n"/>
    </row>
    <row r="292">
      <c r="A292" s="4" t="n"/>
      <c r="B292" s="9">
        <f>IF(A292="","",INT((DAY(A292)-1)/7)+1)</f>
        <v/>
      </c>
      <c r="C292" s="9" t="n"/>
      <c r="D292" s="9" t="n"/>
      <c r="E292" s="9" t="n"/>
      <c r="F292" s="9" t="n"/>
      <c r="G292" s="9" t="n"/>
      <c r="H292" s="9" t="n"/>
      <c r="I292" s="9" t="n"/>
      <c r="J292" s="3" t="n"/>
      <c r="K292" s="9" t="n"/>
    </row>
    <row r="293">
      <c r="A293" s="4" t="n"/>
      <c r="B293" s="9">
        <f>IF(A293="","",INT((DAY(A293)-1)/7)+1)</f>
        <v/>
      </c>
      <c r="C293" s="9" t="n"/>
      <c r="D293" s="9" t="n"/>
      <c r="E293" s="9" t="n"/>
      <c r="F293" s="9" t="n"/>
      <c r="G293" s="9" t="n"/>
      <c r="H293" s="9" t="n"/>
      <c r="I293" s="9" t="n"/>
      <c r="J293" s="3" t="n"/>
      <c r="K293" s="9" t="n"/>
    </row>
    <row r="294">
      <c r="A294" s="4" t="n"/>
      <c r="B294" s="9">
        <f>IF(A294="","",INT((DAY(A294)-1)/7)+1)</f>
        <v/>
      </c>
      <c r="C294" s="9" t="n"/>
      <c r="D294" s="9" t="n"/>
      <c r="E294" s="9" t="n"/>
      <c r="F294" s="9" t="n"/>
      <c r="G294" s="9" t="n"/>
      <c r="H294" s="9" t="n"/>
      <c r="I294" s="9" t="n"/>
      <c r="J294" s="3" t="n"/>
      <c r="K294" s="9" t="n"/>
    </row>
    <row r="295">
      <c r="A295" s="4" t="n"/>
      <c r="B295" s="9">
        <f>IF(A295="","",INT((DAY(A295)-1)/7)+1)</f>
        <v/>
      </c>
      <c r="C295" s="9" t="n"/>
      <c r="D295" s="9" t="n"/>
      <c r="E295" s="9" t="n"/>
      <c r="F295" s="9" t="n"/>
      <c r="G295" s="9" t="n"/>
      <c r="H295" s="9" t="n"/>
      <c r="I295" s="9" t="n"/>
      <c r="J295" s="3" t="n"/>
      <c r="K295" s="9" t="n"/>
    </row>
    <row r="296">
      <c r="A296" s="4" t="n"/>
      <c r="B296" s="9">
        <f>IF(A296="","",INT((DAY(A296)-1)/7)+1)</f>
        <v/>
      </c>
      <c r="C296" s="9" t="n"/>
      <c r="D296" s="9" t="n"/>
      <c r="E296" s="9" t="n"/>
      <c r="F296" s="9" t="n"/>
      <c r="G296" s="9" t="n"/>
      <c r="H296" s="9" t="n"/>
      <c r="I296" s="9" t="n"/>
      <c r="J296" s="3" t="n"/>
      <c r="K296" s="9" t="n"/>
    </row>
    <row r="297">
      <c r="A297" s="4" t="n"/>
      <c r="B297" s="9">
        <f>IF(A297="","",INT((DAY(A297)-1)/7)+1)</f>
        <v/>
      </c>
      <c r="C297" s="9" t="n"/>
      <c r="D297" s="9" t="n"/>
      <c r="E297" s="9" t="n"/>
      <c r="F297" s="9" t="n"/>
      <c r="G297" s="9" t="n"/>
      <c r="H297" s="9" t="n"/>
      <c r="I297" s="9" t="n"/>
      <c r="J297" s="3" t="n"/>
      <c r="K297" s="9" t="n"/>
    </row>
    <row r="298">
      <c r="A298" s="4" t="n"/>
      <c r="B298" s="9">
        <f>IF(A298="","",INT((DAY(A298)-1)/7)+1)</f>
        <v/>
      </c>
      <c r="C298" s="9" t="n"/>
      <c r="D298" s="9" t="n"/>
      <c r="E298" s="9" t="n"/>
      <c r="F298" s="9" t="n"/>
      <c r="G298" s="9" t="n"/>
      <c r="H298" s="9" t="n"/>
      <c r="I298" s="9" t="n"/>
      <c r="J298" s="3" t="n"/>
      <c r="K298" s="9" t="n"/>
    </row>
    <row r="299">
      <c r="A299" s="4" t="n"/>
      <c r="B299" s="9">
        <f>IF(A299="","",INT((DAY(A299)-1)/7)+1)</f>
        <v/>
      </c>
      <c r="C299" s="9" t="n"/>
      <c r="D299" s="9" t="n"/>
      <c r="E299" s="9" t="n"/>
      <c r="F299" s="9" t="n"/>
      <c r="G299" s="9" t="n"/>
      <c r="H299" s="9" t="n"/>
      <c r="I299" s="9" t="n"/>
      <c r="J299" s="3" t="n"/>
      <c r="K299" s="9" t="n"/>
    </row>
    <row r="300">
      <c r="A300" s="4" t="n"/>
      <c r="B300" s="9">
        <f>IF(A300="","",INT((DAY(A300)-1)/7)+1)</f>
        <v/>
      </c>
      <c r="C300" s="9" t="n"/>
      <c r="D300" s="9" t="n"/>
      <c r="E300" s="9" t="n"/>
      <c r="F300" s="9" t="n"/>
      <c r="G300" s="9" t="n"/>
      <c r="H300" s="9" t="n"/>
      <c r="I300" s="9" t="n"/>
      <c r="J300" s="3" t="n"/>
      <c r="K300" s="9" t="n"/>
    </row>
    <row r="301">
      <c r="A301" s="4" t="n"/>
      <c r="B301" s="9">
        <f>IF(A301="","",INT((DAY(A301)-1)/7)+1)</f>
        <v/>
      </c>
      <c r="C301" s="9" t="n"/>
      <c r="D301" s="9" t="n"/>
      <c r="E301" s="9" t="n"/>
      <c r="F301" s="9" t="n"/>
      <c r="G301" s="9" t="n"/>
      <c r="H301" s="9" t="n"/>
      <c r="I301" s="9" t="n"/>
      <c r="J301" s="3" t="n"/>
      <c r="K301" s="9" t="n"/>
    </row>
    <row r="302">
      <c r="A302" s="4" t="n"/>
      <c r="B302" s="9">
        <f>IF(A302="","",INT((DAY(A302)-1)/7)+1)</f>
        <v/>
      </c>
      <c r="C302" s="9" t="n"/>
      <c r="D302" s="9" t="n"/>
      <c r="E302" s="9" t="n"/>
      <c r="F302" s="9" t="n"/>
      <c r="G302" s="9" t="n"/>
      <c r="H302" s="9" t="n"/>
      <c r="I302" s="9" t="n"/>
      <c r="J302" s="3" t="n"/>
      <c r="K302" s="9" t="n"/>
    </row>
    <row r="303">
      <c r="A303" s="4" t="n"/>
      <c r="B303" s="9">
        <f>IF(A303="","",INT((DAY(A303)-1)/7)+1)</f>
        <v/>
      </c>
      <c r="C303" s="9" t="n"/>
      <c r="D303" s="9" t="n"/>
      <c r="E303" s="9" t="n"/>
      <c r="F303" s="9" t="n"/>
      <c r="G303" s="9" t="n"/>
      <c r="H303" s="9" t="n"/>
      <c r="I303" s="9" t="n"/>
      <c r="J303" s="3" t="n"/>
      <c r="K303" s="9" t="n"/>
    </row>
    <row r="304">
      <c r="A304" s="4" t="n"/>
      <c r="B304" s="9">
        <f>IF(A304="","",INT((DAY(A304)-1)/7)+1)</f>
        <v/>
      </c>
      <c r="C304" s="9" t="n"/>
      <c r="D304" s="9" t="n"/>
      <c r="E304" s="9" t="n"/>
      <c r="F304" s="9" t="n"/>
      <c r="G304" s="9" t="n"/>
      <c r="H304" s="9" t="n"/>
      <c r="I304" s="9" t="n"/>
      <c r="J304" s="3" t="n"/>
      <c r="K304" s="9" t="n"/>
    </row>
    <row r="305">
      <c r="A305" s="4" t="n"/>
      <c r="B305" s="9">
        <f>IF(A305="","",INT((DAY(A305)-1)/7)+1)</f>
        <v/>
      </c>
      <c r="C305" s="9" t="n"/>
      <c r="D305" s="9" t="n"/>
      <c r="E305" s="9" t="n"/>
      <c r="F305" s="9" t="n"/>
      <c r="G305" s="9" t="n"/>
      <c r="H305" s="9" t="n"/>
      <c r="I305" s="9" t="n"/>
      <c r="J305" s="3" t="n"/>
      <c r="K305" s="9" t="n"/>
    </row>
    <row r="306">
      <c r="A306" s="4" t="n"/>
      <c r="B306" s="9">
        <f>IF(A306="","",INT((DAY(A306)-1)/7)+1)</f>
        <v/>
      </c>
      <c r="C306" s="9" t="n"/>
      <c r="D306" s="9" t="n"/>
      <c r="E306" s="9" t="n"/>
      <c r="F306" s="9" t="n"/>
      <c r="G306" s="9" t="n"/>
      <c r="H306" s="9" t="n"/>
      <c r="I306" s="9" t="n"/>
      <c r="J306" s="3" t="n"/>
      <c r="K306" s="9" t="n"/>
    </row>
    <row r="307">
      <c r="A307" s="4" t="n"/>
      <c r="B307" s="9">
        <f>IF(A307="","",INT((DAY(A307)-1)/7)+1)</f>
        <v/>
      </c>
      <c r="C307" s="9" t="n"/>
      <c r="D307" s="9" t="n"/>
      <c r="E307" s="9" t="n"/>
      <c r="F307" s="9" t="n"/>
      <c r="G307" s="9" t="n"/>
      <c r="H307" s="9" t="n"/>
      <c r="I307" s="9" t="n"/>
      <c r="J307" s="3" t="n"/>
      <c r="K307" s="9" t="n"/>
    </row>
    <row r="308">
      <c r="A308" s="4" t="n"/>
      <c r="B308" s="9">
        <f>IF(A308="","",INT((DAY(A308)-1)/7)+1)</f>
        <v/>
      </c>
      <c r="C308" s="9" t="n"/>
      <c r="D308" s="9" t="n"/>
      <c r="E308" s="9" t="n"/>
      <c r="F308" s="9" t="n"/>
      <c r="G308" s="9" t="n"/>
      <c r="H308" s="9" t="n"/>
      <c r="I308" s="9" t="n"/>
      <c r="J308" s="3" t="n"/>
      <c r="K308" s="9" t="n"/>
    </row>
    <row r="309">
      <c r="A309" s="4" t="n"/>
      <c r="B309" s="9">
        <f>IF(A309="","",INT((DAY(A309)-1)/7)+1)</f>
        <v/>
      </c>
      <c r="C309" s="9" t="n"/>
      <c r="D309" s="9" t="n"/>
      <c r="E309" s="9" t="n"/>
      <c r="F309" s="9" t="n"/>
      <c r="G309" s="9" t="n"/>
      <c r="H309" s="9" t="n"/>
      <c r="I309" s="9" t="n"/>
      <c r="J309" s="3" t="n"/>
      <c r="K309" s="9" t="n"/>
    </row>
    <row r="310">
      <c r="A310" s="4" t="n"/>
      <c r="B310" s="9">
        <f>IF(A310="","",INT((DAY(A310)-1)/7)+1)</f>
        <v/>
      </c>
      <c r="C310" s="9" t="n"/>
      <c r="D310" s="9" t="n"/>
      <c r="E310" s="9" t="n"/>
      <c r="F310" s="9" t="n"/>
      <c r="G310" s="9" t="n"/>
      <c r="H310" s="9" t="n"/>
      <c r="I310" s="9" t="n"/>
      <c r="J310" s="3" t="n"/>
      <c r="K310" s="9" t="n"/>
    </row>
    <row r="311">
      <c r="A311" s="4" t="n"/>
      <c r="B311" s="9">
        <f>IF(A311="","",INT((DAY(A311)-1)/7)+1)</f>
        <v/>
      </c>
      <c r="C311" s="9" t="n"/>
      <c r="D311" s="9" t="n"/>
      <c r="E311" s="9" t="n"/>
      <c r="F311" s="9" t="n"/>
      <c r="G311" s="9" t="n"/>
      <c r="H311" s="9" t="n"/>
      <c r="I311" s="9" t="n"/>
      <c r="J311" s="3" t="n"/>
      <c r="K311" s="9" t="n"/>
    </row>
    <row r="312">
      <c r="A312" s="4" t="n"/>
      <c r="B312" s="9">
        <f>IF(A312="","",INT((DAY(A312)-1)/7)+1)</f>
        <v/>
      </c>
      <c r="C312" s="9" t="n"/>
      <c r="D312" s="9" t="n"/>
      <c r="E312" s="9" t="n"/>
      <c r="F312" s="9" t="n"/>
      <c r="G312" s="9" t="n"/>
      <c r="H312" s="9" t="n"/>
      <c r="I312" s="9" t="n"/>
      <c r="J312" s="3" t="n"/>
      <c r="K312" s="9" t="n"/>
    </row>
    <row r="313">
      <c r="A313" s="4" t="n"/>
      <c r="B313" s="9">
        <f>IF(A313="","",INT((DAY(A313)-1)/7)+1)</f>
        <v/>
      </c>
      <c r="C313" s="9" t="n"/>
      <c r="D313" s="9" t="n"/>
      <c r="E313" s="9" t="n"/>
      <c r="F313" s="9" t="n"/>
      <c r="G313" s="9" t="n"/>
      <c r="H313" s="9" t="n"/>
      <c r="I313" s="9" t="n"/>
      <c r="J313" s="3" t="n"/>
      <c r="K313" s="9" t="n"/>
    </row>
    <row r="314">
      <c r="A314" s="4" t="n"/>
      <c r="B314" s="9">
        <f>IF(A314="","",INT((DAY(A314)-1)/7)+1)</f>
        <v/>
      </c>
      <c r="C314" s="9" t="n"/>
      <c r="D314" s="9" t="n"/>
      <c r="E314" s="9" t="n"/>
      <c r="F314" s="9" t="n"/>
      <c r="G314" s="9" t="n"/>
      <c r="H314" s="9" t="n"/>
      <c r="I314" s="9" t="n"/>
      <c r="J314" s="3" t="n"/>
      <c r="K314" s="9" t="n"/>
    </row>
    <row r="315">
      <c r="A315" s="4" t="n"/>
      <c r="B315" s="9">
        <f>IF(A315="","",INT((DAY(A315)-1)/7)+1)</f>
        <v/>
      </c>
      <c r="C315" s="9" t="n"/>
      <c r="D315" s="9" t="n"/>
      <c r="E315" s="9" t="n"/>
      <c r="F315" s="9" t="n"/>
      <c r="G315" s="9" t="n"/>
      <c r="H315" s="9" t="n"/>
      <c r="I315" s="9" t="n"/>
      <c r="J315" s="3" t="n"/>
      <c r="K315" s="9" t="n"/>
    </row>
    <row r="316">
      <c r="A316" s="4" t="n"/>
      <c r="B316" s="9">
        <f>IF(A316="","",INT((DAY(A316)-1)/7)+1)</f>
        <v/>
      </c>
      <c r="C316" s="9" t="n"/>
      <c r="D316" s="9" t="n"/>
      <c r="E316" s="9" t="n"/>
      <c r="F316" s="9" t="n"/>
      <c r="G316" s="9" t="n"/>
      <c r="H316" s="9" t="n"/>
      <c r="I316" s="9" t="n"/>
      <c r="J316" s="3" t="n"/>
      <c r="K316" s="9" t="n"/>
    </row>
    <row r="317">
      <c r="A317" s="4" t="n"/>
      <c r="B317" s="9">
        <f>IF(A317="","",INT((DAY(A317)-1)/7)+1)</f>
        <v/>
      </c>
      <c r="C317" s="9" t="n"/>
      <c r="D317" s="9" t="n"/>
      <c r="E317" s="9" t="n"/>
      <c r="F317" s="9" t="n"/>
      <c r="G317" s="9" t="n"/>
      <c r="H317" s="9" t="n"/>
      <c r="I317" s="9" t="n"/>
      <c r="J317" s="3" t="n"/>
      <c r="K317" s="9" t="n"/>
    </row>
    <row r="318">
      <c r="A318" s="4" t="n"/>
      <c r="B318" s="9">
        <f>IF(A318="","",INT((DAY(A318)-1)/7)+1)</f>
        <v/>
      </c>
      <c r="C318" s="9" t="n"/>
      <c r="D318" s="9" t="n"/>
      <c r="E318" s="9" t="n"/>
      <c r="F318" s="9" t="n"/>
      <c r="G318" s="9" t="n"/>
      <c r="H318" s="9" t="n"/>
      <c r="I318" s="9" t="n"/>
      <c r="J318" s="3" t="n"/>
      <c r="K318" s="9" t="n"/>
    </row>
    <row r="319">
      <c r="A319" s="4" t="n"/>
      <c r="B319" s="9">
        <f>IF(A319="","",INT((DAY(A319)-1)/7)+1)</f>
        <v/>
      </c>
      <c r="C319" s="9" t="n"/>
      <c r="D319" s="9" t="n"/>
      <c r="E319" s="9" t="n"/>
      <c r="F319" s="9" t="n"/>
      <c r="G319" s="9" t="n"/>
      <c r="H319" s="9" t="n"/>
      <c r="I319" s="9" t="n"/>
      <c r="J319" s="3" t="n"/>
      <c r="K319" s="9" t="n"/>
    </row>
    <row r="320">
      <c r="A320" s="4" t="n"/>
      <c r="B320" s="9">
        <f>IF(A320="","",INT((DAY(A320)-1)/7)+1)</f>
        <v/>
      </c>
      <c r="C320" s="9" t="n"/>
      <c r="D320" s="9" t="n"/>
      <c r="E320" s="9" t="n"/>
      <c r="F320" s="9" t="n"/>
      <c r="G320" s="9" t="n"/>
      <c r="H320" s="9" t="n"/>
      <c r="I320" s="9" t="n"/>
      <c r="J320" s="3" t="n"/>
      <c r="K320" s="9" t="n"/>
    </row>
    <row r="321">
      <c r="A321" s="4" t="n"/>
      <c r="B321" s="9">
        <f>IF(A321="","",INT((DAY(A321)-1)/7)+1)</f>
        <v/>
      </c>
      <c r="C321" s="9" t="n"/>
      <c r="D321" s="9" t="n"/>
      <c r="E321" s="9" t="n"/>
      <c r="F321" s="9" t="n"/>
      <c r="G321" s="9" t="n"/>
      <c r="H321" s="9" t="n"/>
      <c r="I321" s="9" t="n"/>
      <c r="J321" s="3" t="n"/>
      <c r="K321" s="9" t="n"/>
    </row>
    <row r="322">
      <c r="A322" s="4" t="n"/>
      <c r="B322" s="9">
        <f>IF(A322="","",INT((DAY(A322)-1)/7)+1)</f>
        <v/>
      </c>
      <c r="C322" s="9" t="n"/>
      <c r="D322" s="9" t="n"/>
      <c r="E322" s="9" t="n"/>
      <c r="F322" s="9" t="n"/>
      <c r="G322" s="9" t="n"/>
      <c r="H322" s="9" t="n"/>
      <c r="I322" s="9" t="n"/>
      <c r="J322" s="3" t="n"/>
      <c r="K322" s="9" t="n"/>
    </row>
    <row r="323">
      <c r="A323" s="4" t="n"/>
      <c r="B323" s="9">
        <f>IF(A323="","",INT((DAY(A323)-1)/7)+1)</f>
        <v/>
      </c>
      <c r="C323" s="9" t="n"/>
      <c r="D323" s="9" t="n"/>
      <c r="E323" s="9" t="n"/>
      <c r="F323" s="9" t="n"/>
      <c r="G323" s="9" t="n"/>
      <c r="H323" s="9" t="n"/>
      <c r="I323" s="9" t="n"/>
      <c r="J323" s="3" t="n"/>
      <c r="K323" s="9" t="n"/>
    </row>
    <row r="324">
      <c r="A324" s="4" t="n"/>
      <c r="B324" s="9">
        <f>IF(A324="","",INT((DAY(A324)-1)/7)+1)</f>
        <v/>
      </c>
      <c r="C324" s="9" t="n"/>
      <c r="D324" s="9" t="n"/>
      <c r="E324" s="9" t="n"/>
      <c r="F324" s="9" t="n"/>
      <c r="G324" s="9" t="n"/>
      <c r="H324" s="9" t="n"/>
      <c r="I324" s="9" t="n"/>
      <c r="J324" s="3" t="n"/>
      <c r="K324" s="9" t="n"/>
    </row>
    <row r="325">
      <c r="A325" s="4" t="n"/>
      <c r="B325" s="9">
        <f>IF(A325="","",INT((DAY(A325)-1)/7)+1)</f>
        <v/>
      </c>
      <c r="C325" s="9" t="n"/>
      <c r="D325" s="9" t="n"/>
      <c r="E325" s="9" t="n"/>
      <c r="F325" s="9" t="n"/>
      <c r="G325" s="9" t="n"/>
      <c r="H325" s="9" t="n"/>
      <c r="I325" s="9" t="n"/>
      <c r="J325" s="3" t="n"/>
      <c r="K325" s="9" t="n"/>
    </row>
    <row r="326">
      <c r="A326" s="4" t="n"/>
      <c r="B326" s="9">
        <f>IF(A326="","",INT((DAY(A326)-1)/7)+1)</f>
        <v/>
      </c>
      <c r="C326" s="9" t="n"/>
      <c r="D326" s="9" t="n"/>
      <c r="E326" s="9" t="n"/>
      <c r="F326" s="9" t="n"/>
      <c r="G326" s="9" t="n"/>
      <c r="H326" s="9" t="n"/>
      <c r="I326" s="9" t="n"/>
      <c r="J326" s="3" t="n"/>
      <c r="K326" s="9" t="n"/>
    </row>
    <row r="327">
      <c r="A327" s="4" t="n"/>
      <c r="B327" s="9">
        <f>IF(A327="","",INT((DAY(A327)-1)/7)+1)</f>
        <v/>
      </c>
      <c r="C327" s="9" t="n"/>
      <c r="D327" s="9" t="n"/>
      <c r="E327" s="9" t="n"/>
      <c r="F327" s="9" t="n"/>
      <c r="G327" s="9" t="n"/>
      <c r="H327" s="9" t="n"/>
      <c r="I327" s="9" t="n"/>
      <c r="J327" s="3" t="n"/>
      <c r="K327" s="9" t="n"/>
    </row>
    <row r="328">
      <c r="A328" s="4" t="n"/>
      <c r="B328" s="9">
        <f>IF(A328="","",INT((DAY(A328)-1)/7)+1)</f>
        <v/>
      </c>
      <c r="C328" s="9" t="n"/>
      <c r="D328" s="9" t="n"/>
      <c r="E328" s="9" t="n"/>
      <c r="F328" s="9" t="n"/>
      <c r="G328" s="9" t="n"/>
      <c r="H328" s="9" t="n"/>
      <c r="I328" s="9" t="n"/>
      <c r="J328" s="3" t="n"/>
      <c r="K328" s="9" t="n"/>
    </row>
    <row r="329">
      <c r="A329" s="4" t="n"/>
      <c r="B329" s="9">
        <f>IF(A329="","",INT((DAY(A329)-1)/7)+1)</f>
        <v/>
      </c>
      <c r="C329" s="9" t="n"/>
      <c r="D329" s="9" t="n"/>
      <c r="E329" s="9" t="n"/>
      <c r="F329" s="9" t="n"/>
      <c r="G329" s="9" t="n"/>
      <c r="H329" s="9" t="n"/>
      <c r="I329" s="9" t="n"/>
      <c r="J329" s="3" t="n"/>
      <c r="K329" s="9" t="n"/>
    </row>
    <row r="330">
      <c r="A330" s="4" t="n"/>
      <c r="B330" s="9">
        <f>IF(A330="","",INT((DAY(A330)-1)/7)+1)</f>
        <v/>
      </c>
      <c r="C330" s="9" t="n"/>
      <c r="D330" s="9" t="n"/>
      <c r="E330" s="9" t="n"/>
      <c r="F330" s="9" t="n"/>
      <c r="G330" s="9" t="n"/>
      <c r="H330" s="9" t="n"/>
      <c r="I330" s="9" t="n"/>
      <c r="J330" s="3" t="n"/>
      <c r="K330" s="9" t="n"/>
    </row>
    <row r="331">
      <c r="A331" s="4" t="n"/>
      <c r="B331" s="9">
        <f>IF(A331="","",INT((DAY(A331)-1)/7)+1)</f>
        <v/>
      </c>
      <c r="C331" s="9" t="n"/>
      <c r="D331" s="9" t="n"/>
      <c r="E331" s="9" t="n"/>
      <c r="F331" s="9" t="n"/>
      <c r="G331" s="9" t="n"/>
      <c r="H331" s="9" t="n"/>
      <c r="I331" s="9" t="n"/>
      <c r="J331" s="3" t="n"/>
      <c r="K331" s="9" t="n"/>
    </row>
    <row r="332">
      <c r="A332" s="4" t="n"/>
      <c r="B332" s="9">
        <f>IF(A332="","",INT((DAY(A332)-1)/7)+1)</f>
        <v/>
      </c>
      <c r="C332" s="9" t="n"/>
      <c r="D332" s="9" t="n"/>
      <c r="E332" s="9" t="n"/>
      <c r="F332" s="9" t="n"/>
      <c r="G332" s="9" t="n"/>
      <c r="H332" s="9" t="n"/>
      <c r="I332" s="9" t="n"/>
      <c r="J332" s="3" t="n"/>
      <c r="K332" s="9" t="n"/>
    </row>
    <row r="333">
      <c r="A333" s="4" t="n"/>
      <c r="B333" s="9">
        <f>IF(A333="","",INT((DAY(A333)-1)/7)+1)</f>
        <v/>
      </c>
      <c r="C333" s="9" t="n"/>
      <c r="D333" s="9" t="n"/>
      <c r="E333" s="9" t="n"/>
      <c r="F333" s="9" t="n"/>
      <c r="G333" s="9" t="n"/>
      <c r="H333" s="9" t="n"/>
      <c r="I333" s="9" t="n"/>
      <c r="J333" s="3" t="n"/>
      <c r="K333" s="9" t="n"/>
    </row>
    <row r="334">
      <c r="A334" s="4" t="n"/>
      <c r="B334" s="9">
        <f>IF(A334="","",INT((DAY(A334)-1)/7)+1)</f>
        <v/>
      </c>
      <c r="C334" s="9" t="n"/>
      <c r="D334" s="9" t="n"/>
      <c r="E334" s="9" t="n"/>
      <c r="F334" s="9" t="n"/>
      <c r="G334" s="9" t="n"/>
      <c r="H334" s="9" t="n"/>
      <c r="I334" s="9" t="n"/>
      <c r="J334" s="3" t="n"/>
      <c r="K334" s="9" t="n"/>
    </row>
    <row r="335">
      <c r="A335" s="4" t="n"/>
      <c r="B335" s="9">
        <f>IF(A335="","",INT((DAY(A335)-1)/7)+1)</f>
        <v/>
      </c>
      <c r="C335" s="9" t="n"/>
      <c r="D335" s="9" t="n"/>
      <c r="E335" s="9" t="n"/>
      <c r="F335" s="9" t="n"/>
      <c r="G335" s="9" t="n"/>
      <c r="H335" s="9" t="n"/>
      <c r="I335" s="9" t="n"/>
      <c r="J335" s="3" t="n"/>
      <c r="K335" s="9" t="n"/>
    </row>
    <row r="336">
      <c r="A336" s="4" t="n"/>
      <c r="B336" s="9">
        <f>IF(A336="","",INT((DAY(A336)-1)/7)+1)</f>
        <v/>
      </c>
      <c r="C336" s="9" t="n"/>
      <c r="D336" s="9" t="n"/>
      <c r="E336" s="9" t="n"/>
      <c r="F336" s="9" t="n"/>
      <c r="G336" s="9" t="n"/>
      <c r="H336" s="9" t="n"/>
      <c r="I336" s="9" t="n"/>
      <c r="J336" s="3" t="n"/>
      <c r="K336" s="9" t="n"/>
    </row>
    <row r="337">
      <c r="A337" s="4" t="n"/>
      <c r="B337" s="9">
        <f>IF(A337="","",INT((DAY(A337)-1)/7)+1)</f>
        <v/>
      </c>
      <c r="C337" s="9" t="n"/>
      <c r="D337" s="9" t="n"/>
      <c r="E337" s="9" t="n"/>
      <c r="F337" s="9" t="n"/>
      <c r="G337" s="9" t="n"/>
      <c r="H337" s="9" t="n"/>
      <c r="I337" s="9" t="n"/>
      <c r="J337" s="3" t="n"/>
      <c r="K337" s="9" t="n"/>
    </row>
    <row r="338">
      <c r="A338" s="4" t="n"/>
      <c r="B338" s="9">
        <f>IF(A338="","",INT((DAY(A338)-1)/7)+1)</f>
        <v/>
      </c>
      <c r="C338" s="9" t="n"/>
      <c r="D338" s="9" t="n"/>
      <c r="E338" s="9" t="n"/>
      <c r="F338" s="9" t="n"/>
      <c r="G338" s="9" t="n"/>
      <c r="H338" s="9" t="n"/>
      <c r="I338" s="9" t="n"/>
      <c r="J338" s="3" t="n"/>
      <c r="K338" s="9" t="n"/>
    </row>
    <row r="339">
      <c r="A339" s="4" t="n"/>
      <c r="B339" s="9">
        <f>IF(A339="","",INT((DAY(A339)-1)/7)+1)</f>
        <v/>
      </c>
      <c r="C339" s="9" t="n"/>
      <c r="D339" s="9" t="n"/>
      <c r="E339" s="9" t="n"/>
      <c r="F339" s="9" t="n"/>
      <c r="G339" s="9" t="n"/>
      <c r="H339" s="9" t="n"/>
      <c r="I339" s="9" t="n"/>
      <c r="J339" s="3" t="n"/>
      <c r="K339" s="9" t="n"/>
    </row>
    <row r="340">
      <c r="A340" s="4" t="n"/>
      <c r="B340" s="9">
        <f>IF(A340="","",INT((DAY(A340)-1)/7)+1)</f>
        <v/>
      </c>
      <c r="C340" s="9" t="n"/>
      <c r="D340" s="9" t="n"/>
      <c r="E340" s="9" t="n"/>
      <c r="F340" s="9" t="n"/>
      <c r="G340" s="9" t="n"/>
      <c r="H340" s="9" t="n"/>
      <c r="I340" s="9" t="n"/>
      <c r="J340" s="3" t="n"/>
      <c r="K340" s="9" t="n"/>
    </row>
    <row r="341">
      <c r="A341" s="4" t="n"/>
      <c r="B341" s="9">
        <f>IF(A341="","",INT((DAY(A341)-1)/7)+1)</f>
        <v/>
      </c>
      <c r="C341" s="9" t="n"/>
      <c r="D341" s="9" t="n"/>
      <c r="E341" s="9" t="n"/>
      <c r="F341" s="9" t="n"/>
      <c r="G341" s="9" t="n"/>
      <c r="H341" s="9" t="n"/>
      <c r="I341" s="9" t="n"/>
      <c r="J341" s="3" t="n"/>
      <c r="K341" s="9" t="n"/>
    </row>
    <row r="342">
      <c r="A342" s="4" t="n"/>
      <c r="B342" s="9">
        <f>IF(A342="","",INT((DAY(A342)-1)/7)+1)</f>
        <v/>
      </c>
      <c r="C342" s="9" t="n"/>
      <c r="D342" s="9" t="n"/>
      <c r="E342" s="9" t="n"/>
      <c r="F342" s="9" t="n"/>
      <c r="G342" s="9" t="n"/>
      <c r="H342" s="9" t="n"/>
      <c r="I342" s="9" t="n"/>
      <c r="J342" s="3" t="n"/>
      <c r="K342" s="9" t="n"/>
    </row>
    <row r="343">
      <c r="A343" s="4" t="n"/>
      <c r="B343" s="9">
        <f>IF(A343="","",INT((DAY(A343)-1)/7)+1)</f>
        <v/>
      </c>
      <c r="C343" s="9" t="n"/>
      <c r="D343" s="9" t="n"/>
      <c r="E343" s="9" t="n"/>
      <c r="F343" s="9" t="n"/>
      <c r="G343" s="9" t="n"/>
      <c r="H343" s="9" t="n"/>
      <c r="I343" s="9" t="n"/>
      <c r="J343" s="3" t="n"/>
      <c r="K343" s="9" t="n"/>
    </row>
    <row r="344">
      <c r="A344" s="4" t="n"/>
      <c r="B344" s="9">
        <f>IF(A344="","",INT((DAY(A344)-1)/7)+1)</f>
        <v/>
      </c>
      <c r="C344" s="9" t="n"/>
      <c r="D344" s="9" t="n"/>
      <c r="E344" s="9" t="n"/>
      <c r="F344" s="9" t="n"/>
      <c r="G344" s="9" t="n"/>
      <c r="H344" s="9" t="n"/>
      <c r="I344" s="9" t="n"/>
      <c r="J344" s="3" t="n"/>
      <c r="K344" s="9" t="n"/>
    </row>
    <row r="345">
      <c r="A345" s="4" t="n"/>
      <c r="B345" s="9">
        <f>IF(A345="","",INT((DAY(A345)-1)/7)+1)</f>
        <v/>
      </c>
      <c r="C345" s="9" t="n"/>
      <c r="D345" s="9" t="n"/>
      <c r="E345" s="9" t="n"/>
      <c r="F345" s="9" t="n"/>
      <c r="G345" s="9" t="n"/>
      <c r="H345" s="9" t="n"/>
      <c r="I345" s="9" t="n"/>
      <c r="J345" s="3" t="n"/>
      <c r="K345" s="9" t="n"/>
    </row>
    <row r="346">
      <c r="A346" s="4" t="n"/>
      <c r="B346" s="9">
        <f>IF(A346="","",INT((DAY(A346)-1)/7)+1)</f>
        <v/>
      </c>
      <c r="C346" s="9" t="n"/>
      <c r="D346" s="9" t="n"/>
      <c r="E346" s="9" t="n"/>
      <c r="F346" s="9" t="n"/>
      <c r="G346" s="9" t="n"/>
      <c r="H346" s="9" t="n"/>
      <c r="I346" s="9" t="n"/>
      <c r="J346" s="3" t="n"/>
      <c r="K346" s="9" t="n"/>
    </row>
    <row r="347">
      <c r="A347" s="4" t="n"/>
      <c r="B347" s="9">
        <f>IF(A347="","",INT((DAY(A347)-1)/7)+1)</f>
        <v/>
      </c>
      <c r="C347" s="9" t="n"/>
      <c r="D347" s="9" t="n"/>
      <c r="E347" s="9" t="n"/>
      <c r="F347" s="9" t="n"/>
      <c r="G347" s="9" t="n"/>
      <c r="H347" s="9" t="n"/>
      <c r="I347" s="9" t="n"/>
      <c r="J347" s="3" t="n"/>
      <c r="K347" s="9" t="n"/>
    </row>
    <row r="348">
      <c r="A348" s="4" t="n"/>
      <c r="B348" s="9">
        <f>IF(A348="","",INT((DAY(A348)-1)/7)+1)</f>
        <v/>
      </c>
      <c r="C348" s="9" t="n"/>
      <c r="D348" s="9" t="n"/>
      <c r="E348" s="9" t="n"/>
      <c r="F348" s="9" t="n"/>
      <c r="G348" s="9" t="n"/>
      <c r="H348" s="9" t="n"/>
      <c r="I348" s="9" t="n"/>
      <c r="J348" s="3" t="n"/>
      <c r="K348" s="9" t="n"/>
    </row>
    <row r="349">
      <c r="A349" s="4" t="n"/>
      <c r="B349" s="9">
        <f>IF(A349="","",INT((DAY(A349)-1)/7)+1)</f>
        <v/>
      </c>
      <c r="C349" s="9" t="n"/>
      <c r="D349" s="9" t="n"/>
      <c r="E349" s="9" t="n"/>
      <c r="F349" s="9" t="n"/>
      <c r="G349" s="9" t="n"/>
      <c r="H349" s="9" t="n"/>
      <c r="I349" s="9" t="n"/>
      <c r="J349" s="3" t="n"/>
      <c r="K349" s="9" t="n"/>
    </row>
    <row r="350">
      <c r="A350" s="4" t="n"/>
      <c r="B350" s="9">
        <f>IF(A350="","",INT((DAY(A350)-1)/7)+1)</f>
        <v/>
      </c>
      <c r="C350" s="9" t="n"/>
      <c r="D350" s="9" t="n"/>
      <c r="E350" s="9" t="n"/>
      <c r="F350" s="9" t="n"/>
      <c r="G350" s="9" t="n"/>
      <c r="H350" s="9" t="n"/>
      <c r="I350" s="9" t="n"/>
      <c r="J350" s="3" t="n"/>
      <c r="K350" s="9" t="n"/>
    </row>
    <row r="351">
      <c r="A351" s="4" t="n"/>
      <c r="B351" s="9">
        <f>IF(A351="","",INT((DAY(A351)-1)/7)+1)</f>
        <v/>
      </c>
      <c r="C351" s="9" t="n"/>
      <c r="D351" s="9" t="n"/>
      <c r="E351" s="9" t="n"/>
      <c r="F351" s="9" t="n"/>
      <c r="G351" s="9" t="n"/>
      <c r="H351" s="9" t="n"/>
      <c r="I351" s="9" t="n"/>
      <c r="J351" s="3" t="n"/>
      <c r="K351" s="9" t="n"/>
    </row>
    <row r="352">
      <c r="A352" s="4" t="n"/>
      <c r="B352" s="9">
        <f>IF(A352="","",INT((DAY(A352)-1)/7)+1)</f>
        <v/>
      </c>
      <c r="C352" s="9" t="n"/>
      <c r="D352" s="9" t="n"/>
      <c r="E352" s="9" t="n"/>
      <c r="F352" s="9" t="n"/>
      <c r="G352" s="9" t="n"/>
      <c r="H352" s="9" t="n"/>
      <c r="I352" s="9" t="n"/>
      <c r="J352" s="3" t="n"/>
      <c r="K352" s="9" t="n"/>
    </row>
    <row r="353">
      <c r="A353" s="4" t="n"/>
      <c r="B353" s="9">
        <f>IF(A353="","",INT((DAY(A353)-1)/7)+1)</f>
        <v/>
      </c>
      <c r="C353" s="9" t="n"/>
      <c r="D353" s="9" t="n"/>
      <c r="E353" s="9" t="n"/>
      <c r="F353" s="9" t="n"/>
      <c r="G353" s="9" t="n"/>
      <c r="H353" s="9" t="n"/>
      <c r="I353" s="9" t="n"/>
      <c r="J353" s="3" t="n"/>
      <c r="K353" s="9" t="n"/>
    </row>
    <row r="354">
      <c r="A354" s="4" t="n"/>
      <c r="B354" s="9">
        <f>IF(A354="","",INT((DAY(A354)-1)/7)+1)</f>
        <v/>
      </c>
      <c r="C354" s="9" t="n"/>
      <c r="D354" s="9" t="n"/>
      <c r="E354" s="9" t="n"/>
      <c r="F354" s="9" t="n"/>
      <c r="G354" s="9" t="n"/>
      <c r="H354" s="9" t="n"/>
      <c r="I354" s="9" t="n"/>
      <c r="J354" s="3" t="n"/>
      <c r="K354" s="9" t="n"/>
    </row>
    <row r="355">
      <c r="A355" s="4" t="n"/>
      <c r="B355" s="9">
        <f>IF(A355="","",INT((DAY(A355)-1)/7)+1)</f>
        <v/>
      </c>
      <c r="C355" s="9" t="n"/>
      <c r="D355" s="9" t="n"/>
      <c r="E355" s="9" t="n"/>
      <c r="F355" s="9" t="n"/>
      <c r="G355" s="9" t="n"/>
      <c r="H355" s="9" t="n"/>
      <c r="I355" s="9" t="n"/>
      <c r="J355" s="3" t="n"/>
      <c r="K355" s="9" t="n"/>
    </row>
    <row r="356">
      <c r="A356" s="4" t="n"/>
      <c r="B356" s="9">
        <f>IF(A356="","",INT((DAY(A356)-1)/7)+1)</f>
        <v/>
      </c>
      <c r="C356" s="9" t="n"/>
      <c r="D356" s="9" t="n"/>
      <c r="E356" s="9" t="n"/>
      <c r="F356" s="9" t="n"/>
      <c r="G356" s="9" t="n"/>
      <c r="H356" s="9" t="n"/>
      <c r="I356" s="9" t="n"/>
      <c r="J356" s="3" t="n"/>
      <c r="K356" s="9" t="n"/>
    </row>
    <row r="357">
      <c r="A357" s="4" t="n"/>
      <c r="B357" s="9">
        <f>IF(A357="","",INT((DAY(A357)-1)/7)+1)</f>
        <v/>
      </c>
      <c r="C357" s="9" t="n"/>
      <c r="D357" s="9" t="n"/>
      <c r="E357" s="9" t="n"/>
      <c r="F357" s="9" t="n"/>
      <c r="G357" s="9" t="n"/>
      <c r="H357" s="9" t="n"/>
      <c r="I357" s="9" t="n"/>
      <c r="J357" s="3" t="n"/>
      <c r="K357" s="9" t="n"/>
    </row>
    <row r="358">
      <c r="A358" s="4" t="n"/>
      <c r="B358" s="9">
        <f>IF(A358="","",INT((DAY(A358)-1)/7)+1)</f>
        <v/>
      </c>
      <c r="C358" s="9" t="n"/>
      <c r="D358" s="9" t="n"/>
      <c r="E358" s="9" t="n"/>
      <c r="F358" s="9" t="n"/>
      <c r="G358" s="9" t="n"/>
      <c r="H358" s="9" t="n"/>
      <c r="I358" s="9" t="n"/>
      <c r="J358" s="3" t="n"/>
      <c r="K358" s="9" t="n"/>
    </row>
    <row r="359">
      <c r="A359" s="4" t="n"/>
      <c r="B359" s="9">
        <f>IF(A359="","",INT((DAY(A359)-1)/7)+1)</f>
        <v/>
      </c>
      <c r="C359" s="9" t="n"/>
      <c r="D359" s="9" t="n"/>
      <c r="E359" s="9" t="n"/>
      <c r="F359" s="9" t="n"/>
      <c r="G359" s="9" t="n"/>
      <c r="H359" s="9" t="n"/>
      <c r="I359" s="9" t="n"/>
      <c r="J359" s="3" t="n"/>
      <c r="K359" s="9" t="n"/>
    </row>
    <row r="360">
      <c r="A360" s="4" t="n"/>
      <c r="B360" s="9">
        <f>IF(A360="","",INT((DAY(A360)-1)/7)+1)</f>
        <v/>
      </c>
      <c r="C360" s="9" t="n"/>
      <c r="D360" s="9" t="n"/>
      <c r="E360" s="9" t="n"/>
      <c r="F360" s="9" t="n"/>
      <c r="G360" s="9" t="n"/>
      <c r="H360" s="9" t="n"/>
      <c r="I360" s="9" t="n"/>
      <c r="J360" s="3" t="n"/>
      <c r="K360" s="9" t="n"/>
    </row>
    <row r="361">
      <c r="A361" s="4" t="n"/>
      <c r="B361" s="9">
        <f>IF(A361="","",INT((DAY(A361)-1)/7)+1)</f>
        <v/>
      </c>
      <c r="C361" s="9" t="n"/>
      <c r="D361" s="9" t="n"/>
      <c r="E361" s="9" t="n"/>
      <c r="F361" s="9" t="n"/>
      <c r="G361" s="9" t="n"/>
      <c r="H361" s="9" t="n"/>
      <c r="I361" s="9" t="n"/>
      <c r="J361" s="3" t="n"/>
      <c r="K361" s="9" t="n"/>
    </row>
    <row r="362">
      <c r="A362" s="4" t="n"/>
      <c r="B362" s="9">
        <f>IF(A362="","",INT((DAY(A362)-1)/7)+1)</f>
        <v/>
      </c>
      <c r="C362" s="9" t="n"/>
      <c r="D362" s="9" t="n"/>
      <c r="E362" s="9" t="n"/>
      <c r="F362" s="9" t="n"/>
      <c r="G362" s="9" t="n"/>
      <c r="H362" s="9" t="n"/>
      <c r="I362" s="9" t="n"/>
      <c r="J362" s="3" t="n"/>
      <c r="K362" s="9" t="n"/>
    </row>
    <row r="363">
      <c r="A363" s="4" t="n"/>
      <c r="B363" s="9">
        <f>IF(A363="","",INT((DAY(A363)-1)/7)+1)</f>
        <v/>
      </c>
      <c r="C363" s="9" t="n"/>
      <c r="D363" s="9" t="n"/>
      <c r="E363" s="9" t="n"/>
      <c r="F363" s="9" t="n"/>
      <c r="G363" s="9" t="n"/>
      <c r="H363" s="9" t="n"/>
      <c r="I363" s="9" t="n"/>
      <c r="J363" s="3" t="n"/>
      <c r="K363" s="9" t="n"/>
    </row>
    <row r="364">
      <c r="A364" s="4" t="n"/>
      <c r="B364" s="9">
        <f>IF(A364="","",INT((DAY(A364)-1)/7)+1)</f>
        <v/>
      </c>
      <c r="C364" s="9" t="n"/>
      <c r="D364" s="9" t="n"/>
      <c r="E364" s="9" t="n"/>
      <c r="F364" s="9" t="n"/>
      <c r="G364" s="9" t="n"/>
      <c r="H364" s="9" t="n"/>
      <c r="I364" s="9" t="n"/>
      <c r="J364" s="3" t="n"/>
      <c r="K364" s="9" t="n"/>
    </row>
    <row r="365">
      <c r="A365" s="4" t="n"/>
      <c r="B365" s="9">
        <f>IF(A365="","",INT((DAY(A365)-1)/7)+1)</f>
        <v/>
      </c>
      <c r="C365" s="9" t="n"/>
      <c r="D365" s="9" t="n"/>
      <c r="E365" s="9" t="n"/>
      <c r="F365" s="9" t="n"/>
      <c r="G365" s="9" t="n"/>
      <c r="H365" s="9" t="n"/>
      <c r="I365" s="9" t="n"/>
      <c r="J365" s="3" t="n"/>
      <c r="K365" s="9" t="n"/>
    </row>
    <row r="366">
      <c r="A366" s="4" t="n"/>
      <c r="B366" s="9">
        <f>IF(A366="","",INT((DAY(A366)-1)/7)+1)</f>
        <v/>
      </c>
      <c r="C366" s="9" t="n"/>
      <c r="D366" s="9" t="n"/>
      <c r="E366" s="9" t="n"/>
      <c r="F366" s="9" t="n"/>
      <c r="G366" s="9" t="n"/>
      <c r="H366" s="9" t="n"/>
      <c r="I366" s="9" t="n"/>
      <c r="J366" s="3" t="n"/>
      <c r="K366" s="9" t="n"/>
    </row>
    <row r="367">
      <c r="A367" s="4" t="n"/>
      <c r="B367" s="9">
        <f>IF(A367="","",INT((DAY(A367)-1)/7)+1)</f>
        <v/>
      </c>
      <c r="C367" s="9" t="n"/>
      <c r="D367" s="9" t="n"/>
      <c r="E367" s="9" t="n"/>
      <c r="F367" s="9" t="n"/>
      <c r="G367" s="9" t="n"/>
      <c r="H367" s="9" t="n"/>
      <c r="I367" s="9" t="n"/>
      <c r="J367" s="3" t="n"/>
      <c r="K367" s="9" t="n"/>
    </row>
    <row r="368">
      <c r="A368" s="4" t="n"/>
      <c r="B368" s="9">
        <f>IF(A368="","",INT((DAY(A368)-1)/7)+1)</f>
        <v/>
      </c>
      <c r="C368" s="9" t="n"/>
      <c r="D368" s="9" t="n"/>
      <c r="E368" s="9" t="n"/>
      <c r="F368" s="9" t="n"/>
      <c r="G368" s="9" t="n"/>
      <c r="H368" s="9" t="n"/>
      <c r="I368" s="9" t="n"/>
      <c r="J368" s="3" t="n"/>
      <c r="K368" s="9" t="n"/>
    </row>
    <row r="369">
      <c r="A369" s="4" t="n"/>
      <c r="B369" s="9">
        <f>IF(A369="","",INT((DAY(A369)-1)/7)+1)</f>
        <v/>
      </c>
      <c r="C369" s="9" t="n"/>
      <c r="D369" s="9" t="n"/>
      <c r="E369" s="9" t="n"/>
      <c r="F369" s="9" t="n"/>
      <c r="G369" s="9" t="n"/>
      <c r="H369" s="9" t="n"/>
      <c r="I369" s="9" t="n"/>
      <c r="J369" s="3" t="n"/>
      <c r="K369" s="9" t="n"/>
    </row>
    <row r="370">
      <c r="A370" s="4" t="n"/>
      <c r="B370" s="9">
        <f>IF(A370="","",INT((DAY(A370)-1)/7)+1)</f>
        <v/>
      </c>
      <c r="C370" s="9" t="n"/>
      <c r="D370" s="9" t="n"/>
      <c r="E370" s="9" t="n"/>
      <c r="F370" s="9" t="n"/>
      <c r="G370" s="9" t="n"/>
      <c r="H370" s="9" t="n"/>
      <c r="I370" s="9" t="n"/>
      <c r="J370" s="3" t="n"/>
      <c r="K370" s="9" t="n"/>
    </row>
    <row r="371">
      <c r="A371" s="4" t="n"/>
      <c r="B371" s="9">
        <f>IF(A371="","",INT((DAY(A371)-1)/7)+1)</f>
        <v/>
      </c>
      <c r="C371" s="9" t="n"/>
      <c r="D371" s="9" t="n"/>
      <c r="E371" s="9" t="n"/>
      <c r="F371" s="9" t="n"/>
      <c r="G371" s="9" t="n"/>
      <c r="H371" s="9" t="n"/>
      <c r="I371" s="9" t="n"/>
      <c r="J371" s="3" t="n"/>
      <c r="K371" s="9" t="n"/>
    </row>
    <row r="372">
      <c r="A372" s="4" t="n"/>
      <c r="B372" s="9">
        <f>IF(A372="","",INT((DAY(A372)-1)/7)+1)</f>
        <v/>
      </c>
      <c r="C372" s="9" t="n"/>
      <c r="D372" s="9" t="n"/>
      <c r="E372" s="9" t="n"/>
      <c r="F372" s="9" t="n"/>
      <c r="G372" s="9" t="n"/>
      <c r="H372" s="9" t="n"/>
      <c r="I372" s="9" t="n"/>
      <c r="J372" s="3" t="n"/>
      <c r="K372" s="9" t="n"/>
    </row>
    <row r="373">
      <c r="A373" s="4" t="n"/>
      <c r="B373" s="9">
        <f>IF(A373="","",INT((DAY(A373)-1)/7)+1)</f>
        <v/>
      </c>
      <c r="C373" s="9" t="n"/>
      <c r="D373" s="9" t="n"/>
      <c r="E373" s="9" t="n"/>
      <c r="F373" s="9" t="n"/>
      <c r="G373" s="9" t="n"/>
      <c r="H373" s="9" t="n"/>
      <c r="I373" s="9" t="n"/>
      <c r="J373" s="3" t="n"/>
      <c r="K373" s="9" t="n"/>
    </row>
    <row r="374">
      <c r="A374" s="4" t="n"/>
      <c r="B374" s="9">
        <f>IF(A374="","",INT((DAY(A374)-1)/7)+1)</f>
        <v/>
      </c>
      <c r="C374" s="9" t="n"/>
      <c r="D374" s="9" t="n"/>
      <c r="E374" s="9" t="n"/>
      <c r="F374" s="9" t="n"/>
      <c r="G374" s="9" t="n"/>
      <c r="H374" s="9" t="n"/>
      <c r="I374" s="9" t="n"/>
      <c r="J374" s="3" t="n"/>
      <c r="K374" s="9" t="n"/>
    </row>
    <row r="375">
      <c r="A375" s="4" t="n"/>
      <c r="B375" s="9">
        <f>IF(A375="","",INT((DAY(A375)-1)/7)+1)</f>
        <v/>
      </c>
      <c r="C375" s="9" t="n"/>
      <c r="D375" s="9" t="n"/>
      <c r="E375" s="9" t="n"/>
      <c r="F375" s="9" t="n"/>
      <c r="G375" s="9" t="n"/>
      <c r="H375" s="9" t="n"/>
      <c r="I375" s="9" t="n"/>
      <c r="J375" s="3" t="n"/>
      <c r="K375" s="9" t="n"/>
    </row>
    <row r="376">
      <c r="A376" s="4" t="n"/>
      <c r="B376" s="9">
        <f>IF(A376="","",INT((DAY(A376)-1)/7)+1)</f>
        <v/>
      </c>
      <c r="C376" s="9" t="n"/>
      <c r="D376" s="9" t="n"/>
      <c r="E376" s="9" t="n"/>
      <c r="F376" s="9" t="n"/>
      <c r="G376" s="9" t="n"/>
      <c r="H376" s="9" t="n"/>
      <c r="I376" s="9" t="n"/>
      <c r="J376" s="3" t="n"/>
      <c r="K376" s="9" t="n"/>
    </row>
    <row r="377">
      <c r="A377" s="4" t="n"/>
      <c r="B377" s="9">
        <f>IF(A377="","",INT((DAY(A377)-1)/7)+1)</f>
        <v/>
      </c>
      <c r="C377" s="9" t="n"/>
      <c r="D377" s="9" t="n"/>
      <c r="E377" s="9" t="n"/>
      <c r="F377" s="9" t="n"/>
      <c r="G377" s="9" t="n"/>
      <c r="H377" s="9" t="n"/>
      <c r="I377" s="9" t="n"/>
      <c r="J377" s="3" t="n"/>
      <c r="K377" s="9" t="n"/>
    </row>
    <row r="378">
      <c r="A378" s="4" t="n"/>
      <c r="B378" s="9">
        <f>IF(A378="","",INT((DAY(A378)-1)/7)+1)</f>
        <v/>
      </c>
      <c r="C378" s="9" t="n"/>
      <c r="D378" s="9" t="n"/>
      <c r="E378" s="9" t="n"/>
      <c r="F378" s="9" t="n"/>
      <c r="G378" s="9" t="n"/>
      <c r="H378" s="9" t="n"/>
      <c r="I378" s="9" t="n"/>
      <c r="J378" s="3" t="n"/>
      <c r="K378" s="9" t="n"/>
    </row>
    <row r="379">
      <c r="A379" s="4" t="n"/>
      <c r="B379" s="9">
        <f>IF(A379="","",INT((DAY(A379)-1)/7)+1)</f>
        <v/>
      </c>
      <c r="C379" s="9" t="n"/>
      <c r="D379" s="9" t="n"/>
      <c r="E379" s="9" t="n"/>
      <c r="F379" s="9" t="n"/>
      <c r="G379" s="9" t="n"/>
      <c r="H379" s="9" t="n"/>
      <c r="I379" s="9" t="n"/>
      <c r="J379" s="3" t="n"/>
      <c r="K379" s="9" t="n"/>
    </row>
    <row r="380">
      <c r="A380" s="4" t="n"/>
      <c r="B380" s="9">
        <f>IF(A380="","",INT((DAY(A380)-1)/7)+1)</f>
        <v/>
      </c>
      <c r="C380" s="9" t="n"/>
      <c r="D380" s="9" t="n"/>
      <c r="E380" s="9" t="n"/>
      <c r="F380" s="9" t="n"/>
      <c r="G380" s="9" t="n"/>
      <c r="H380" s="9" t="n"/>
      <c r="I380" s="9" t="n"/>
      <c r="J380" s="3" t="n"/>
      <c r="K380" s="9" t="n"/>
    </row>
    <row r="381">
      <c r="A381" s="4" t="n"/>
      <c r="B381" s="9">
        <f>IF(A381="","",INT((DAY(A381)-1)/7)+1)</f>
        <v/>
      </c>
      <c r="C381" s="9" t="n"/>
      <c r="D381" s="9" t="n"/>
      <c r="E381" s="9" t="n"/>
      <c r="F381" s="9" t="n"/>
      <c r="G381" s="9" t="n"/>
      <c r="H381" s="9" t="n"/>
      <c r="I381" s="9" t="n"/>
      <c r="J381" s="3" t="n"/>
      <c r="K381" s="9" t="n"/>
    </row>
    <row r="382">
      <c r="A382" s="4" t="n"/>
      <c r="B382" s="9">
        <f>IF(A382="","",INT((DAY(A382)-1)/7)+1)</f>
        <v/>
      </c>
      <c r="C382" s="9" t="n"/>
      <c r="D382" s="9" t="n"/>
      <c r="E382" s="9" t="n"/>
      <c r="F382" s="9" t="n"/>
      <c r="G382" s="9" t="n"/>
      <c r="H382" s="9" t="n"/>
      <c r="I382" s="9" t="n"/>
      <c r="J382" s="3" t="n"/>
      <c r="K382" s="9" t="n"/>
    </row>
    <row r="383">
      <c r="A383" s="4" t="n"/>
      <c r="B383" s="9">
        <f>IF(A383="","",INT((DAY(A383)-1)/7)+1)</f>
        <v/>
      </c>
      <c r="C383" s="9" t="n"/>
      <c r="D383" s="9" t="n"/>
      <c r="E383" s="9" t="n"/>
      <c r="F383" s="9" t="n"/>
      <c r="G383" s="9" t="n"/>
      <c r="H383" s="9" t="n"/>
      <c r="I383" s="9" t="n"/>
      <c r="J383" s="3" t="n"/>
      <c r="K383" s="9" t="n"/>
    </row>
    <row r="384">
      <c r="A384" s="4" t="n"/>
      <c r="B384" s="9">
        <f>IF(A384="","",INT((DAY(A384)-1)/7)+1)</f>
        <v/>
      </c>
      <c r="C384" s="9" t="n"/>
      <c r="D384" s="9" t="n"/>
      <c r="E384" s="9" t="n"/>
      <c r="F384" s="9" t="n"/>
      <c r="G384" s="9" t="n"/>
      <c r="H384" s="9" t="n"/>
      <c r="I384" s="9" t="n"/>
      <c r="J384" s="3" t="n"/>
      <c r="K384" s="9" t="n"/>
    </row>
    <row r="385">
      <c r="A385" s="4" t="n"/>
      <c r="B385" s="9">
        <f>IF(A385="","",INT((DAY(A385)-1)/7)+1)</f>
        <v/>
      </c>
      <c r="C385" s="9" t="n"/>
      <c r="D385" s="9" t="n"/>
      <c r="E385" s="9" t="n"/>
      <c r="F385" s="9" t="n"/>
      <c r="G385" s="9" t="n"/>
      <c r="H385" s="9" t="n"/>
      <c r="I385" s="9" t="n"/>
      <c r="J385" s="3" t="n"/>
      <c r="K385" s="9" t="n"/>
    </row>
    <row r="386">
      <c r="A386" s="4" t="n"/>
      <c r="B386" s="9">
        <f>IF(A386="","",INT((DAY(A386)-1)/7)+1)</f>
        <v/>
      </c>
      <c r="C386" s="9" t="n"/>
      <c r="D386" s="9" t="n"/>
      <c r="E386" s="9" t="n"/>
      <c r="F386" s="9" t="n"/>
      <c r="G386" s="9" t="n"/>
      <c r="H386" s="9" t="n"/>
      <c r="I386" s="9" t="n"/>
      <c r="J386" s="3" t="n"/>
      <c r="K386" s="9" t="n"/>
    </row>
    <row r="387">
      <c r="A387" s="4" t="n"/>
      <c r="B387" s="9">
        <f>IF(A387="","",INT((DAY(A387)-1)/7)+1)</f>
        <v/>
      </c>
      <c r="C387" s="9" t="n"/>
      <c r="D387" s="9" t="n"/>
      <c r="E387" s="9" t="n"/>
      <c r="F387" s="9" t="n"/>
      <c r="G387" s="9" t="n"/>
      <c r="H387" s="9" t="n"/>
      <c r="I387" s="9" t="n"/>
      <c r="J387" s="3" t="n"/>
      <c r="K387" s="9" t="n"/>
    </row>
    <row r="388">
      <c r="A388" s="4" t="n"/>
      <c r="B388" s="9">
        <f>IF(A388="","",INT((DAY(A388)-1)/7)+1)</f>
        <v/>
      </c>
      <c r="C388" s="9" t="n"/>
      <c r="D388" s="9" t="n"/>
      <c r="E388" s="9" t="n"/>
      <c r="F388" s="9" t="n"/>
      <c r="G388" s="9" t="n"/>
      <c r="H388" s="9" t="n"/>
      <c r="I388" s="9" t="n"/>
      <c r="J388" s="3" t="n"/>
      <c r="K388" s="9" t="n"/>
    </row>
    <row r="389">
      <c r="A389" s="4" t="n"/>
      <c r="B389" s="9">
        <f>IF(A389="","",INT((DAY(A389)-1)/7)+1)</f>
        <v/>
      </c>
      <c r="C389" s="9" t="n"/>
      <c r="D389" s="9" t="n"/>
      <c r="E389" s="9" t="n"/>
      <c r="F389" s="9" t="n"/>
      <c r="G389" s="9" t="n"/>
      <c r="H389" s="9" t="n"/>
      <c r="I389" s="9" t="n"/>
      <c r="J389" s="3" t="n"/>
      <c r="K389" s="9" t="n"/>
    </row>
    <row r="390">
      <c r="A390" s="4" t="n"/>
      <c r="B390" s="9">
        <f>IF(A390="","",INT((DAY(A390)-1)/7)+1)</f>
        <v/>
      </c>
      <c r="C390" s="9" t="n"/>
      <c r="D390" s="9" t="n"/>
      <c r="E390" s="9" t="n"/>
      <c r="F390" s="9" t="n"/>
      <c r="G390" s="9" t="n"/>
      <c r="H390" s="9" t="n"/>
      <c r="I390" s="9" t="n"/>
      <c r="J390" s="3" t="n"/>
      <c r="K390" s="9" t="n"/>
    </row>
    <row r="391">
      <c r="A391" s="4" t="n"/>
      <c r="B391" s="9">
        <f>IF(A391="","",INT((DAY(A391)-1)/7)+1)</f>
        <v/>
      </c>
      <c r="C391" s="9" t="n"/>
      <c r="D391" s="9" t="n"/>
      <c r="E391" s="9" t="n"/>
      <c r="F391" s="9" t="n"/>
      <c r="G391" s="9" t="n"/>
      <c r="H391" s="9" t="n"/>
      <c r="I391" s="9" t="n"/>
      <c r="J391" s="3" t="n"/>
      <c r="K391" s="9" t="n"/>
    </row>
    <row r="392">
      <c r="A392" s="4" t="n"/>
      <c r="B392" s="9">
        <f>IF(A392="","",INT((DAY(A392)-1)/7)+1)</f>
        <v/>
      </c>
      <c r="C392" s="9" t="n"/>
      <c r="D392" s="9" t="n"/>
      <c r="E392" s="9" t="n"/>
      <c r="F392" s="9" t="n"/>
      <c r="G392" s="9" t="n"/>
      <c r="H392" s="9" t="n"/>
      <c r="I392" s="9" t="n"/>
      <c r="J392" s="3" t="n"/>
      <c r="K392" s="9" t="n"/>
    </row>
    <row r="393">
      <c r="A393" s="4" t="n"/>
      <c r="B393" s="9">
        <f>IF(A393="","",INT((DAY(A393)-1)/7)+1)</f>
        <v/>
      </c>
      <c r="C393" s="9" t="n"/>
      <c r="D393" s="9" t="n"/>
      <c r="E393" s="9" t="n"/>
      <c r="F393" s="9" t="n"/>
      <c r="G393" s="9" t="n"/>
      <c r="H393" s="9" t="n"/>
      <c r="I393" s="9" t="n"/>
      <c r="J393" s="3" t="n"/>
      <c r="K393" s="9" t="n"/>
    </row>
    <row r="394">
      <c r="A394" s="4" t="n"/>
      <c r="B394" s="9">
        <f>IF(A394="","",INT((DAY(A394)-1)/7)+1)</f>
        <v/>
      </c>
      <c r="C394" s="9" t="n"/>
      <c r="D394" s="9" t="n"/>
      <c r="E394" s="9" t="n"/>
      <c r="F394" s="9" t="n"/>
      <c r="G394" s="9" t="n"/>
      <c r="H394" s="9" t="n"/>
      <c r="I394" s="9" t="n"/>
      <c r="J394" s="3" t="n"/>
      <c r="K394" s="9" t="n"/>
    </row>
    <row r="395">
      <c r="A395" s="4" t="n"/>
      <c r="B395" s="9">
        <f>IF(A395="","",INT((DAY(A395)-1)/7)+1)</f>
        <v/>
      </c>
      <c r="C395" s="9" t="n"/>
      <c r="D395" s="9" t="n"/>
      <c r="E395" s="9" t="n"/>
      <c r="F395" s="9" t="n"/>
      <c r="G395" s="9" t="n"/>
      <c r="H395" s="9" t="n"/>
      <c r="I395" s="9" t="n"/>
      <c r="J395" s="3" t="n"/>
      <c r="K395" s="9" t="n"/>
    </row>
    <row r="396">
      <c r="A396" s="4" t="n"/>
      <c r="B396" s="9">
        <f>IF(A396="","",INT((DAY(A396)-1)/7)+1)</f>
        <v/>
      </c>
      <c r="C396" s="9" t="n"/>
      <c r="D396" s="9" t="n"/>
      <c r="E396" s="9" t="n"/>
      <c r="F396" s="9" t="n"/>
      <c r="G396" s="9" t="n"/>
      <c r="H396" s="9" t="n"/>
      <c r="I396" s="9" t="n"/>
      <c r="J396" s="3" t="n"/>
      <c r="K396" s="9" t="n"/>
    </row>
    <row r="397">
      <c r="A397" s="4" t="n"/>
      <c r="B397" s="9">
        <f>IF(A397="","",INT((DAY(A397)-1)/7)+1)</f>
        <v/>
      </c>
      <c r="C397" s="9" t="n"/>
      <c r="D397" s="9" t="n"/>
      <c r="E397" s="9" t="n"/>
      <c r="F397" s="9" t="n"/>
      <c r="G397" s="9" t="n"/>
      <c r="H397" s="9" t="n"/>
      <c r="I397" s="9" t="n"/>
      <c r="J397" s="3" t="n"/>
      <c r="K397" s="9" t="n"/>
    </row>
    <row r="398">
      <c r="A398" s="4" t="n"/>
      <c r="B398" s="9">
        <f>IF(A398="","",INT((DAY(A398)-1)/7)+1)</f>
        <v/>
      </c>
      <c r="C398" s="9" t="n"/>
      <c r="D398" s="9" t="n"/>
      <c r="E398" s="9" t="n"/>
      <c r="F398" s="9" t="n"/>
      <c r="G398" s="9" t="n"/>
      <c r="H398" s="9" t="n"/>
      <c r="I398" s="9" t="n"/>
      <c r="J398" s="3" t="n"/>
      <c r="K398" s="9" t="n"/>
    </row>
    <row r="399">
      <c r="A399" s="4" t="n"/>
      <c r="B399" s="9">
        <f>IF(A399="","",INT((DAY(A399)-1)/7)+1)</f>
        <v/>
      </c>
      <c r="C399" s="9" t="n"/>
      <c r="D399" s="9" t="n"/>
      <c r="E399" s="9" t="n"/>
      <c r="F399" s="9" t="n"/>
      <c r="G399" s="9" t="n"/>
      <c r="H399" s="9" t="n"/>
      <c r="I399" s="9" t="n"/>
      <c r="J399" s="3" t="n"/>
      <c r="K399" s="9" t="n"/>
    </row>
    <row r="400">
      <c r="A400" s="4" t="n"/>
      <c r="B400" s="9">
        <f>IF(A400="","",INT((DAY(A400)-1)/7)+1)</f>
        <v/>
      </c>
      <c r="C400" s="9" t="n"/>
      <c r="D400" s="9" t="n"/>
      <c r="E400" s="9" t="n"/>
      <c r="F400" s="9" t="n"/>
      <c r="G400" s="9" t="n"/>
      <c r="H400" s="9" t="n"/>
      <c r="I400" s="9" t="n"/>
      <c r="J400" s="3" t="n"/>
      <c r="K400" s="9" t="n"/>
    </row>
    <row r="401">
      <c r="A401" s="4" t="n"/>
      <c r="B401" s="9">
        <f>IF(A401="","",INT((DAY(A401)-1)/7)+1)</f>
        <v/>
      </c>
      <c r="C401" s="9" t="n"/>
      <c r="D401" s="9" t="n"/>
      <c r="E401" s="9" t="n"/>
      <c r="F401" s="9" t="n"/>
      <c r="G401" s="9" t="n"/>
      <c r="H401" s="9" t="n"/>
      <c r="I401" s="9" t="n"/>
      <c r="J401" s="3" t="n"/>
      <c r="K401" s="9" t="n"/>
    </row>
    <row r="402">
      <c r="A402" s="4" t="n"/>
      <c r="B402" s="9">
        <f>IF(A402="","",INT((DAY(A402)-1)/7)+1)</f>
        <v/>
      </c>
      <c r="C402" s="9" t="n"/>
      <c r="D402" s="9" t="n"/>
      <c r="E402" s="9" t="n"/>
      <c r="F402" s="9" t="n"/>
      <c r="G402" s="9" t="n"/>
      <c r="H402" s="9" t="n"/>
      <c r="I402" s="9" t="n"/>
      <c r="J402" s="3" t="n"/>
      <c r="K402" s="9" t="n"/>
    </row>
    <row r="403">
      <c r="A403" s="4" t="n"/>
      <c r="B403" s="9">
        <f>IF(A403="","",INT((DAY(A403)-1)/7)+1)</f>
        <v/>
      </c>
      <c r="C403" s="9" t="n"/>
      <c r="D403" s="9" t="n"/>
      <c r="E403" s="9" t="n"/>
      <c r="F403" s="9" t="n"/>
      <c r="G403" s="9" t="n"/>
      <c r="H403" s="9" t="n"/>
      <c r="I403" s="9" t="n"/>
      <c r="J403" s="3" t="n"/>
      <c r="K403" s="9" t="n"/>
    </row>
    <row r="404">
      <c r="A404" s="4" t="n"/>
      <c r="B404" s="9">
        <f>IF(A404="","",INT((DAY(A404)-1)/7)+1)</f>
        <v/>
      </c>
      <c r="C404" s="9" t="n"/>
      <c r="D404" s="9" t="n"/>
      <c r="E404" s="9" t="n"/>
      <c r="F404" s="9" t="n"/>
      <c r="G404" s="9" t="n"/>
      <c r="H404" s="9" t="n"/>
      <c r="I404" s="9" t="n"/>
      <c r="J404" s="3" t="n"/>
      <c r="K404" s="9" t="n"/>
    </row>
    <row r="405">
      <c r="A405" s="4" t="n"/>
      <c r="B405" s="9">
        <f>IF(A405="","",INT((DAY(A405)-1)/7)+1)</f>
        <v/>
      </c>
      <c r="C405" s="9" t="n"/>
      <c r="D405" s="9" t="n"/>
      <c r="E405" s="9" t="n"/>
      <c r="F405" s="9" t="n"/>
      <c r="G405" s="9" t="n"/>
      <c r="H405" s="9" t="n"/>
      <c r="I405" s="9" t="n"/>
      <c r="J405" s="3" t="n"/>
      <c r="K405" s="9" t="n"/>
    </row>
    <row r="406">
      <c r="A406" s="4" t="n"/>
      <c r="B406" s="9">
        <f>IF(A406="","",INT((DAY(A406)-1)/7)+1)</f>
        <v/>
      </c>
      <c r="C406" s="9" t="n"/>
      <c r="D406" s="9" t="n"/>
      <c r="E406" s="9" t="n"/>
      <c r="F406" s="9" t="n"/>
      <c r="G406" s="9" t="n"/>
      <c r="H406" s="9" t="n"/>
      <c r="I406" s="9" t="n"/>
      <c r="J406" s="3" t="n"/>
      <c r="K406" s="9" t="n"/>
    </row>
    <row r="407">
      <c r="A407" s="4" t="n"/>
      <c r="B407" s="9">
        <f>IF(A407="","",INT((DAY(A407)-1)/7)+1)</f>
        <v/>
      </c>
      <c r="C407" s="9" t="n"/>
      <c r="D407" s="9" t="n"/>
      <c r="E407" s="9" t="n"/>
      <c r="F407" s="9" t="n"/>
      <c r="G407" s="9" t="n"/>
      <c r="H407" s="9" t="n"/>
      <c r="I407" s="9" t="n"/>
      <c r="J407" s="3" t="n"/>
      <c r="K407" s="9" t="n"/>
    </row>
    <row r="408">
      <c r="A408" s="4" t="n"/>
      <c r="B408" s="9">
        <f>IF(A408="","",INT((DAY(A408)-1)/7)+1)</f>
        <v/>
      </c>
      <c r="C408" s="9" t="n"/>
      <c r="D408" s="9" t="n"/>
      <c r="E408" s="9" t="n"/>
      <c r="F408" s="9" t="n"/>
      <c r="G408" s="9" t="n"/>
      <c r="H408" s="9" t="n"/>
      <c r="I408" s="9" t="n"/>
      <c r="J408" s="3" t="n"/>
      <c r="K408" s="9" t="n"/>
    </row>
    <row r="409">
      <c r="A409" s="4" t="n"/>
      <c r="B409" s="9">
        <f>IF(A409="","",INT((DAY(A409)-1)/7)+1)</f>
        <v/>
      </c>
      <c r="C409" s="9" t="n"/>
      <c r="D409" s="9" t="n"/>
      <c r="E409" s="9" t="n"/>
      <c r="F409" s="9" t="n"/>
      <c r="G409" s="9" t="n"/>
      <c r="H409" s="9" t="n"/>
      <c r="I409" s="9" t="n"/>
      <c r="J409" s="3" t="n"/>
      <c r="K409" s="9" t="n"/>
    </row>
    <row r="410">
      <c r="A410" s="4" t="n"/>
      <c r="B410" s="9">
        <f>IF(A410="","",INT((DAY(A410)-1)/7)+1)</f>
        <v/>
      </c>
      <c r="C410" s="9" t="n"/>
      <c r="D410" s="9" t="n"/>
      <c r="E410" s="9" t="n"/>
      <c r="F410" s="9" t="n"/>
      <c r="G410" s="9" t="n"/>
      <c r="H410" s="9" t="n"/>
      <c r="I410" s="9" t="n"/>
      <c r="J410" s="3" t="n"/>
      <c r="K410" s="9" t="n"/>
    </row>
    <row r="411">
      <c r="A411" s="4" t="n"/>
      <c r="B411" s="9">
        <f>IF(A411="","",INT((DAY(A411)-1)/7)+1)</f>
        <v/>
      </c>
      <c r="C411" s="9" t="n"/>
      <c r="D411" s="9" t="n"/>
      <c r="E411" s="9" t="n"/>
      <c r="F411" s="9" t="n"/>
      <c r="G411" s="9" t="n"/>
      <c r="H411" s="9" t="n"/>
      <c r="I411" s="9" t="n"/>
      <c r="J411" s="3" t="n"/>
      <c r="K411" s="9" t="n"/>
    </row>
    <row r="412">
      <c r="A412" s="4" t="n"/>
      <c r="B412" s="9">
        <f>IF(A412="","",INT((DAY(A412)-1)/7)+1)</f>
        <v/>
      </c>
      <c r="C412" s="9" t="n"/>
      <c r="D412" s="9" t="n"/>
      <c r="E412" s="9" t="n"/>
      <c r="F412" s="9" t="n"/>
      <c r="G412" s="9" t="n"/>
      <c r="H412" s="9" t="n"/>
      <c r="I412" s="9" t="n"/>
      <c r="J412" s="3" t="n"/>
      <c r="K412" s="9" t="n"/>
    </row>
    <row r="413">
      <c r="A413" s="4" t="n"/>
      <c r="B413" s="9">
        <f>IF(A413="","",INT((DAY(A413)-1)/7)+1)</f>
        <v/>
      </c>
      <c r="C413" s="9" t="n"/>
      <c r="D413" s="9" t="n"/>
      <c r="E413" s="9" t="n"/>
      <c r="F413" s="9" t="n"/>
      <c r="G413" s="9" t="n"/>
      <c r="H413" s="9" t="n"/>
      <c r="I413" s="9" t="n"/>
      <c r="J413" s="3" t="n"/>
      <c r="K413" s="9" t="n"/>
    </row>
    <row r="414">
      <c r="A414" s="4" t="n"/>
      <c r="B414" s="9">
        <f>IF(A414="","",INT((DAY(A414)-1)/7)+1)</f>
        <v/>
      </c>
      <c r="C414" s="9" t="n"/>
      <c r="D414" s="9" t="n"/>
      <c r="E414" s="9" t="n"/>
      <c r="F414" s="9" t="n"/>
      <c r="G414" s="9" t="n"/>
      <c r="H414" s="9" t="n"/>
      <c r="I414" s="9" t="n"/>
      <c r="J414" s="3" t="n"/>
      <c r="K414" s="9" t="n"/>
    </row>
    <row r="415">
      <c r="A415" s="4" t="n"/>
      <c r="B415" s="9">
        <f>IF(A415="","",INT((DAY(A415)-1)/7)+1)</f>
        <v/>
      </c>
      <c r="C415" s="9" t="n"/>
      <c r="D415" s="9" t="n"/>
      <c r="E415" s="9" t="n"/>
      <c r="F415" s="9" t="n"/>
      <c r="G415" s="9" t="n"/>
      <c r="H415" s="9" t="n"/>
      <c r="I415" s="9" t="n"/>
      <c r="J415" s="3" t="n"/>
      <c r="K415" s="9" t="n"/>
    </row>
    <row r="416">
      <c r="A416" s="4" t="n"/>
      <c r="B416" s="9">
        <f>IF(A416="","",INT((DAY(A416)-1)/7)+1)</f>
        <v/>
      </c>
      <c r="C416" s="9" t="n"/>
      <c r="D416" s="9" t="n"/>
      <c r="E416" s="9" t="n"/>
      <c r="F416" s="9" t="n"/>
      <c r="G416" s="9" t="n"/>
      <c r="H416" s="9" t="n"/>
      <c r="I416" s="9" t="n"/>
      <c r="J416" s="3" t="n"/>
      <c r="K416" s="9" t="n"/>
    </row>
    <row r="417">
      <c r="A417" s="4" t="n"/>
      <c r="B417" s="9">
        <f>IF(A417="","",INT((DAY(A417)-1)/7)+1)</f>
        <v/>
      </c>
      <c r="C417" s="9" t="n"/>
      <c r="D417" s="9" t="n"/>
      <c r="E417" s="9" t="n"/>
      <c r="F417" s="9" t="n"/>
      <c r="G417" s="9" t="n"/>
      <c r="H417" s="9" t="n"/>
      <c r="I417" s="9" t="n"/>
      <c r="J417" s="3" t="n"/>
      <c r="K417" s="9" t="n"/>
    </row>
    <row r="418">
      <c r="A418" s="4" t="n"/>
      <c r="B418" s="9">
        <f>IF(A418="","",INT((DAY(A418)-1)/7)+1)</f>
        <v/>
      </c>
      <c r="C418" s="9" t="n"/>
      <c r="D418" s="9" t="n"/>
      <c r="E418" s="9" t="n"/>
      <c r="F418" s="9" t="n"/>
      <c r="G418" s="9" t="n"/>
      <c r="H418" s="9" t="n"/>
      <c r="I418" s="9" t="n"/>
      <c r="J418" s="3" t="n"/>
      <c r="K418" s="9" t="n"/>
    </row>
    <row r="419">
      <c r="A419" s="4" t="n"/>
      <c r="B419" s="9">
        <f>IF(A419="","",INT((DAY(A419)-1)/7)+1)</f>
        <v/>
      </c>
      <c r="C419" s="9" t="n"/>
      <c r="D419" s="9" t="n"/>
      <c r="E419" s="9" t="n"/>
      <c r="F419" s="9" t="n"/>
      <c r="G419" s="9" t="n"/>
      <c r="H419" s="9" t="n"/>
      <c r="I419" s="9" t="n"/>
      <c r="J419" s="3" t="n"/>
      <c r="K419" s="9" t="n"/>
    </row>
    <row r="420">
      <c r="A420" s="4" t="n"/>
      <c r="B420" s="9">
        <f>IF(A420="","",INT((DAY(A420)-1)/7)+1)</f>
        <v/>
      </c>
      <c r="C420" s="9" t="n"/>
      <c r="D420" s="9" t="n"/>
      <c r="E420" s="9" t="n"/>
      <c r="F420" s="9" t="n"/>
      <c r="G420" s="9" t="n"/>
      <c r="H420" s="9" t="n"/>
      <c r="I420" s="9" t="n"/>
      <c r="J420" s="3" t="n"/>
      <c r="K420" s="9" t="n"/>
    </row>
    <row r="421">
      <c r="A421" s="4" t="n"/>
      <c r="B421" s="9">
        <f>IF(A421="","",INT((DAY(A421)-1)/7)+1)</f>
        <v/>
      </c>
      <c r="C421" s="9" t="n"/>
      <c r="D421" s="9" t="n"/>
      <c r="E421" s="9" t="n"/>
      <c r="F421" s="9" t="n"/>
      <c r="G421" s="9" t="n"/>
      <c r="H421" s="9" t="n"/>
      <c r="I421" s="9" t="n"/>
      <c r="J421" s="3" t="n"/>
      <c r="K421" s="9" t="n"/>
    </row>
    <row r="422">
      <c r="A422" s="4" t="n"/>
      <c r="B422" s="9">
        <f>IF(A422="","",INT((DAY(A422)-1)/7)+1)</f>
        <v/>
      </c>
      <c r="C422" s="9" t="n"/>
      <c r="D422" s="9" t="n"/>
      <c r="E422" s="9" t="n"/>
      <c r="F422" s="9" t="n"/>
      <c r="G422" s="9" t="n"/>
      <c r="H422" s="9" t="n"/>
      <c r="I422" s="9" t="n"/>
      <c r="J422" s="3" t="n"/>
      <c r="K422" s="9" t="n"/>
    </row>
    <row r="423">
      <c r="A423" s="4" t="n"/>
      <c r="B423" s="9">
        <f>IF(A423="","",INT((DAY(A423)-1)/7)+1)</f>
        <v/>
      </c>
      <c r="C423" s="9" t="n"/>
      <c r="D423" s="9" t="n"/>
      <c r="E423" s="9" t="n"/>
      <c r="F423" s="9" t="n"/>
      <c r="G423" s="9" t="n"/>
      <c r="H423" s="9" t="n"/>
      <c r="I423" s="9" t="n"/>
      <c r="J423" s="3" t="n"/>
      <c r="K423" s="9" t="n"/>
    </row>
    <row r="424">
      <c r="A424" s="4" t="n"/>
      <c r="B424" s="9">
        <f>IF(A424="","",INT((DAY(A424)-1)/7)+1)</f>
        <v/>
      </c>
      <c r="C424" s="9" t="n"/>
      <c r="D424" s="9" t="n"/>
      <c r="E424" s="9" t="n"/>
      <c r="F424" s="9" t="n"/>
      <c r="G424" s="9" t="n"/>
      <c r="H424" s="9" t="n"/>
      <c r="I424" s="9" t="n"/>
      <c r="J424" s="3" t="n"/>
      <c r="K424" s="9" t="n"/>
    </row>
    <row r="425">
      <c r="A425" s="4" t="n"/>
      <c r="B425" s="9">
        <f>IF(A425="","",INT((DAY(A425)-1)/7)+1)</f>
        <v/>
      </c>
      <c r="C425" s="9" t="n"/>
      <c r="D425" s="9" t="n"/>
      <c r="E425" s="9" t="n"/>
      <c r="F425" s="9" t="n"/>
      <c r="G425" s="9" t="n"/>
      <c r="H425" s="9" t="n"/>
      <c r="I425" s="9" t="n"/>
      <c r="J425" s="3" t="n"/>
      <c r="K425" s="9" t="n"/>
    </row>
    <row r="426">
      <c r="A426" s="4" t="n"/>
      <c r="B426" s="9">
        <f>IF(A426="","",INT((DAY(A426)-1)/7)+1)</f>
        <v/>
      </c>
      <c r="C426" s="9" t="n"/>
      <c r="D426" s="9" t="n"/>
      <c r="E426" s="9" t="n"/>
      <c r="F426" s="9" t="n"/>
      <c r="G426" s="9" t="n"/>
      <c r="H426" s="9" t="n"/>
      <c r="I426" s="9" t="n"/>
      <c r="J426" s="3" t="n"/>
      <c r="K426" s="9" t="n"/>
    </row>
    <row r="427">
      <c r="A427" s="4" t="n"/>
      <c r="B427" s="9">
        <f>IF(A427="","",INT((DAY(A427)-1)/7)+1)</f>
        <v/>
      </c>
      <c r="C427" s="9" t="n"/>
      <c r="D427" s="9" t="n"/>
      <c r="E427" s="9" t="n"/>
      <c r="F427" s="9" t="n"/>
      <c r="G427" s="9" t="n"/>
      <c r="H427" s="9" t="n"/>
      <c r="I427" s="9" t="n"/>
      <c r="J427" s="3" t="n"/>
      <c r="K427" s="9" t="n"/>
    </row>
    <row r="428">
      <c r="A428" s="4" t="n"/>
      <c r="B428" s="9">
        <f>IF(A428="","",INT((DAY(A428)-1)/7)+1)</f>
        <v/>
      </c>
      <c r="C428" s="9" t="n"/>
      <c r="D428" s="9" t="n"/>
      <c r="E428" s="9" t="n"/>
      <c r="F428" s="9" t="n"/>
      <c r="G428" s="9" t="n"/>
      <c r="H428" s="9" t="n"/>
      <c r="I428" s="9" t="n"/>
      <c r="J428" s="3" t="n"/>
      <c r="K428" s="9" t="n"/>
    </row>
    <row r="429">
      <c r="A429" s="4" t="n"/>
      <c r="B429" s="9">
        <f>IF(A429="","",INT((DAY(A429)-1)/7)+1)</f>
        <v/>
      </c>
      <c r="C429" s="9" t="n"/>
      <c r="D429" s="9" t="n"/>
      <c r="E429" s="9" t="n"/>
      <c r="F429" s="9" t="n"/>
      <c r="G429" s="9" t="n"/>
      <c r="H429" s="9" t="n"/>
      <c r="I429" s="9" t="n"/>
      <c r="J429" s="3" t="n"/>
      <c r="K429" s="9" t="n"/>
    </row>
    <row r="430">
      <c r="A430" s="4" t="n"/>
      <c r="B430" s="9">
        <f>IF(A430="","",INT((DAY(A430)-1)/7)+1)</f>
        <v/>
      </c>
      <c r="C430" s="9" t="n"/>
      <c r="D430" s="9" t="n"/>
      <c r="E430" s="9" t="n"/>
      <c r="F430" s="9" t="n"/>
      <c r="G430" s="9" t="n"/>
      <c r="H430" s="9" t="n"/>
      <c r="I430" s="9" t="n"/>
      <c r="J430" s="3" t="n"/>
      <c r="K430" s="9" t="n"/>
    </row>
    <row r="431">
      <c r="A431" s="4" t="n"/>
      <c r="B431" s="9">
        <f>IF(A431="","",INT((DAY(A431)-1)/7)+1)</f>
        <v/>
      </c>
      <c r="C431" s="9" t="n"/>
      <c r="D431" s="9" t="n"/>
      <c r="E431" s="9" t="n"/>
      <c r="F431" s="9" t="n"/>
      <c r="G431" s="9" t="n"/>
      <c r="H431" s="9" t="n"/>
      <c r="I431" s="9" t="n"/>
      <c r="J431" s="3" t="n"/>
      <c r="K431" s="9" t="n"/>
    </row>
    <row r="432">
      <c r="A432" s="4" t="n"/>
      <c r="B432" s="9">
        <f>IF(A432="","",INT((DAY(A432)-1)/7)+1)</f>
        <v/>
      </c>
      <c r="C432" s="9" t="n"/>
      <c r="D432" s="9" t="n"/>
      <c r="E432" s="9" t="n"/>
      <c r="F432" s="9" t="n"/>
      <c r="G432" s="9" t="n"/>
      <c r="H432" s="9" t="n"/>
      <c r="I432" s="9" t="n"/>
      <c r="J432" s="3" t="n"/>
      <c r="K432" s="9" t="n"/>
    </row>
    <row r="433">
      <c r="A433" s="4" t="n"/>
      <c r="B433" s="9">
        <f>IF(A433="","",INT((DAY(A433)-1)/7)+1)</f>
        <v/>
      </c>
      <c r="C433" s="9" t="n"/>
      <c r="D433" s="9" t="n"/>
      <c r="E433" s="9" t="n"/>
      <c r="F433" s="9" t="n"/>
      <c r="G433" s="9" t="n"/>
      <c r="H433" s="9" t="n"/>
      <c r="I433" s="9" t="n"/>
      <c r="J433" s="3" t="n"/>
      <c r="K433" s="9" t="n"/>
    </row>
    <row r="434">
      <c r="A434" s="4" t="n"/>
      <c r="B434" s="9">
        <f>IF(A434="","",INT((DAY(A434)-1)/7)+1)</f>
        <v/>
      </c>
      <c r="C434" s="9" t="n"/>
      <c r="D434" s="9" t="n"/>
      <c r="E434" s="9" t="n"/>
      <c r="F434" s="9" t="n"/>
      <c r="G434" s="9" t="n"/>
      <c r="H434" s="9" t="n"/>
      <c r="I434" s="9" t="n"/>
      <c r="J434" s="3" t="n"/>
      <c r="K434" s="9" t="n"/>
    </row>
    <row r="435">
      <c r="A435" s="4" t="n"/>
      <c r="B435" s="9">
        <f>IF(A435="","",INT((DAY(A435)-1)/7)+1)</f>
        <v/>
      </c>
      <c r="C435" s="9" t="n"/>
      <c r="D435" s="9" t="n"/>
      <c r="E435" s="9" t="n"/>
      <c r="F435" s="9" t="n"/>
      <c r="G435" s="9" t="n"/>
      <c r="H435" s="9" t="n"/>
      <c r="I435" s="9" t="n"/>
      <c r="J435" s="3" t="n"/>
      <c r="K435" s="9" t="n"/>
    </row>
    <row r="436">
      <c r="A436" s="4" t="n"/>
      <c r="B436" s="9">
        <f>IF(A436="","",INT((DAY(A436)-1)/7)+1)</f>
        <v/>
      </c>
      <c r="C436" s="9" t="n"/>
      <c r="D436" s="9" t="n"/>
      <c r="E436" s="9" t="n"/>
      <c r="F436" s="9" t="n"/>
      <c r="G436" s="9" t="n"/>
      <c r="H436" s="9" t="n"/>
      <c r="I436" s="9" t="n"/>
      <c r="J436" s="3" t="n"/>
      <c r="K436" s="9" t="n"/>
    </row>
    <row r="437">
      <c r="A437" s="4" t="n"/>
      <c r="B437" s="9">
        <f>IF(A437="","",INT((DAY(A437)-1)/7)+1)</f>
        <v/>
      </c>
      <c r="C437" s="9" t="n"/>
      <c r="D437" s="9" t="n"/>
      <c r="E437" s="9" t="n"/>
      <c r="F437" s="9" t="n"/>
      <c r="G437" s="9" t="n"/>
      <c r="H437" s="9" t="n"/>
      <c r="I437" s="9" t="n"/>
      <c r="J437" s="3" t="n"/>
      <c r="K437" s="9" t="n"/>
    </row>
    <row r="438">
      <c r="A438" s="4" t="n"/>
      <c r="B438" s="9">
        <f>IF(A438="","",INT((DAY(A438)-1)/7)+1)</f>
        <v/>
      </c>
      <c r="C438" s="9" t="n"/>
      <c r="D438" s="9" t="n"/>
      <c r="E438" s="9" t="n"/>
      <c r="F438" s="9" t="n"/>
      <c r="G438" s="9" t="n"/>
      <c r="H438" s="9" t="n"/>
      <c r="I438" s="9" t="n"/>
      <c r="J438" s="3" t="n"/>
      <c r="K438" s="9" t="n"/>
    </row>
    <row r="439">
      <c r="A439" s="4" t="n"/>
      <c r="B439" s="9">
        <f>IF(A439="","",INT((DAY(A439)-1)/7)+1)</f>
        <v/>
      </c>
      <c r="C439" s="9" t="n"/>
      <c r="D439" s="9" t="n"/>
      <c r="E439" s="9" t="n"/>
      <c r="F439" s="9" t="n"/>
      <c r="G439" s="9" t="n"/>
      <c r="H439" s="9" t="n"/>
      <c r="I439" s="9" t="n"/>
      <c r="J439" s="3" t="n"/>
      <c r="K439" s="9" t="n"/>
    </row>
    <row r="440">
      <c r="A440" s="4" t="n"/>
      <c r="B440" s="9">
        <f>IF(A440="","",INT((DAY(A440)-1)/7)+1)</f>
        <v/>
      </c>
      <c r="C440" s="9" t="n"/>
      <c r="D440" s="9" t="n"/>
      <c r="E440" s="9" t="n"/>
      <c r="F440" s="9" t="n"/>
      <c r="G440" s="9" t="n"/>
      <c r="H440" s="9" t="n"/>
      <c r="I440" s="9" t="n"/>
      <c r="J440" s="3" t="n"/>
      <c r="K440" s="9" t="n"/>
    </row>
    <row r="441">
      <c r="A441" s="4" t="n"/>
      <c r="B441" s="9">
        <f>IF(A441="","",INT((DAY(A441)-1)/7)+1)</f>
        <v/>
      </c>
      <c r="C441" s="9" t="n"/>
      <c r="D441" s="9" t="n"/>
      <c r="E441" s="9" t="n"/>
      <c r="F441" s="9" t="n"/>
      <c r="G441" s="9" t="n"/>
      <c r="H441" s="9" t="n"/>
      <c r="I441" s="9" t="n"/>
      <c r="J441" s="3" t="n"/>
      <c r="K441" s="9" t="n"/>
    </row>
    <row r="442">
      <c r="A442" s="4" t="n"/>
      <c r="B442" s="9">
        <f>IF(A442="","",INT((DAY(A442)-1)/7)+1)</f>
        <v/>
      </c>
      <c r="C442" s="9" t="n"/>
      <c r="D442" s="9" t="n"/>
      <c r="E442" s="9" t="n"/>
      <c r="F442" s="9" t="n"/>
      <c r="G442" s="9" t="n"/>
      <c r="H442" s="9" t="n"/>
      <c r="I442" s="9" t="n"/>
      <c r="J442" s="3" t="n"/>
      <c r="K442" s="9" t="n"/>
    </row>
    <row r="443">
      <c r="A443" s="4" t="n"/>
      <c r="B443" s="9">
        <f>IF(A443="","",INT((DAY(A443)-1)/7)+1)</f>
        <v/>
      </c>
      <c r="C443" s="9" t="n"/>
      <c r="D443" s="9" t="n"/>
      <c r="E443" s="9" t="n"/>
      <c r="F443" s="9" t="n"/>
      <c r="G443" s="9" t="n"/>
      <c r="H443" s="9" t="n"/>
      <c r="I443" s="9" t="n"/>
      <c r="J443" s="3" t="n"/>
      <c r="K443" s="9" t="n"/>
    </row>
    <row r="444">
      <c r="A444" s="4" t="n"/>
      <c r="B444" s="9">
        <f>IF(A444="","",INT((DAY(A444)-1)/7)+1)</f>
        <v/>
      </c>
      <c r="C444" s="9" t="n"/>
      <c r="D444" s="9" t="n"/>
      <c r="E444" s="9" t="n"/>
      <c r="F444" s="9" t="n"/>
      <c r="G444" s="9" t="n"/>
      <c r="H444" s="9" t="n"/>
      <c r="I444" s="9" t="n"/>
      <c r="J444" s="3" t="n"/>
      <c r="K444" s="9" t="n"/>
    </row>
    <row r="445">
      <c r="A445" s="4" t="n"/>
      <c r="B445" s="9">
        <f>IF(A445="","",INT((DAY(A445)-1)/7)+1)</f>
        <v/>
      </c>
      <c r="C445" s="9" t="n"/>
      <c r="D445" s="9" t="n"/>
      <c r="E445" s="9" t="n"/>
      <c r="F445" s="9" t="n"/>
      <c r="G445" s="9" t="n"/>
      <c r="H445" s="9" t="n"/>
      <c r="I445" s="9" t="n"/>
      <c r="J445" s="3" t="n"/>
      <c r="K445" s="9" t="n"/>
    </row>
    <row r="446">
      <c r="A446" s="4" t="n"/>
      <c r="B446" s="9">
        <f>IF(A446="","",INT((DAY(A446)-1)/7)+1)</f>
        <v/>
      </c>
      <c r="C446" s="9" t="n"/>
      <c r="D446" s="9" t="n"/>
      <c r="E446" s="9" t="n"/>
      <c r="F446" s="9" t="n"/>
      <c r="G446" s="9" t="n"/>
      <c r="H446" s="9" t="n"/>
      <c r="I446" s="9" t="n"/>
      <c r="J446" s="3" t="n"/>
      <c r="K446" s="9" t="n"/>
    </row>
    <row r="447">
      <c r="A447" s="4" t="n"/>
      <c r="B447" s="9">
        <f>IF(A447="","",INT((DAY(A447)-1)/7)+1)</f>
        <v/>
      </c>
      <c r="C447" s="9" t="n"/>
      <c r="D447" s="9" t="n"/>
      <c r="E447" s="9" t="n"/>
      <c r="F447" s="9" t="n"/>
      <c r="G447" s="9" t="n"/>
      <c r="H447" s="9" t="n"/>
      <c r="I447" s="9" t="n"/>
      <c r="J447" s="3" t="n"/>
      <c r="K447" s="9" t="n"/>
    </row>
    <row r="448">
      <c r="A448" s="4" t="n"/>
      <c r="B448" s="9">
        <f>IF(A448="","",INT((DAY(A448)-1)/7)+1)</f>
        <v/>
      </c>
      <c r="C448" s="9" t="n"/>
      <c r="D448" s="9" t="n"/>
      <c r="E448" s="9" t="n"/>
      <c r="F448" s="9" t="n"/>
      <c r="G448" s="9" t="n"/>
      <c r="H448" s="9" t="n"/>
      <c r="I448" s="9" t="n"/>
      <c r="J448" s="3" t="n"/>
      <c r="K448" s="9" t="n"/>
    </row>
    <row r="449">
      <c r="A449" s="4" t="n"/>
      <c r="B449" s="9">
        <f>IF(A449="","",INT((DAY(A449)-1)/7)+1)</f>
        <v/>
      </c>
      <c r="C449" s="9" t="n"/>
      <c r="D449" s="9" t="n"/>
      <c r="E449" s="9" t="n"/>
      <c r="F449" s="9" t="n"/>
      <c r="G449" s="9" t="n"/>
      <c r="H449" s="9" t="n"/>
      <c r="I449" s="9" t="n"/>
      <c r="J449" s="3" t="n"/>
      <c r="K449" s="9" t="n"/>
    </row>
    <row r="450">
      <c r="A450" s="4" t="n"/>
      <c r="B450" s="9">
        <f>IF(A450="","",INT((DAY(A450)-1)/7)+1)</f>
        <v/>
      </c>
      <c r="C450" s="9" t="n"/>
      <c r="D450" s="9" t="n"/>
      <c r="E450" s="9" t="n"/>
      <c r="F450" s="9" t="n"/>
      <c r="G450" s="9" t="n"/>
      <c r="H450" s="9" t="n"/>
      <c r="I450" s="9" t="n"/>
      <c r="J450" s="3" t="n"/>
      <c r="K450" s="9" t="n"/>
    </row>
    <row r="451">
      <c r="A451" s="4" t="n"/>
      <c r="B451" s="9">
        <f>IF(A451="","",INT((DAY(A451)-1)/7)+1)</f>
        <v/>
      </c>
      <c r="C451" s="9" t="n"/>
      <c r="D451" s="9" t="n"/>
      <c r="E451" s="9" t="n"/>
      <c r="F451" s="9" t="n"/>
      <c r="G451" s="9" t="n"/>
      <c r="H451" s="9" t="n"/>
      <c r="I451" s="9" t="n"/>
      <c r="J451" s="3" t="n"/>
      <c r="K451" s="9" t="n"/>
    </row>
    <row r="452">
      <c r="A452" s="4" t="n"/>
      <c r="B452" s="9">
        <f>IF(A452="","",INT((DAY(A452)-1)/7)+1)</f>
        <v/>
      </c>
      <c r="C452" s="9" t="n"/>
      <c r="D452" s="9" t="n"/>
      <c r="E452" s="9" t="n"/>
      <c r="F452" s="9" t="n"/>
      <c r="G452" s="9" t="n"/>
      <c r="H452" s="9" t="n"/>
      <c r="I452" s="9" t="n"/>
      <c r="J452" s="3" t="n"/>
      <c r="K452" s="9" t="n"/>
    </row>
    <row r="453">
      <c r="A453" s="4" t="n"/>
      <c r="B453" s="9">
        <f>IF(A453="","",INT((DAY(A453)-1)/7)+1)</f>
        <v/>
      </c>
      <c r="C453" s="9" t="n"/>
      <c r="D453" s="9" t="n"/>
      <c r="E453" s="9" t="n"/>
      <c r="F453" s="9" t="n"/>
      <c r="G453" s="9" t="n"/>
      <c r="H453" s="9" t="n"/>
      <c r="I453" s="9" t="n"/>
      <c r="J453" s="3" t="n"/>
      <c r="K453" s="9" t="n"/>
    </row>
    <row r="454">
      <c r="A454" s="4" t="n"/>
      <c r="B454" s="9">
        <f>IF(A454="","",INT((DAY(A454)-1)/7)+1)</f>
        <v/>
      </c>
      <c r="C454" s="9" t="n"/>
      <c r="D454" s="9" t="n"/>
      <c r="E454" s="9" t="n"/>
      <c r="F454" s="9" t="n"/>
      <c r="G454" s="9" t="n"/>
      <c r="H454" s="9" t="n"/>
      <c r="I454" s="9" t="n"/>
      <c r="J454" s="3" t="n"/>
      <c r="K454" s="9" t="n"/>
    </row>
    <row r="455">
      <c r="A455" s="4" t="n"/>
      <c r="B455" s="9">
        <f>IF(A455="","",INT((DAY(A455)-1)/7)+1)</f>
        <v/>
      </c>
      <c r="C455" s="9" t="n"/>
      <c r="D455" s="9" t="n"/>
      <c r="E455" s="9" t="n"/>
      <c r="F455" s="9" t="n"/>
      <c r="G455" s="9" t="n"/>
      <c r="H455" s="9" t="n"/>
      <c r="I455" s="9" t="n"/>
      <c r="J455" s="3" t="n"/>
      <c r="K455" s="9" t="n"/>
    </row>
    <row r="456">
      <c r="A456" s="4" t="n"/>
      <c r="B456" s="9">
        <f>IF(A456="","",INT((DAY(A456)-1)/7)+1)</f>
        <v/>
      </c>
      <c r="C456" s="9" t="n"/>
      <c r="D456" s="9" t="n"/>
      <c r="E456" s="9" t="n"/>
      <c r="F456" s="9" t="n"/>
      <c r="G456" s="9" t="n"/>
      <c r="H456" s="9" t="n"/>
      <c r="I456" s="9" t="n"/>
      <c r="J456" s="3" t="n"/>
      <c r="K456" s="9" t="n"/>
    </row>
    <row r="457">
      <c r="A457" s="4" t="n"/>
      <c r="B457" s="9">
        <f>IF(A457="","",INT((DAY(A457)-1)/7)+1)</f>
        <v/>
      </c>
      <c r="C457" s="9" t="n"/>
      <c r="D457" s="9" t="n"/>
      <c r="E457" s="9" t="n"/>
      <c r="F457" s="9" t="n"/>
      <c r="G457" s="9" t="n"/>
      <c r="H457" s="9" t="n"/>
      <c r="I457" s="9" t="n"/>
      <c r="J457" s="3" t="n"/>
      <c r="K457" s="9" t="n"/>
    </row>
    <row r="458">
      <c r="A458" s="4" t="n"/>
      <c r="B458" s="9">
        <f>IF(A458="","",INT((DAY(A458)-1)/7)+1)</f>
        <v/>
      </c>
      <c r="C458" s="9" t="n"/>
      <c r="D458" s="9" t="n"/>
      <c r="E458" s="9" t="n"/>
      <c r="F458" s="9" t="n"/>
      <c r="G458" s="9" t="n"/>
      <c r="H458" s="9" t="n"/>
      <c r="I458" s="9" t="n"/>
      <c r="J458" s="3" t="n"/>
      <c r="K458" s="9" t="n"/>
    </row>
    <row r="459">
      <c r="A459" s="4" t="n"/>
      <c r="B459" s="9">
        <f>IF(A459="","",INT((DAY(A459)-1)/7)+1)</f>
        <v/>
      </c>
      <c r="C459" s="9" t="n"/>
      <c r="D459" s="9" t="n"/>
      <c r="E459" s="9" t="n"/>
      <c r="F459" s="9" t="n"/>
      <c r="G459" s="9" t="n"/>
      <c r="H459" s="9" t="n"/>
      <c r="I459" s="9" t="n"/>
      <c r="J459" s="3" t="n"/>
      <c r="K459" s="9" t="n"/>
    </row>
    <row r="460">
      <c r="A460" s="4" t="n"/>
      <c r="B460" s="9">
        <f>IF(A460="","",INT((DAY(A460)-1)/7)+1)</f>
        <v/>
      </c>
      <c r="C460" s="9" t="n"/>
      <c r="D460" s="9" t="n"/>
      <c r="E460" s="9" t="n"/>
      <c r="F460" s="9" t="n"/>
      <c r="G460" s="9" t="n"/>
      <c r="H460" s="9" t="n"/>
      <c r="I460" s="9" t="n"/>
      <c r="J460" s="3" t="n"/>
      <c r="K460" s="9" t="n"/>
    </row>
    <row r="461">
      <c r="A461" s="4" t="n"/>
      <c r="B461" s="9">
        <f>IF(A461="","",INT((DAY(A461)-1)/7)+1)</f>
        <v/>
      </c>
      <c r="C461" s="9" t="n"/>
      <c r="D461" s="9" t="n"/>
      <c r="E461" s="9" t="n"/>
      <c r="F461" s="9" t="n"/>
      <c r="G461" s="9" t="n"/>
      <c r="H461" s="9" t="n"/>
      <c r="I461" s="9" t="n"/>
      <c r="J461" s="3" t="n"/>
      <c r="K461" s="9" t="n"/>
    </row>
    <row r="462">
      <c r="A462" s="4" t="n"/>
      <c r="B462" s="9">
        <f>IF(A462="","",INT((DAY(A462)-1)/7)+1)</f>
        <v/>
      </c>
      <c r="C462" s="9" t="n"/>
      <c r="D462" s="9" t="n"/>
      <c r="E462" s="9" t="n"/>
      <c r="F462" s="9" t="n"/>
      <c r="G462" s="9" t="n"/>
      <c r="H462" s="9" t="n"/>
      <c r="I462" s="9" t="n"/>
      <c r="J462" s="3" t="n"/>
      <c r="K462" s="9" t="n"/>
    </row>
    <row r="463">
      <c r="A463" s="4" t="n"/>
      <c r="B463" s="9">
        <f>IF(A463="","",INT((DAY(A463)-1)/7)+1)</f>
        <v/>
      </c>
      <c r="C463" s="9" t="n"/>
      <c r="D463" s="9" t="n"/>
      <c r="E463" s="9" t="n"/>
      <c r="F463" s="9" t="n"/>
      <c r="G463" s="9" t="n"/>
      <c r="H463" s="9" t="n"/>
      <c r="I463" s="9" t="n"/>
      <c r="J463" s="3" t="n"/>
      <c r="K463" s="9" t="n"/>
    </row>
    <row r="464">
      <c r="A464" s="4" t="n"/>
      <c r="B464" s="9">
        <f>IF(A464="","",INT((DAY(A464)-1)/7)+1)</f>
        <v/>
      </c>
      <c r="C464" s="9" t="n"/>
      <c r="D464" s="9" t="n"/>
      <c r="E464" s="9" t="n"/>
      <c r="F464" s="9" t="n"/>
      <c r="G464" s="9" t="n"/>
      <c r="H464" s="9" t="n"/>
      <c r="I464" s="9" t="n"/>
      <c r="J464" s="3" t="n"/>
      <c r="K464" s="9" t="n"/>
    </row>
    <row r="465">
      <c r="A465" s="4" t="n"/>
      <c r="B465" s="9">
        <f>IF(A465="","",INT((DAY(A465)-1)/7)+1)</f>
        <v/>
      </c>
      <c r="C465" s="9" t="n"/>
      <c r="D465" s="9" t="n"/>
      <c r="E465" s="9" t="n"/>
      <c r="F465" s="9" t="n"/>
      <c r="G465" s="9" t="n"/>
      <c r="H465" s="9" t="n"/>
      <c r="I465" s="9" t="n"/>
      <c r="J465" s="3" t="n"/>
      <c r="K465" s="9" t="n"/>
    </row>
    <row r="466">
      <c r="A466" s="4" t="n"/>
      <c r="B466" s="9">
        <f>IF(A466="","",INT((DAY(A466)-1)/7)+1)</f>
        <v/>
      </c>
      <c r="C466" s="9" t="n"/>
      <c r="D466" s="9" t="n"/>
      <c r="E466" s="9" t="n"/>
      <c r="F466" s="9" t="n"/>
      <c r="G466" s="9" t="n"/>
      <c r="H466" s="9" t="n"/>
      <c r="I466" s="9" t="n"/>
      <c r="J466" s="3" t="n"/>
      <c r="K466" s="9" t="n"/>
    </row>
    <row r="467">
      <c r="A467" s="4" t="n"/>
      <c r="B467" s="9">
        <f>IF(A467="","",INT((DAY(A467)-1)/7)+1)</f>
        <v/>
      </c>
      <c r="C467" s="9" t="n"/>
      <c r="D467" s="9" t="n"/>
      <c r="E467" s="9" t="n"/>
      <c r="F467" s="9" t="n"/>
      <c r="G467" s="9" t="n"/>
      <c r="H467" s="9" t="n"/>
      <c r="I467" s="9" t="n"/>
      <c r="J467" s="3" t="n"/>
      <c r="K467" s="9" t="n"/>
    </row>
    <row r="468">
      <c r="A468" s="4" t="n"/>
      <c r="B468" s="9">
        <f>IF(A468="","",INT((DAY(A468)-1)/7)+1)</f>
        <v/>
      </c>
      <c r="C468" s="9" t="n"/>
      <c r="D468" s="9" t="n"/>
      <c r="E468" s="9" t="n"/>
      <c r="F468" s="9" t="n"/>
      <c r="G468" s="9" t="n"/>
      <c r="H468" s="9" t="n"/>
      <c r="I468" s="9" t="n"/>
      <c r="J468" s="3" t="n"/>
      <c r="K468" s="9" t="n"/>
    </row>
    <row r="469">
      <c r="A469" s="4" t="n"/>
      <c r="B469" s="9">
        <f>IF(A469="","",INT((DAY(A469)-1)/7)+1)</f>
        <v/>
      </c>
      <c r="C469" s="9" t="n"/>
      <c r="D469" s="9" t="n"/>
      <c r="E469" s="9" t="n"/>
      <c r="F469" s="9" t="n"/>
      <c r="G469" s="9" t="n"/>
      <c r="H469" s="9" t="n"/>
      <c r="I469" s="9" t="n"/>
      <c r="J469" s="3" t="n"/>
      <c r="K469" s="9" t="n"/>
    </row>
    <row r="470">
      <c r="A470" s="4" t="n"/>
      <c r="B470" s="9">
        <f>IF(A470="","",INT((DAY(A470)-1)/7)+1)</f>
        <v/>
      </c>
      <c r="C470" s="9" t="n"/>
      <c r="D470" s="9" t="n"/>
      <c r="E470" s="9" t="n"/>
      <c r="F470" s="9" t="n"/>
      <c r="G470" s="9" t="n"/>
      <c r="H470" s="9" t="n"/>
      <c r="I470" s="9" t="n"/>
      <c r="J470" s="3" t="n"/>
      <c r="K470" s="9" t="n"/>
    </row>
    <row r="471">
      <c r="A471" s="4" t="n"/>
      <c r="B471" s="9">
        <f>IF(A471="","",INT((DAY(A471)-1)/7)+1)</f>
        <v/>
      </c>
      <c r="C471" s="9" t="n"/>
      <c r="D471" s="9" t="n"/>
      <c r="E471" s="9" t="n"/>
      <c r="F471" s="9" t="n"/>
      <c r="G471" s="9" t="n"/>
      <c r="H471" s="9" t="n"/>
      <c r="I471" s="9" t="n"/>
      <c r="J471" s="3" t="n"/>
      <c r="K471" s="9" t="n"/>
    </row>
    <row r="472">
      <c r="A472" s="4" t="n"/>
      <c r="B472" s="9">
        <f>IF(A472="","",INT((DAY(A472)-1)/7)+1)</f>
        <v/>
      </c>
      <c r="C472" s="9" t="n"/>
      <c r="D472" s="9" t="n"/>
      <c r="E472" s="9" t="n"/>
      <c r="F472" s="9" t="n"/>
      <c r="G472" s="9" t="n"/>
      <c r="H472" s="9" t="n"/>
      <c r="I472" s="9" t="n"/>
      <c r="J472" s="3" t="n"/>
      <c r="K472" s="9" t="n"/>
    </row>
    <row r="473">
      <c r="A473" s="4" t="n"/>
      <c r="B473" s="9">
        <f>IF(A473="","",INT((DAY(A473)-1)/7)+1)</f>
        <v/>
      </c>
      <c r="C473" s="9" t="n"/>
      <c r="D473" s="9" t="n"/>
      <c r="E473" s="9" t="n"/>
      <c r="F473" s="9" t="n"/>
      <c r="G473" s="9" t="n"/>
      <c r="H473" s="9" t="n"/>
      <c r="I473" s="9" t="n"/>
      <c r="J473" s="3" t="n"/>
      <c r="K473" s="9" t="n"/>
    </row>
    <row r="474">
      <c r="A474" s="4" t="n"/>
      <c r="B474" s="9">
        <f>IF(A474="","",INT((DAY(A474)-1)/7)+1)</f>
        <v/>
      </c>
      <c r="C474" s="9" t="n"/>
      <c r="D474" s="9" t="n"/>
      <c r="E474" s="9" t="n"/>
      <c r="F474" s="9" t="n"/>
      <c r="G474" s="9" t="n"/>
      <c r="H474" s="9" t="n"/>
      <c r="I474" s="9" t="n"/>
      <c r="J474" s="3" t="n"/>
      <c r="K474" s="9" t="n"/>
    </row>
    <row r="475">
      <c r="A475" s="4" t="n"/>
      <c r="B475" s="9">
        <f>IF(A475="","",INT((DAY(A475)-1)/7)+1)</f>
        <v/>
      </c>
      <c r="C475" s="9" t="n"/>
      <c r="D475" s="9" t="n"/>
      <c r="E475" s="9" t="n"/>
      <c r="F475" s="9" t="n"/>
      <c r="G475" s="9" t="n"/>
      <c r="H475" s="9" t="n"/>
      <c r="I475" s="9" t="n"/>
      <c r="J475" s="3" t="n"/>
      <c r="K475" s="9" t="n"/>
    </row>
    <row r="476">
      <c r="A476" s="4" t="n"/>
      <c r="B476" s="9">
        <f>IF(A476="","",INT((DAY(A476)-1)/7)+1)</f>
        <v/>
      </c>
      <c r="C476" s="9" t="n"/>
      <c r="D476" s="9" t="n"/>
      <c r="E476" s="9" t="n"/>
      <c r="F476" s="9" t="n"/>
      <c r="G476" s="9" t="n"/>
      <c r="H476" s="9" t="n"/>
      <c r="I476" s="9" t="n"/>
      <c r="J476" s="3" t="n"/>
      <c r="K476" s="9" t="n"/>
    </row>
    <row r="477">
      <c r="A477" s="4" t="n"/>
      <c r="B477" s="9">
        <f>IF(A477="","",INT((DAY(A477)-1)/7)+1)</f>
        <v/>
      </c>
      <c r="C477" s="9" t="n"/>
      <c r="D477" s="9" t="n"/>
      <c r="E477" s="9" t="n"/>
      <c r="F477" s="9" t="n"/>
      <c r="G477" s="9" t="n"/>
      <c r="H477" s="9" t="n"/>
      <c r="I477" s="9" t="n"/>
      <c r="J477" s="3" t="n"/>
      <c r="K477" s="9" t="n"/>
    </row>
    <row r="478">
      <c r="A478" s="4" t="n"/>
      <c r="B478" s="9">
        <f>IF(A478="","",INT((DAY(A478)-1)/7)+1)</f>
        <v/>
      </c>
      <c r="C478" s="9" t="n"/>
      <c r="D478" s="9" t="n"/>
      <c r="E478" s="9" t="n"/>
      <c r="F478" s="9" t="n"/>
      <c r="G478" s="9" t="n"/>
      <c r="H478" s="9" t="n"/>
      <c r="I478" s="9" t="n"/>
      <c r="J478" s="3" t="n"/>
      <c r="K478" s="9" t="n"/>
    </row>
    <row r="479">
      <c r="A479" s="4" t="n"/>
      <c r="B479" s="9">
        <f>IF(A479="","",INT((DAY(A479)-1)/7)+1)</f>
        <v/>
      </c>
      <c r="C479" s="9" t="n"/>
      <c r="D479" s="9" t="n"/>
      <c r="E479" s="9" t="n"/>
      <c r="F479" s="9" t="n"/>
      <c r="G479" s="9" t="n"/>
      <c r="H479" s="9" t="n"/>
      <c r="I479" s="9" t="n"/>
      <c r="J479" s="3" t="n"/>
      <c r="K479" s="9" t="n"/>
    </row>
    <row r="480">
      <c r="A480" s="4" t="n"/>
      <c r="B480" s="9">
        <f>IF(A480="","",INT((DAY(A480)-1)/7)+1)</f>
        <v/>
      </c>
      <c r="C480" s="9" t="n"/>
      <c r="D480" s="9" t="n"/>
      <c r="E480" s="9" t="n"/>
      <c r="F480" s="9" t="n"/>
      <c r="G480" s="9" t="n"/>
      <c r="H480" s="9" t="n"/>
      <c r="I480" s="9" t="n"/>
      <c r="J480" s="3" t="n"/>
      <c r="K480" s="9" t="n"/>
    </row>
    <row r="481">
      <c r="A481" s="4" t="n"/>
      <c r="B481" s="9">
        <f>IF(A481="","",INT((DAY(A481)-1)/7)+1)</f>
        <v/>
      </c>
      <c r="C481" s="9" t="n"/>
      <c r="D481" s="9" t="n"/>
      <c r="E481" s="9" t="n"/>
      <c r="F481" s="9" t="n"/>
      <c r="G481" s="9" t="n"/>
      <c r="H481" s="9" t="n"/>
      <c r="I481" s="9" t="n"/>
      <c r="J481" s="3" t="n"/>
      <c r="K481" s="9" t="n"/>
    </row>
    <row r="482">
      <c r="A482" s="4" t="n"/>
      <c r="B482" s="9">
        <f>IF(A482="","",INT((DAY(A482)-1)/7)+1)</f>
        <v/>
      </c>
      <c r="C482" s="9" t="n"/>
      <c r="D482" s="9" t="n"/>
      <c r="E482" s="9" t="n"/>
      <c r="F482" s="9" t="n"/>
      <c r="G482" s="9" t="n"/>
      <c r="H482" s="9" t="n"/>
      <c r="I482" s="9" t="n"/>
      <c r="J482" s="3" t="n"/>
      <c r="K482" s="9" t="n"/>
    </row>
    <row r="483">
      <c r="A483" s="4" t="n"/>
      <c r="B483" s="9">
        <f>IF(A483="","",INT((DAY(A483)-1)/7)+1)</f>
        <v/>
      </c>
      <c r="C483" s="9" t="n"/>
      <c r="D483" s="9" t="n"/>
      <c r="E483" s="9" t="n"/>
      <c r="F483" s="9" t="n"/>
      <c r="G483" s="9" t="n"/>
      <c r="H483" s="9" t="n"/>
      <c r="I483" s="9" t="n"/>
      <c r="J483" s="3" t="n"/>
      <c r="K483" s="9" t="n"/>
    </row>
    <row r="484">
      <c r="A484" s="4" t="n"/>
      <c r="B484" s="9">
        <f>IF(A484="","",INT((DAY(A484)-1)/7)+1)</f>
        <v/>
      </c>
      <c r="C484" s="9" t="n"/>
      <c r="D484" s="9" t="n"/>
      <c r="E484" s="9" t="n"/>
      <c r="F484" s="9" t="n"/>
      <c r="G484" s="9" t="n"/>
      <c r="H484" s="9" t="n"/>
      <c r="I484" s="9" t="n"/>
      <c r="J484" s="3" t="n"/>
      <c r="K484" s="9" t="n"/>
    </row>
    <row r="485">
      <c r="A485" s="4" t="n"/>
      <c r="B485" s="9">
        <f>IF(A485="","",INT((DAY(A485)-1)/7)+1)</f>
        <v/>
      </c>
      <c r="C485" s="9" t="n"/>
      <c r="D485" s="9" t="n"/>
      <c r="E485" s="9" t="n"/>
      <c r="F485" s="9" t="n"/>
      <c r="G485" s="9" t="n"/>
      <c r="H485" s="9" t="n"/>
      <c r="I485" s="9" t="n"/>
      <c r="J485" s="3" t="n"/>
      <c r="K485" s="9" t="n"/>
    </row>
    <row r="486">
      <c r="A486" s="4" t="n"/>
      <c r="B486" s="9">
        <f>IF(A486="","",INT((DAY(A486)-1)/7)+1)</f>
        <v/>
      </c>
      <c r="C486" s="9" t="n"/>
      <c r="D486" s="9" t="n"/>
      <c r="E486" s="9" t="n"/>
      <c r="F486" s="9" t="n"/>
      <c r="G486" s="9" t="n"/>
      <c r="H486" s="9" t="n"/>
      <c r="I486" s="9" t="n"/>
      <c r="J486" s="3" t="n"/>
      <c r="K486" s="9" t="n"/>
    </row>
    <row r="487">
      <c r="A487" s="4" t="n"/>
      <c r="B487" s="9">
        <f>IF(A487="","",INT((DAY(A487)-1)/7)+1)</f>
        <v/>
      </c>
      <c r="C487" s="9" t="n"/>
      <c r="D487" s="9" t="n"/>
      <c r="E487" s="9" t="n"/>
      <c r="F487" s="9" t="n"/>
      <c r="G487" s="9" t="n"/>
      <c r="H487" s="9" t="n"/>
      <c r="I487" s="9" t="n"/>
      <c r="J487" s="3" t="n"/>
      <c r="K487" s="9" t="n"/>
    </row>
    <row r="488">
      <c r="A488" s="4" t="n"/>
      <c r="B488" s="9">
        <f>IF(A488="","",INT((DAY(A488)-1)/7)+1)</f>
        <v/>
      </c>
      <c r="C488" s="9" t="n"/>
      <c r="D488" s="9" t="n"/>
      <c r="E488" s="9" t="n"/>
      <c r="F488" s="9" t="n"/>
      <c r="G488" s="9" t="n"/>
      <c r="H488" s="9" t="n"/>
      <c r="I488" s="9" t="n"/>
      <c r="J488" s="3" t="n"/>
      <c r="K488" s="9" t="n"/>
    </row>
    <row r="489">
      <c r="A489" s="4" t="n"/>
      <c r="B489" s="9">
        <f>IF(A489="","",INT((DAY(A489)-1)/7)+1)</f>
        <v/>
      </c>
      <c r="C489" s="9" t="n"/>
      <c r="D489" s="9" t="n"/>
      <c r="E489" s="9" t="n"/>
      <c r="F489" s="9" t="n"/>
      <c r="G489" s="9" t="n"/>
      <c r="H489" s="9" t="n"/>
      <c r="I489" s="9" t="n"/>
      <c r="J489" s="3" t="n"/>
      <c r="K489" s="9" t="n"/>
    </row>
    <row r="490">
      <c r="A490" s="4" t="n"/>
      <c r="B490" s="9">
        <f>IF(A490="","",INT((DAY(A490)-1)/7)+1)</f>
        <v/>
      </c>
      <c r="C490" s="9" t="n"/>
      <c r="D490" s="9" t="n"/>
      <c r="E490" s="9" t="n"/>
      <c r="F490" s="9" t="n"/>
      <c r="G490" s="9" t="n"/>
      <c r="H490" s="9" t="n"/>
      <c r="I490" s="9" t="n"/>
      <c r="J490" s="3" t="n"/>
      <c r="K490" s="9" t="n"/>
    </row>
    <row r="491">
      <c r="A491" s="4" t="n"/>
      <c r="B491" s="9">
        <f>IF(A491="","",INT((DAY(A491)-1)/7)+1)</f>
        <v/>
      </c>
      <c r="C491" s="9" t="n"/>
      <c r="D491" s="9" t="n"/>
      <c r="E491" s="9" t="n"/>
      <c r="F491" s="9" t="n"/>
      <c r="G491" s="9" t="n"/>
      <c r="H491" s="9" t="n"/>
      <c r="I491" s="9" t="n"/>
      <c r="J491" s="3" t="n"/>
      <c r="K491" s="9" t="n"/>
    </row>
    <row r="492">
      <c r="A492" s="4" t="n"/>
      <c r="B492" s="9">
        <f>IF(A492="","",INT((DAY(A492)-1)/7)+1)</f>
        <v/>
      </c>
      <c r="C492" s="9" t="n"/>
      <c r="D492" s="9" t="n"/>
      <c r="E492" s="9" t="n"/>
      <c r="F492" s="9" t="n"/>
      <c r="G492" s="9" t="n"/>
      <c r="H492" s="9" t="n"/>
      <c r="I492" s="9" t="n"/>
      <c r="J492" s="3" t="n"/>
      <c r="K492" s="9" t="n"/>
    </row>
    <row r="493">
      <c r="A493" s="4" t="n"/>
      <c r="B493" s="9">
        <f>IF(A493="","",INT((DAY(A493)-1)/7)+1)</f>
        <v/>
      </c>
      <c r="C493" s="9" t="n"/>
      <c r="D493" s="9" t="n"/>
      <c r="E493" s="9" t="n"/>
      <c r="F493" s="9" t="n"/>
      <c r="G493" s="9" t="n"/>
      <c r="H493" s="9" t="n"/>
      <c r="I493" s="9" t="n"/>
      <c r="J493" s="3" t="n"/>
      <c r="K493" s="9" t="n"/>
    </row>
    <row r="494">
      <c r="A494" s="4" t="n"/>
      <c r="B494" s="9">
        <f>IF(A494="","",INT((DAY(A494)-1)/7)+1)</f>
        <v/>
      </c>
      <c r="C494" s="9" t="n"/>
      <c r="D494" s="9" t="n"/>
      <c r="E494" s="9" t="n"/>
      <c r="F494" s="9" t="n"/>
      <c r="G494" s="9" t="n"/>
      <c r="H494" s="9" t="n"/>
      <c r="I494" s="9" t="n"/>
      <c r="J494" s="3" t="n"/>
      <c r="K494" s="9" t="n"/>
    </row>
    <row r="495">
      <c r="A495" s="4" t="n"/>
      <c r="B495" s="9">
        <f>IF(A495="","",INT((DAY(A495)-1)/7)+1)</f>
        <v/>
      </c>
      <c r="C495" s="9" t="n"/>
      <c r="D495" s="9" t="n"/>
      <c r="E495" s="9" t="n"/>
      <c r="F495" s="9" t="n"/>
      <c r="G495" s="9" t="n"/>
      <c r="H495" s="9" t="n"/>
      <c r="I495" s="9" t="n"/>
      <c r="J495" s="3" t="n"/>
      <c r="K495" s="9" t="n"/>
    </row>
    <row r="496">
      <c r="A496" s="4" t="n"/>
      <c r="B496" s="9">
        <f>IF(A496="","",INT((DAY(A496)-1)/7)+1)</f>
        <v/>
      </c>
      <c r="C496" s="9" t="n"/>
      <c r="D496" s="9" t="n"/>
      <c r="E496" s="9" t="n"/>
      <c r="F496" s="9" t="n"/>
      <c r="G496" s="9" t="n"/>
      <c r="H496" s="9" t="n"/>
      <c r="I496" s="9" t="n"/>
      <c r="J496" s="3" t="n"/>
      <c r="K496" s="9" t="n"/>
    </row>
    <row r="497">
      <c r="A497" s="4" t="n"/>
      <c r="B497" s="9">
        <f>IF(A497="","",INT((DAY(A497)-1)/7)+1)</f>
        <v/>
      </c>
      <c r="C497" s="9" t="n"/>
      <c r="D497" s="9" t="n"/>
      <c r="E497" s="9" t="n"/>
      <c r="F497" s="9" t="n"/>
      <c r="G497" s="9" t="n"/>
      <c r="H497" s="9" t="n"/>
      <c r="I497" s="9" t="n"/>
      <c r="J497" s="3" t="n"/>
      <c r="K497" s="9" t="n"/>
    </row>
    <row r="498">
      <c r="A498" s="4" t="n"/>
      <c r="B498" s="9">
        <f>IF(A498="","",INT((DAY(A498)-1)/7)+1)</f>
        <v/>
      </c>
      <c r="C498" s="9" t="n"/>
      <c r="D498" s="9" t="n"/>
      <c r="E498" s="9" t="n"/>
      <c r="F498" s="9" t="n"/>
      <c r="G498" s="9" t="n"/>
      <c r="H498" s="9" t="n"/>
      <c r="I498" s="9" t="n"/>
      <c r="J498" s="3" t="n"/>
      <c r="K498" s="9" t="n"/>
    </row>
    <row r="499">
      <c r="A499" s="4" t="n"/>
      <c r="B499" s="9">
        <f>IF(A499="","",INT((DAY(A499)-1)/7)+1)</f>
        <v/>
      </c>
      <c r="C499" s="9" t="n"/>
      <c r="D499" s="9" t="n"/>
      <c r="E499" s="9" t="n"/>
      <c r="F499" s="9" t="n"/>
      <c r="G499" s="9" t="n"/>
      <c r="H499" s="9" t="n"/>
      <c r="I499" s="9" t="n"/>
      <c r="J499" s="3" t="n"/>
      <c r="K499" s="9" t="n"/>
    </row>
    <row r="500">
      <c r="A500" s="4" t="n"/>
      <c r="B500" s="9">
        <f>IF(A500="","",INT((DAY(A500)-1)/7)+1)</f>
        <v/>
      </c>
      <c r="C500" s="9" t="n"/>
      <c r="D500" s="9" t="n"/>
      <c r="E500" s="9" t="n"/>
      <c r="F500" s="9" t="n"/>
      <c r="G500" s="9" t="n"/>
      <c r="H500" s="9" t="n"/>
      <c r="I500" s="9" t="n"/>
      <c r="J500" s="3" t="n"/>
      <c r="K500" s="9" t="n"/>
    </row>
    <row r="501">
      <c r="A501" s="4" t="n"/>
      <c r="B501" s="9">
        <f>IF(A501="","",INT((DAY(A501)-1)/7)+1)</f>
        <v/>
      </c>
      <c r="C501" s="9" t="n"/>
      <c r="D501" s="9" t="n"/>
      <c r="E501" s="9" t="n"/>
      <c r="F501" s="9" t="n"/>
      <c r="G501" s="9" t="n"/>
      <c r="H501" s="9" t="n"/>
      <c r="I501" s="9" t="n"/>
      <c r="J501" s="3" t="n"/>
      <c r="K501" s="9" t="n"/>
    </row>
    <row r="502">
      <c r="A502" s="4" t="n"/>
      <c r="B502" s="9">
        <f>IF(A502="","",INT((DAY(A502)-1)/7)+1)</f>
        <v/>
      </c>
      <c r="C502" s="9" t="n"/>
      <c r="D502" s="9" t="n"/>
      <c r="E502" s="9" t="n"/>
      <c r="F502" s="9" t="n"/>
      <c r="G502" s="9" t="n"/>
      <c r="H502" s="9" t="n"/>
      <c r="I502" s="9" t="n"/>
      <c r="J502" s="3" t="n"/>
      <c r="K502" s="9" t="n"/>
    </row>
    <row r="503">
      <c r="A503" s="4" t="n"/>
      <c r="B503" s="9">
        <f>IF(A503="","",INT((DAY(A503)-1)/7)+1)</f>
        <v/>
      </c>
      <c r="C503" s="9" t="n"/>
      <c r="D503" s="9" t="n"/>
      <c r="E503" s="9" t="n"/>
      <c r="F503" s="9" t="n"/>
      <c r="G503" s="9" t="n"/>
      <c r="H503" s="9" t="n"/>
      <c r="I503" s="9" t="n"/>
      <c r="J503" s="3" t="n"/>
      <c r="K503" s="9" t="n"/>
    </row>
    <row r="504">
      <c r="A504" s="4" t="n"/>
      <c r="B504" s="9">
        <f>IF(A504="","",INT((DAY(A504)-1)/7)+1)</f>
        <v/>
      </c>
      <c r="C504" s="9" t="n"/>
      <c r="D504" s="9" t="n"/>
      <c r="E504" s="9" t="n"/>
      <c r="F504" s="9" t="n"/>
      <c r="G504" s="9" t="n"/>
      <c r="H504" s="9" t="n"/>
      <c r="I504" s="9" t="n"/>
      <c r="J504" s="3" t="n"/>
      <c r="K504" s="9" t="n"/>
    </row>
    <row r="505">
      <c r="A505" s="4" t="n"/>
      <c r="B505" s="9">
        <f>IF(A505="","",INT((DAY(A505)-1)/7)+1)</f>
        <v/>
      </c>
      <c r="C505" s="9" t="n"/>
      <c r="D505" s="9" t="n"/>
      <c r="E505" s="9" t="n"/>
      <c r="F505" s="9" t="n"/>
      <c r="G505" s="9" t="n"/>
      <c r="H505" s="9" t="n"/>
      <c r="I505" s="9" t="n"/>
      <c r="J505" s="3" t="n"/>
      <c r="K505" s="9" t="n"/>
    </row>
    <row r="506">
      <c r="A506" s="4" t="n"/>
      <c r="B506" s="9">
        <f>IF(A506="","",INT((DAY(A506)-1)/7)+1)</f>
        <v/>
      </c>
      <c r="C506" s="9" t="n"/>
      <c r="D506" s="9" t="n"/>
      <c r="E506" s="9" t="n"/>
      <c r="F506" s="9" t="n"/>
      <c r="G506" s="9" t="n"/>
      <c r="H506" s="9" t="n"/>
      <c r="I506" s="9" t="n"/>
      <c r="J506" s="3" t="n"/>
      <c r="K506" s="9" t="n"/>
    </row>
    <row r="507">
      <c r="A507" s="4" t="n"/>
      <c r="B507" s="9">
        <f>IF(A507="","",INT((DAY(A507)-1)/7)+1)</f>
        <v/>
      </c>
      <c r="C507" s="9" t="n"/>
      <c r="D507" s="9" t="n"/>
      <c r="E507" s="9" t="n"/>
      <c r="F507" s="9" t="n"/>
      <c r="G507" s="9" t="n"/>
      <c r="H507" s="9" t="n"/>
      <c r="I507" s="9" t="n"/>
      <c r="J507" s="3" t="n"/>
      <c r="K507" s="9" t="n"/>
    </row>
    <row r="508">
      <c r="A508" s="4" t="n"/>
      <c r="B508" s="9">
        <f>IF(A508="","",INT((DAY(A508)-1)/7)+1)</f>
        <v/>
      </c>
      <c r="C508" s="9" t="n"/>
      <c r="D508" s="9" t="n"/>
      <c r="E508" s="9" t="n"/>
      <c r="F508" s="9" t="n"/>
      <c r="G508" s="9" t="n"/>
      <c r="H508" s="9" t="n"/>
      <c r="I508" s="9" t="n"/>
      <c r="J508" s="3" t="n"/>
      <c r="K508" s="9" t="n"/>
    </row>
    <row r="509">
      <c r="A509" s="4" t="n"/>
      <c r="B509" s="9">
        <f>IF(A509="","",INT((DAY(A509)-1)/7)+1)</f>
        <v/>
      </c>
      <c r="C509" s="9" t="n"/>
      <c r="D509" s="9" t="n"/>
      <c r="E509" s="9" t="n"/>
      <c r="F509" s="9" t="n"/>
      <c r="G509" s="9" t="n"/>
      <c r="H509" s="9" t="n"/>
      <c r="I509" s="9" t="n"/>
      <c r="J509" s="3" t="n"/>
      <c r="K509" s="9" t="n"/>
    </row>
    <row r="510">
      <c r="A510" s="4" t="n"/>
      <c r="B510" s="9">
        <f>IF(A510="","",INT((DAY(A510)-1)/7)+1)</f>
        <v/>
      </c>
      <c r="C510" s="9" t="n"/>
      <c r="D510" s="9" t="n"/>
      <c r="E510" s="9" t="n"/>
      <c r="F510" s="9" t="n"/>
      <c r="G510" s="9" t="n"/>
      <c r="H510" s="9" t="n"/>
      <c r="I510" s="9" t="n"/>
      <c r="J510" s="3" t="n"/>
      <c r="K510" s="9" t="n"/>
    </row>
    <row r="511">
      <c r="A511" s="4" t="n"/>
      <c r="B511" s="9">
        <f>IF(A511="","",INT((DAY(A511)-1)/7)+1)</f>
        <v/>
      </c>
      <c r="C511" s="9" t="n"/>
      <c r="D511" s="9" t="n"/>
      <c r="E511" s="9" t="n"/>
      <c r="F511" s="9" t="n"/>
      <c r="G511" s="9" t="n"/>
      <c r="H511" s="9" t="n"/>
      <c r="I511" s="9" t="n"/>
      <c r="J511" s="3" t="n"/>
      <c r="K511" s="9" t="n"/>
    </row>
    <row r="512">
      <c r="A512" s="4" t="n"/>
      <c r="B512" s="9">
        <f>IF(A512="","",INT((DAY(A512)-1)/7)+1)</f>
        <v/>
      </c>
      <c r="C512" s="9" t="n"/>
      <c r="D512" s="9" t="n"/>
      <c r="E512" s="9" t="n"/>
      <c r="F512" s="9" t="n"/>
      <c r="G512" s="9" t="n"/>
      <c r="H512" s="9" t="n"/>
      <c r="I512" s="9" t="n"/>
      <c r="J512" s="3" t="n"/>
      <c r="K512" s="9" t="n"/>
    </row>
    <row r="513">
      <c r="A513" s="4" t="n"/>
      <c r="B513" s="9">
        <f>IF(A513="","",INT((DAY(A513)-1)/7)+1)</f>
        <v/>
      </c>
      <c r="C513" s="9" t="n"/>
      <c r="D513" s="9" t="n"/>
      <c r="E513" s="9" t="n"/>
      <c r="F513" s="9" t="n"/>
      <c r="G513" s="9" t="n"/>
      <c r="H513" s="9" t="n"/>
      <c r="I513" s="9" t="n"/>
      <c r="J513" s="3" t="n"/>
      <c r="K513" s="9" t="n"/>
    </row>
    <row r="514">
      <c r="A514" s="4" t="n"/>
      <c r="B514" s="9">
        <f>IF(A514="","",INT((DAY(A514)-1)/7)+1)</f>
        <v/>
      </c>
      <c r="C514" s="9" t="n"/>
      <c r="D514" s="9" t="n"/>
      <c r="E514" s="9" t="n"/>
      <c r="F514" s="9" t="n"/>
      <c r="G514" s="9" t="n"/>
      <c r="H514" s="9" t="n"/>
      <c r="I514" s="9" t="n"/>
      <c r="J514" s="3" t="n"/>
      <c r="K514" s="9" t="n"/>
    </row>
    <row r="515">
      <c r="A515" s="4" t="n"/>
      <c r="B515" s="9">
        <f>IF(A515="","",INT((DAY(A515)-1)/7)+1)</f>
        <v/>
      </c>
      <c r="C515" s="9" t="n"/>
      <c r="D515" s="9" t="n"/>
      <c r="E515" s="9" t="n"/>
      <c r="F515" s="9" t="n"/>
      <c r="G515" s="9" t="n"/>
      <c r="H515" s="9" t="n"/>
      <c r="I515" s="9" t="n"/>
      <c r="J515" s="3" t="n"/>
      <c r="K515" s="9" t="n"/>
    </row>
    <row r="516">
      <c r="A516" s="4" t="n"/>
      <c r="B516" s="9">
        <f>IF(A516="","",INT((DAY(A516)-1)/7)+1)</f>
        <v/>
      </c>
      <c r="C516" s="9" t="n"/>
      <c r="D516" s="9" t="n"/>
      <c r="E516" s="9" t="n"/>
      <c r="F516" s="9" t="n"/>
      <c r="G516" s="9" t="n"/>
      <c r="H516" s="9" t="n"/>
      <c r="I516" s="9" t="n"/>
      <c r="J516" s="3" t="n"/>
      <c r="K516" s="9" t="n"/>
    </row>
    <row r="517">
      <c r="A517" s="4" t="n"/>
      <c r="B517" s="9">
        <f>IF(A517="","",INT((DAY(A517)-1)/7)+1)</f>
        <v/>
      </c>
      <c r="C517" s="9" t="n"/>
      <c r="D517" s="9" t="n"/>
      <c r="E517" s="9" t="n"/>
      <c r="F517" s="9" t="n"/>
      <c r="G517" s="9" t="n"/>
      <c r="H517" s="9" t="n"/>
      <c r="I517" s="9" t="n"/>
      <c r="J517" s="3" t="n"/>
      <c r="K517" s="9" t="n"/>
    </row>
    <row r="518">
      <c r="A518" s="4" t="n"/>
      <c r="B518" s="9">
        <f>IF(A518="","",INT((DAY(A518)-1)/7)+1)</f>
        <v/>
      </c>
      <c r="C518" s="9" t="n"/>
      <c r="D518" s="9" t="n"/>
      <c r="E518" s="9" t="n"/>
      <c r="F518" s="9" t="n"/>
      <c r="G518" s="9" t="n"/>
      <c r="H518" s="9" t="n"/>
      <c r="I518" s="9" t="n"/>
      <c r="J518" s="3" t="n"/>
      <c r="K518" s="9" t="n"/>
    </row>
    <row r="519">
      <c r="A519" s="4" t="n"/>
      <c r="B519" s="9">
        <f>IF(A519="","",INT((DAY(A519)-1)/7)+1)</f>
        <v/>
      </c>
      <c r="C519" s="9" t="n"/>
      <c r="D519" s="9" t="n"/>
      <c r="E519" s="9" t="n"/>
      <c r="F519" s="9" t="n"/>
      <c r="G519" s="9" t="n"/>
      <c r="H519" s="9" t="n"/>
      <c r="I519" s="9" t="n"/>
      <c r="J519" s="3" t="n"/>
      <c r="K519" s="9" t="n"/>
    </row>
    <row r="520">
      <c r="A520" s="4" t="n"/>
      <c r="B520" s="9">
        <f>IF(A520="","",INT((DAY(A520)-1)/7)+1)</f>
        <v/>
      </c>
      <c r="C520" s="9" t="n"/>
      <c r="D520" s="9" t="n"/>
      <c r="E520" s="9" t="n"/>
      <c r="F520" s="9" t="n"/>
      <c r="G520" s="9" t="n"/>
      <c r="H520" s="9" t="n"/>
      <c r="I520" s="9" t="n"/>
      <c r="J520" s="3" t="n"/>
      <c r="K520" s="9" t="n"/>
    </row>
    <row r="521">
      <c r="A521" s="4" t="n"/>
      <c r="B521" s="9">
        <f>IF(A521="","",INT((DAY(A521)-1)/7)+1)</f>
        <v/>
      </c>
      <c r="C521" s="9" t="n"/>
      <c r="D521" s="9" t="n"/>
      <c r="E521" s="9" t="n"/>
      <c r="F521" s="9" t="n"/>
      <c r="G521" s="9" t="n"/>
      <c r="H521" s="9" t="n"/>
      <c r="I521" s="9" t="n"/>
      <c r="J521" s="3" t="n"/>
      <c r="K521" s="9" t="n"/>
    </row>
    <row r="522">
      <c r="A522" s="4" t="n"/>
      <c r="B522" s="9">
        <f>IF(A522="","",INT((DAY(A522)-1)/7)+1)</f>
        <v/>
      </c>
      <c r="C522" s="9" t="n"/>
      <c r="D522" s="9" t="n"/>
      <c r="E522" s="9" t="n"/>
      <c r="F522" s="9" t="n"/>
      <c r="G522" s="9" t="n"/>
      <c r="H522" s="9" t="n"/>
      <c r="I522" s="9" t="n"/>
      <c r="J522" s="3" t="n"/>
      <c r="K522" s="9" t="n"/>
    </row>
    <row r="523">
      <c r="A523" s="4" t="n"/>
      <c r="B523" s="9">
        <f>IF(A523="","",INT((DAY(A523)-1)/7)+1)</f>
        <v/>
      </c>
      <c r="C523" s="9" t="n"/>
      <c r="D523" s="9" t="n"/>
      <c r="E523" s="9" t="n"/>
      <c r="F523" s="9" t="n"/>
      <c r="G523" s="9" t="n"/>
      <c r="H523" s="9" t="n"/>
      <c r="I523" s="9" t="n"/>
      <c r="J523" s="3" t="n"/>
      <c r="K523" s="9" t="n"/>
    </row>
    <row r="524">
      <c r="A524" s="4" t="n"/>
      <c r="B524" s="9">
        <f>IF(A524="","",INT((DAY(A524)-1)/7)+1)</f>
        <v/>
      </c>
      <c r="C524" s="9" t="n"/>
      <c r="D524" s="9" t="n"/>
      <c r="E524" s="9" t="n"/>
      <c r="F524" s="9" t="n"/>
      <c r="G524" s="9" t="n"/>
      <c r="H524" s="9" t="n"/>
      <c r="I524" s="9" t="n"/>
      <c r="J524" s="3" t="n"/>
      <c r="K524" s="9" t="n"/>
    </row>
    <row r="525">
      <c r="A525" s="4" t="n"/>
      <c r="B525" s="9">
        <f>IF(A525="","",INT((DAY(A525)-1)/7)+1)</f>
        <v/>
      </c>
      <c r="C525" s="9" t="n"/>
      <c r="D525" s="9" t="n"/>
      <c r="E525" s="9" t="n"/>
      <c r="F525" s="9" t="n"/>
      <c r="G525" s="9" t="n"/>
      <c r="H525" s="9" t="n"/>
      <c r="I525" s="9" t="n"/>
      <c r="J525" s="3" t="n"/>
      <c r="K525" s="9" t="n"/>
    </row>
    <row r="526">
      <c r="A526" s="4" t="n"/>
      <c r="B526" s="9">
        <f>IF(A526="","",INT((DAY(A526)-1)/7)+1)</f>
        <v/>
      </c>
      <c r="C526" s="9" t="n"/>
      <c r="D526" s="9" t="n"/>
      <c r="E526" s="9" t="n"/>
      <c r="F526" s="9" t="n"/>
      <c r="G526" s="9" t="n"/>
      <c r="H526" s="9" t="n"/>
      <c r="I526" s="9" t="n"/>
      <c r="J526" s="3" t="n"/>
      <c r="K526" s="9" t="n"/>
    </row>
    <row r="527">
      <c r="A527" s="4" t="n"/>
      <c r="B527" s="9">
        <f>IF(A527="","",INT((DAY(A527)-1)/7)+1)</f>
        <v/>
      </c>
      <c r="C527" s="9" t="n"/>
      <c r="D527" s="9" t="n"/>
      <c r="E527" s="9" t="n"/>
      <c r="F527" s="9" t="n"/>
      <c r="G527" s="9" t="n"/>
      <c r="H527" s="9" t="n"/>
      <c r="I527" s="9" t="n"/>
      <c r="J527" s="3" t="n"/>
      <c r="K527" s="9" t="n"/>
    </row>
    <row r="528">
      <c r="A528" s="4" t="n"/>
      <c r="B528" s="9">
        <f>IF(A528="","",INT((DAY(A528)-1)/7)+1)</f>
        <v/>
      </c>
      <c r="C528" s="9" t="n"/>
      <c r="D528" s="9" t="n"/>
      <c r="E528" s="9" t="n"/>
      <c r="F528" s="9" t="n"/>
      <c r="G528" s="9" t="n"/>
      <c r="H528" s="9" t="n"/>
      <c r="I528" s="9" t="n"/>
      <c r="J528" s="3" t="n"/>
      <c r="K528" s="9" t="n"/>
    </row>
  </sheetData>
  <autoFilter ref="A28:K528"/>
  <dataValidations count="4">
    <dataValidation sqref="E29:E528" showDropDown="0" showInputMessage="0" showErrorMessage="1" allowBlank="1" type="list">
      <formula1>=Lists!$A$2:$A$22</formula1>
    </dataValidation>
    <dataValidation sqref="G29:G528" showDropDown="0" showInputMessage="0" showErrorMessage="1" allowBlank="1" type="list">
      <formula1>=Lists!$D$2:$D$8</formula1>
    </dataValidation>
    <dataValidation sqref="H29:H528" showDropDown="0" showInputMessage="0" showErrorMessage="1" allowBlank="1" type="list">
      <formula1>=Lists!$C$2:$C$9</formula1>
    </dataValidation>
    <dataValidation sqref="I29:I528" showDropDown="0" showInputMessage="0" showErrorMessage="1" allowBlank="1" type="list">
      <formula1>=Lists!$B$2:$B$5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28"/>
  <sheetViews>
    <sheetView showGridLines="0" workbookViewId="0">
      <pane xSplit="0" ySplit="28" topLeftCell="A29" activePane="bottomLeft" state="frozen"/>
      <selection pane="bottomLeft" activeCell="A29" sqref="A29"/>
    </sheetView>
  </sheetViews>
  <sheetFormatPr baseColWidth="8" defaultRowHeight="15"/>
  <cols>
    <col width="12" customWidth="1" style="10" min="1" max="1"/>
    <col width="8" customWidth="1" style="10" min="2" max="2"/>
    <col width="22" customWidth="1" style="10" min="3" max="4"/>
    <col width="24" customWidth="1" style="10" min="5" max="5"/>
    <col width="18" customWidth="1" style="10" min="6" max="6"/>
    <col width="18" customWidth="1" style="10" min="7" max="7"/>
    <col width="18" customWidth="1" style="10" min="8" max="9"/>
    <col width="14" customWidth="1" style="10" min="10" max="10"/>
    <col width="30" customWidth="1" style="10" min="11" max="11"/>
  </cols>
  <sheetData>
    <row r="1">
      <c r="A1" s="1" t="inlineStr">
        <is>
          <t>February 2026 Ledger</t>
        </is>
      </c>
    </row>
    <row r="2">
      <c r="A2" s="7" t="inlineStr">
        <is>
          <t>Use positive amounts. Choose Type to classify each transaction.</t>
        </is>
      </c>
    </row>
    <row r="4">
      <c r="A4" s="1" t="inlineStr">
        <is>
          <t>Month Summary</t>
        </is>
      </c>
      <c r="D4" s="1" t="inlineStr">
        <is>
          <t>Category Summary</t>
        </is>
      </c>
      <c r="H4" s="1" t="inlineStr">
        <is>
          <t>Weekly Summary</t>
        </is>
      </c>
    </row>
    <row r="5">
      <c r="A5" s="5" t="inlineStr">
        <is>
          <t>Total Income</t>
        </is>
      </c>
      <c r="B5" s="3">
        <f>SUMIFS($J$29:$J$528,$I$29:$I$528,"Income")</f>
        <v/>
      </c>
      <c r="D5" s="2" t="inlineStr">
        <is>
          <t>Category</t>
        </is>
      </c>
      <c r="E5" s="2" t="inlineStr">
        <is>
          <t>Expenses</t>
        </is>
      </c>
      <c r="F5" s="2" t="inlineStr">
        <is>
          <t>Income</t>
        </is>
      </c>
      <c r="G5" s="2" t="inlineStr">
        <is>
          <t>Existing Savings</t>
        </is>
      </c>
      <c r="H5" s="2" t="inlineStr">
        <is>
          <t>Week</t>
        </is>
      </c>
      <c r="I5" s="2" t="inlineStr">
        <is>
          <t>Expenses</t>
        </is>
      </c>
      <c r="J5" s="2" t="inlineStr">
        <is>
          <t>Income</t>
        </is>
      </c>
      <c r="K5" s="2" t="inlineStr">
        <is>
          <t>Net</t>
        </is>
      </c>
    </row>
    <row r="6">
      <c r="A6" s="5" t="inlineStr">
        <is>
          <t>Total Expenses</t>
        </is>
      </c>
      <c r="B6" s="3">
        <f>SUMIFS($J$29:$J$528,$I$29:$I$528,"Expense")</f>
        <v/>
      </c>
      <c r="D6" s="5" t="inlineStr">
        <is>
          <t>Housing</t>
        </is>
      </c>
      <c r="E6" s="3">
        <f>SUMIFS($J$29:$J$528,$E$29:$E$528,$D6,$I$29:$I$528,"Expense")</f>
        <v/>
      </c>
      <c r="F6" s="3">
        <f>SUMIFS($J$29:$J$528,$E$29:$E$528,$D6,$I$29:$I$528,"Income")</f>
        <v/>
      </c>
      <c r="G6" s="3">
        <f>SUMIFS($J$29:$J$528,$E$29:$E$528,$D6,$I$29:$I$528,"Opening Balance")</f>
        <v/>
      </c>
      <c r="H6" s="5" t="inlineStr">
        <is>
          <t>Week 1</t>
        </is>
      </c>
      <c r="I6" s="3">
        <f>SUMIFS($J$29:$J$528,$B$29:$B$528,1,$I$29:$I$528,"Expense",$F$29:$F$528,"&lt;&gt;Rent")</f>
        <v/>
      </c>
      <c r="J6" s="3">
        <f>SUMIFS($J$29:$J$528,$B$29:$B$528,1,$I$29:$I$528,"Income")</f>
        <v/>
      </c>
      <c r="K6" s="3">
        <f>J6-I6</f>
        <v/>
      </c>
    </row>
    <row r="7">
      <c r="A7" s="5" t="inlineStr">
        <is>
          <t>Existing Savings</t>
        </is>
      </c>
      <c r="B7" s="3">
        <f>SUMIFS($J$29:$J$528,$I$29:$I$528,"Opening Balance")</f>
        <v/>
      </c>
      <c r="D7" s="5" t="inlineStr">
        <is>
          <t>Utilities</t>
        </is>
      </c>
      <c r="E7" s="3">
        <f>SUMIFS($J$29:$J$528,$E$29:$E$528,$D7,$I$29:$I$528,"Expense")</f>
        <v/>
      </c>
      <c r="F7" s="3">
        <f>SUMIFS($J$29:$J$528,$E$29:$E$528,$D7,$I$29:$I$528,"Income")</f>
        <v/>
      </c>
      <c r="G7" s="3">
        <f>SUMIFS($J$29:$J$528,$E$29:$E$528,$D7,$I$29:$I$528,"Opening Balance")</f>
        <v/>
      </c>
      <c r="H7" s="5" t="inlineStr">
        <is>
          <t>Week 2</t>
        </is>
      </c>
      <c r="I7" s="3">
        <f>SUMIFS($J$29:$J$528,$B$29:$B$528,2,$I$29:$I$528,"Expense",$F$29:$F$528,"&lt;&gt;Rent")</f>
        <v/>
      </c>
      <c r="J7" s="3">
        <f>SUMIFS($J$29:$J$528,$B$29:$B$528,2,$I$29:$I$528,"Income")</f>
        <v/>
      </c>
      <c r="K7" s="3">
        <f>J7-I7</f>
        <v/>
      </c>
    </row>
    <row r="8">
      <c r="A8" s="5" t="inlineStr">
        <is>
          <t>Transfers</t>
        </is>
      </c>
      <c r="B8" s="3">
        <f>SUMIFS($J$29:$J$528,$I$29:$I$528,"Transfer")</f>
        <v/>
      </c>
      <c r="D8" s="5" t="inlineStr">
        <is>
          <t>Groceries</t>
        </is>
      </c>
      <c r="E8" s="3">
        <f>SUMIFS($J$29:$J$528,$E$29:$E$528,$D8,$I$29:$I$528,"Expense")</f>
        <v/>
      </c>
      <c r="F8" s="3">
        <f>SUMIFS($J$29:$J$528,$E$29:$E$528,$D8,$I$29:$I$528,"Income")</f>
        <v/>
      </c>
      <c r="G8" s="3">
        <f>SUMIFS($J$29:$J$528,$E$29:$E$528,$D8,$I$29:$I$528,"Opening Balance")</f>
        <v/>
      </c>
      <c r="H8" s="5" t="inlineStr">
        <is>
          <t>Week 3</t>
        </is>
      </c>
      <c r="I8" s="3">
        <f>SUMIFS($J$29:$J$528,$B$29:$B$528,3,$I$29:$I$528,"Expense",$F$29:$F$528,"&lt;&gt;Rent")</f>
        <v/>
      </c>
      <c r="J8" s="3">
        <f>SUMIFS($J$29:$J$528,$B$29:$B$528,3,$I$29:$I$528,"Income")</f>
        <v/>
      </c>
      <c r="K8" s="3">
        <f>J8-I8</f>
        <v/>
      </c>
    </row>
    <row r="9">
      <c r="A9" s="5" t="inlineStr">
        <is>
          <t>Net Cash Flow</t>
        </is>
      </c>
      <c r="B9" s="3">
        <f>B5-B6</f>
        <v/>
      </c>
      <c r="D9" s="5" t="inlineStr">
        <is>
          <t>Dining</t>
        </is>
      </c>
      <c r="E9" s="3">
        <f>SUMIFS($J$29:$J$528,$E$29:$E$528,$D9,$I$29:$I$528,"Expense")</f>
        <v/>
      </c>
      <c r="F9" s="3">
        <f>SUMIFS($J$29:$J$528,$E$29:$E$528,$D9,$I$29:$I$528,"Income")</f>
        <v/>
      </c>
      <c r="G9" s="3">
        <f>SUMIFS($J$29:$J$528,$E$29:$E$528,$D9,$I$29:$I$528,"Opening Balance")</f>
        <v/>
      </c>
      <c r="H9" s="5" t="inlineStr">
        <is>
          <t>Week 4</t>
        </is>
      </c>
      <c r="I9" s="3">
        <f>SUMIFS($J$29:$J$528,$B$29:$B$528,4,$I$29:$I$528,"Expense",$F$29:$F$528,"&lt;&gt;Rent")</f>
        <v/>
      </c>
      <c r="J9" s="3">
        <f>SUMIFS($J$29:$J$528,$B$29:$B$528,4,$I$29:$I$528,"Income")</f>
        <v/>
      </c>
      <c r="K9" s="3">
        <f>J9-I9</f>
        <v/>
      </c>
    </row>
    <row r="10">
      <c r="D10" s="5" t="inlineStr">
        <is>
          <t>Transportation</t>
        </is>
      </c>
      <c r="E10" s="3">
        <f>SUMIFS($J$29:$J$528,$E$29:$E$528,$D10,$I$29:$I$528,"Expense")</f>
        <v/>
      </c>
      <c r="F10" s="3">
        <f>SUMIFS($J$29:$J$528,$E$29:$E$528,$D10,$I$29:$I$528,"Income")</f>
        <v/>
      </c>
      <c r="G10" s="3">
        <f>SUMIFS($J$29:$J$528,$E$29:$E$528,$D10,$I$29:$I$528,"Opening Balance")</f>
        <v/>
      </c>
      <c r="H10" s="5" t="inlineStr">
        <is>
          <t>Week 5</t>
        </is>
      </c>
      <c r="I10" s="3">
        <f>SUMIFS($J$29:$J$528,$B$29:$B$528,5,$I$29:$I$528,"Expense",$F$29:$F$528,"&lt;&gt;Rent")</f>
        <v/>
      </c>
      <c r="J10" s="3">
        <f>SUMIFS($J$29:$J$528,$B$29:$B$528,5,$I$29:$I$528,"Income")</f>
        <v/>
      </c>
      <c r="K10" s="3">
        <f>J10-I10</f>
        <v/>
      </c>
    </row>
    <row r="11">
      <c r="D11" s="5" t="inlineStr">
        <is>
          <t>Health &amp; Medical</t>
        </is>
      </c>
      <c r="E11" s="3">
        <f>SUMIFS($J$29:$J$528,$E$29:$E$528,$D11,$I$29:$I$528,"Expense")</f>
        <v/>
      </c>
      <c r="F11" s="3">
        <f>SUMIFS($J$29:$J$528,$E$29:$E$528,$D11,$I$29:$I$528,"Income")</f>
        <v/>
      </c>
      <c r="G11" s="3">
        <f>SUMIFS($J$29:$J$528,$E$29:$E$528,$D11,$I$29:$I$528,"Opening Balance")</f>
        <v/>
      </c>
    </row>
    <row r="12">
      <c r="D12" s="5" t="inlineStr">
        <is>
          <t>Insurance</t>
        </is>
      </c>
      <c r="E12" s="3">
        <f>SUMIFS($J$29:$J$528,$E$29:$E$528,$D12,$I$29:$I$528,"Expense")</f>
        <v/>
      </c>
      <c r="F12" s="3">
        <f>SUMIFS($J$29:$J$528,$E$29:$E$528,$D12,$I$29:$I$528,"Income")</f>
        <v/>
      </c>
      <c r="G12" s="3">
        <f>SUMIFS($J$29:$J$528,$E$29:$E$528,$D12,$I$29:$I$528,"Opening Balance")</f>
        <v/>
      </c>
    </row>
    <row r="13">
      <c r="D13" s="5" t="inlineStr">
        <is>
          <t>Debt Payments</t>
        </is>
      </c>
      <c r="E13" s="3">
        <f>SUMIFS($J$29:$J$528,$E$29:$E$528,$D13,$I$29:$I$528,"Expense")</f>
        <v/>
      </c>
      <c r="F13" s="3">
        <f>SUMIFS($J$29:$J$528,$E$29:$E$528,$D13,$I$29:$I$528,"Income")</f>
        <v/>
      </c>
      <c r="G13" s="3">
        <f>SUMIFS($J$29:$J$528,$E$29:$E$528,$D13,$I$29:$I$528,"Opening Balance")</f>
        <v/>
      </c>
    </row>
    <row r="14">
      <c r="D14" s="5" t="inlineStr">
        <is>
          <t>Savings &amp; Investments</t>
        </is>
      </c>
      <c r="E14" s="3">
        <f>SUMIFS($J$29:$J$528,$E$29:$E$528,$D14,$I$29:$I$528,"Expense")</f>
        <v/>
      </c>
      <c r="F14" s="3">
        <f>SUMIFS($J$29:$J$528,$E$29:$E$528,$D14,$I$29:$I$528,"Income")</f>
        <v/>
      </c>
      <c r="G14" s="3">
        <f>SUMIFS($J$29:$J$528,$E$29:$E$528,$D14,$I$29:$I$528,"Opening Balance")</f>
        <v/>
      </c>
    </row>
    <row r="15">
      <c r="D15" s="5" t="inlineStr">
        <is>
          <t>Personal Care</t>
        </is>
      </c>
      <c r="E15" s="3">
        <f>SUMIFS($J$29:$J$528,$E$29:$E$528,$D15,$I$29:$I$528,"Expense")</f>
        <v/>
      </c>
      <c r="F15" s="3">
        <f>SUMIFS($J$29:$J$528,$E$29:$E$528,$D15,$I$29:$I$528,"Income")</f>
        <v/>
      </c>
      <c r="G15" s="3">
        <f>SUMIFS($J$29:$J$528,$E$29:$E$528,$D15,$I$29:$I$528,"Opening Balance")</f>
        <v/>
      </c>
    </row>
    <row r="16">
      <c r="D16" s="5" t="inlineStr">
        <is>
          <t>Shopping</t>
        </is>
      </c>
      <c r="E16" s="3">
        <f>SUMIFS($J$29:$J$528,$E$29:$E$528,$D16,$I$29:$I$528,"Expense")</f>
        <v/>
      </c>
      <c r="F16" s="3">
        <f>SUMIFS($J$29:$J$528,$E$29:$E$528,$D16,$I$29:$I$528,"Income")</f>
        <v/>
      </c>
      <c r="G16" s="3">
        <f>SUMIFS($J$29:$J$528,$E$29:$E$528,$D16,$I$29:$I$528,"Opening Balance")</f>
        <v/>
      </c>
    </row>
    <row r="17">
      <c r="D17" s="5" t="inlineStr">
        <is>
          <t>Entertainment</t>
        </is>
      </c>
      <c r="E17" s="3">
        <f>SUMIFS($J$29:$J$528,$E$29:$E$528,$D17,$I$29:$I$528,"Expense")</f>
        <v/>
      </c>
      <c r="F17" s="3">
        <f>SUMIFS($J$29:$J$528,$E$29:$E$528,$D17,$I$29:$I$528,"Income")</f>
        <v/>
      </c>
      <c r="G17" s="3">
        <f>SUMIFS($J$29:$J$528,$E$29:$E$528,$D17,$I$29:$I$528,"Opening Balance")</f>
        <v/>
      </c>
    </row>
    <row r="18">
      <c r="D18" s="5" t="inlineStr">
        <is>
          <t>Travel</t>
        </is>
      </c>
      <c r="E18" s="3">
        <f>SUMIFS($J$29:$J$528,$E$29:$E$528,$D18,$I$29:$I$528,"Expense")</f>
        <v/>
      </c>
      <c r="F18" s="3">
        <f>SUMIFS($J$29:$J$528,$E$29:$E$528,$D18,$I$29:$I$528,"Income")</f>
        <v/>
      </c>
      <c r="G18" s="3">
        <f>SUMIFS($J$29:$J$528,$E$29:$E$528,$D18,$I$29:$I$528,"Opening Balance")</f>
        <v/>
      </c>
    </row>
    <row r="19">
      <c r="D19" s="5" t="inlineStr">
        <is>
          <t>Education</t>
        </is>
      </c>
      <c r="E19" s="3">
        <f>SUMIFS($J$29:$J$528,$E$29:$E$528,$D19,$I$29:$I$528,"Expense")</f>
        <v/>
      </c>
      <c r="F19" s="3">
        <f>SUMIFS($J$29:$J$528,$E$29:$E$528,$D19,$I$29:$I$528,"Income")</f>
        <v/>
      </c>
      <c r="G19" s="3">
        <f>SUMIFS($J$29:$J$528,$E$29:$E$528,$D19,$I$29:$I$528,"Opening Balance")</f>
        <v/>
      </c>
    </row>
    <row r="20">
      <c r="D20" s="5" t="inlineStr">
        <is>
          <t>Gifts &amp; Donations</t>
        </is>
      </c>
      <c r="E20" s="3">
        <f>SUMIFS($J$29:$J$528,$E$29:$E$528,$D20,$I$29:$I$528,"Expense")</f>
        <v/>
      </c>
      <c r="F20" s="3">
        <f>SUMIFS($J$29:$J$528,$E$29:$E$528,$D20,$I$29:$I$528,"Income")</f>
        <v/>
      </c>
      <c r="G20" s="3">
        <f>SUMIFS($J$29:$J$528,$E$29:$E$528,$D20,$I$29:$I$528,"Opening Balance")</f>
        <v/>
      </c>
    </row>
    <row r="21">
      <c r="D21" s="5" t="inlineStr">
        <is>
          <t>Taxes</t>
        </is>
      </c>
      <c r="E21" s="3">
        <f>SUMIFS($J$29:$J$528,$E$29:$E$528,$D21,$I$29:$I$528,"Expense")</f>
        <v/>
      </c>
      <c r="F21" s="3">
        <f>SUMIFS($J$29:$J$528,$E$29:$E$528,$D21,$I$29:$I$528,"Income")</f>
        <v/>
      </c>
      <c r="G21" s="3">
        <f>SUMIFS($J$29:$J$528,$E$29:$E$528,$D21,$I$29:$I$528,"Opening Balance")</f>
        <v/>
      </c>
    </row>
    <row r="22">
      <c r="D22" s="5" t="inlineStr">
        <is>
          <t>Shipping</t>
        </is>
      </c>
      <c r="E22" s="3">
        <f>SUMIFS($J$29:$J$528,$E$29:$E$528,$D22,$I$29:$I$528,"Expense")</f>
        <v/>
      </c>
      <c r="F22" s="3">
        <f>SUMIFS($J$29:$J$528,$E$29:$E$528,$D22,$I$29:$I$528,"Income")</f>
        <v/>
      </c>
      <c r="G22" s="3">
        <f>SUMIFS($J$29:$J$528,$E$29:$E$528,$D22,$I$29:$I$528,"Opening Balance")</f>
        <v/>
      </c>
    </row>
    <row r="23">
      <c r="D23" s="5" t="inlineStr">
        <is>
          <t>Income</t>
        </is>
      </c>
      <c r="E23" s="3">
        <f>SUMIFS($J$29:$J$528,$E$29:$E$528,$D23,$I$29:$I$528,"Expense")</f>
        <v/>
      </c>
      <c r="F23" s="3">
        <f>SUMIFS($J$29:$J$528,$E$29:$E$528,$D23,$I$29:$I$528,"Income")</f>
        <v/>
      </c>
      <c r="G23" s="3">
        <f>SUMIFS($J$29:$J$528,$E$29:$E$528,$D23,$I$29:$I$528,"Opening Balance")</f>
        <v/>
      </c>
    </row>
    <row r="24">
      <c r="D24" s="5" t="inlineStr">
        <is>
          <t>Transfers</t>
        </is>
      </c>
      <c r="E24" s="3">
        <f>SUMIFS($J$29:$J$528,$E$29:$E$528,$D24,$I$29:$I$528,"Expense")</f>
        <v/>
      </c>
      <c r="F24" s="3">
        <f>SUMIFS($J$29:$J$528,$E$29:$E$528,$D24,$I$29:$I$528,"Income")</f>
        <v/>
      </c>
      <c r="G24" s="3">
        <f>SUMIFS($J$29:$J$528,$E$29:$E$528,$D24,$I$29:$I$528,"Opening Balance")</f>
        <v/>
      </c>
    </row>
    <row r="25">
      <c r="D25" s="5" t="inlineStr">
        <is>
          <t>Existing Savings</t>
        </is>
      </c>
      <c r="E25" s="3">
        <f>SUMIFS($J$29:$J$528,$E$29:$E$528,$D25,$I$29:$I$528,"Expense")</f>
        <v/>
      </c>
      <c r="F25" s="3">
        <f>SUMIFS($J$29:$J$528,$E$29:$E$528,$D25,$I$29:$I$528,"Income")</f>
        <v/>
      </c>
      <c r="G25" s="3">
        <f>SUMIFS($J$29:$J$528,$E$29:$E$528,$D25,$I$29:$I$528,"Opening Balance")</f>
        <v/>
      </c>
    </row>
    <row r="26">
      <c r="D26" s="5" t="inlineStr">
        <is>
          <t>Essentials</t>
        </is>
      </c>
      <c r="E26" s="3">
        <f>SUMIFS($J$29:$J$528,$E$29:$E$528,$D26,$I$29:$I$528,"Expense")</f>
        <v/>
      </c>
      <c r="F26" s="3">
        <f>SUMIFS($J$29:$J$528,$E$29:$E$528,$D26,$I$29:$I$528,"Income")</f>
        <v/>
      </c>
      <c r="G26" s="3">
        <f>SUMIFS($J$29:$J$528,$E$29:$E$528,$D26,$I$29:$I$528,"Opening Balance")</f>
        <v/>
      </c>
    </row>
    <row r="27">
      <c r="A27" s="1" t="inlineStr">
        <is>
          <t>Transactions</t>
        </is>
      </c>
    </row>
    <row r="28">
      <c r="A28" s="2" t="inlineStr">
        <is>
          <t>Date</t>
        </is>
      </c>
      <c r="B28" s="2" t="inlineStr">
        <is>
          <t>Week</t>
        </is>
      </c>
      <c r="C28" s="2" t="inlineStr">
        <is>
          <t>Description</t>
        </is>
      </c>
      <c r="D28" s="2" t="inlineStr">
        <is>
          <t>Merchant</t>
        </is>
      </c>
      <c r="E28" s="2" t="inlineStr">
        <is>
          <t>Category</t>
        </is>
      </c>
      <c r="F28" s="2" t="inlineStr">
        <is>
          <t>Subcategory</t>
        </is>
      </c>
      <c r="G28" s="2" t="inlineStr">
        <is>
          <t>Account</t>
        </is>
      </c>
      <c r="H28" s="2" t="inlineStr">
        <is>
          <t>Payment Method</t>
        </is>
      </c>
      <c r="I28" s="2" t="inlineStr">
        <is>
          <t>Type</t>
        </is>
      </c>
      <c r="J28" s="2" t="inlineStr">
        <is>
          <t>Amount</t>
        </is>
      </c>
      <c r="K28" s="2" t="inlineStr">
        <is>
          <t>Notes</t>
        </is>
      </c>
    </row>
    <row r="29">
      <c r="A29" s="4" t="n"/>
      <c r="B29" s="9">
        <f>IF(A29="","",INT((DAY(A29)-1)/7)+1)</f>
        <v/>
      </c>
      <c r="C29" s="9" t="n"/>
      <c r="D29" s="9" t="n"/>
      <c r="E29" s="9" t="n"/>
      <c r="F29" s="9" t="n"/>
      <c r="G29" s="9" t="n"/>
      <c r="H29" s="9" t="n"/>
      <c r="I29" s="9" t="n"/>
      <c r="J29" s="3" t="n"/>
      <c r="K29" s="9" t="n"/>
    </row>
    <row r="30">
      <c r="A30" s="4" t="n"/>
      <c r="B30" s="9">
        <f>IF(A30="","",INT((DAY(A30)-1)/7)+1)</f>
        <v/>
      </c>
      <c r="C30" s="9" t="n"/>
      <c r="D30" s="9" t="n"/>
      <c r="E30" s="9" t="n"/>
      <c r="F30" s="9" t="n"/>
      <c r="G30" s="9" t="n"/>
      <c r="H30" s="9" t="n"/>
      <c r="I30" s="9" t="n"/>
      <c r="J30" s="3" t="n"/>
      <c r="K30" s="9" t="n"/>
    </row>
    <row r="31">
      <c r="A31" s="4" t="n"/>
      <c r="B31" s="9">
        <f>IF(A31="","",INT((DAY(A31)-1)/7)+1)</f>
        <v/>
      </c>
      <c r="C31" s="9" t="n"/>
      <c r="D31" s="9" t="n"/>
      <c r="E31" s="9" t="n"/>
      <c r="F31" s="9" t="n"/>
      <c r="G31" s="9" t="n"/>
      <c r="H31" s="9" t="n"/>
      <c r="I31" s="9" t="n"/>
      <c r="J31" s="3" t="n"/>
      <c r="K31" s="9" t="n"/>
    </row>
    <row r="32">
      <c r="A32" s="4" t="n"/>
      <c r="B32" s="9">
        <f>IF(A32="","",INT((DAY(A32)-1)/7)+1)</f>
        <v/>
      </c>
      <c r="C32" s="9" t="n"/>
      <c r="D32" s="9" t="n"/>
      <c r="E32" s="9" t="n"/>
      <c r="F32" s="9" t="n"/>
      <c r="G32" s="9" t="n"/>
      <c r="H32" s="9" t="n"/>
      <c r="I32" s="9" t="n"/>
      <c r="J32" s="3" t="n"/>
      <c r="K32" s="9" t="n"/>
    </row>
    <row r="33">
      <c r="A33" s="4" t="n"/>
      <c r="B33" s="9">
        <f>IF(A33="","",INT((DAY(A33)-1)/7)+1)</f>
        <v/>
      </c>
      <c r="C33" s="9" t="n"/>
      <c r="D33" s="9" t="n"/>
      <c r="E33" s="9" t="n"/>
      <c r="F33" s="9" t="n"/>
      <c r="G33" s="9" t="n"/>
      <c r="H33" s="9" t="n"/>
      <c r="I33" s="9" t="n"/>
      <c r="J33" s="3" t="n"/>
      <c r="K33" s="9" t="n"/>
    </row>
    <row r="34">
      <c r="A34" s="4" t="n"/>
      <c r="B34" s="9">
        <f>IF(A34="","",INT((DAY(A34)-1)/7)+1)</f>
        <v/>
      </c>
      <c r="C34" s="9" t="n"/>
      <c r="D34" s="9" t="n"/>
      <c r="E34" s="9" t="n"/>
      <c r="F34" s="9" t="n"/>
      <c r="G34" s="9" t="n"/>
      <c r="H34" s="9" t="n"/>
      <c r="I34" s="9" t="n"/>
      <c r="J34" s="3" t="n"/>
      <c r="K34" s="9" t="n"/>
    </row>
    <row r="35">
      <c r="A35" s="4" t="n"/>
      <c r="B35" s="9">
        <f>IF(A35="","",INT((DAY(A35)-1)/7)+1)</f>
        <v/>
      </c>
      <c r="C35" s="9" t="n"/>
      <c r="D35" s="9" t="n"/>
      <c r="E35" s="9" t="n"/>
      <c r="F35" s="9" t="n"/>
      <c r="G35" s="9" t="n"/>
      <c r="H35" s="9" t="n"/>
      <c r="I35" s="9" t="n"/>
      <c r="J35" s="3" t="n"/>
      <c r="K35" s="9" t="n"/>
    </row>
    <row r="36">
      <c r="A36" s="4" t="n"/>
      <c r="B36" s="9">
        <f>IF(A36="","",INT((DAY(A36)-1)/7)+1)</f>
        <v/>
      </c>
      <c r="C36" s="9" t="n"/>
      <c r="D36" s="9" t="n"/>
      <c r="E36" s="9" t="n"/>
      <c r="F36" s="9" t="n"/>
      <c r="G36" s="9" t="n"/>
      <c r="H36" s="9" t="n"/>
      <c r="I36" s="9" t="n"/>
      <c r="J36" s="3" t="n"/>
      <c r="K36" s="9" t="n"/>
    </row>
    <row r="37">
      <c r="A37" s="4" t="n"/>
      <c r="B37" s="9">
        <f>IF(A37="","",INT((DAY(A37)-1)/7)+1)</f>
        <v/>
      </c>
      <c r="C37" s="9" t="n"/>
      <c r="D37" s="9" t="n"/>
      <c r="E37" s="9" t="n"/>
      <c r="F37" s="9" t="n"/>
      <c r="G37" s="9" t="n"/>
      <c r="H37" s="9" t="n"/>
      <c r="I37" s="9" t="n"/>
      <c r="J37" s="3" t="n"/>
      <c r="K37" s="9" t="n"/>
    </row>
    <row r="38">
      <c r="A38" s="4" t="n"/>
      <c r="B38" s="9">
        <f>IF(A38="","",INT((DAY(A38)-1)/7)+1)</f>
        <v/>
      </c>
      <c r="C38" s="9" t="n"/>
      <c r="D38" s="9" t="n"/>
      <c r="E38" s="9" t="n"/>
      <c r="F38" s="9" t="n"/>
      <c r="G38" s="9" t="n"/>
      <c r="H38" s="9" t="n"/>
      <c r="I38" s="9" t="n"/>
      <c r="J38" s="3" t="n"/>
      <c r="K38" s="9" t="n"/>
    </row>
    <row r="39">
      <c r="A39" s="4" t="n"/>
      <c r="B39" s="9">
        <f>IF(A39="","",INT((DAY(A39)-1)/7)+1)</f>
        <v/>
      </c>
      <c r="C39" s="9" t="n"/>
      <c r="D39" s="9" t="n"/>
      <c r="E39" s="9" t="n"/>
      <c r="F39" s="9" t="n"/>
      <c r="G39" s="9" t="n"/>
      <c r="H39" s="9" t="n"/>
      <c r="I39" s="9" t="n"/>
      <c r="J39" s="3" t="n"/>
      <c r="K39" s="9" t="n"/>
    </row>
    <row r="40">
      <c r="A40" s="4" t="n"/>
      <c r="B40" s="9">
        <f>IF(A40="","",INT((DAY(A40)-1)/7)+1)</f>
        <v/>
      </c>
      <c r="C40" s="9" t="n"/>
      <c r="D40" s="9" t="n"/>
      <c r="E40" s="9" t="n"/>
      <c r="F40" s="9" t="n"/>
      <c r="G40" s="9" t="n"/>
      <c r="H40" s="9" t="n"/>
      <c r="I40" s="9" t="n"/>
      <c r="J40" s="3" t="n"/>
      <c r="K40" s="9" t="n"/>
    </row>
    <row r="41">
      <c r="A41" s="4" t="n"/>
      <c r="B41" s="9">
        <f>IF(A41="","",INT((DAY(A41)-1)/7)+1)</f>
        <v/>
      </c>
      <c r="C41" s="9" t="n"/>
      <c r="D41" s="9" t="n"/>
      <c r="E41" s="9" t="n"/>
      <c r="F41" s="9" t="n"/>
      <c r="G41" s="9" t="n"/>
      <c r="H41" s="9" t="n"/>
      <c r="I41" s="9" t="n"/>
      <c r="J41" s="3" t="n"/>
      <c r="K41" s="9" t="n"/>
    </row>
    <row r="42">
      <c r="A42" s="4" t="n"/>
      <c r="B42" s="9">
        <f>IF(A42="","",INT((DAY(A42)-1)/7)+1)</f>
        <v/>
      </c>
      <c r="C42" s="9" t="n"/>
      <c r="D42" s="9" t="n"/>
      <c r="E42" s="9" t="n"/>
      <c r="F42" s="9" t="n"/>
      <c r="G42" s="9" t="n"/>
      <c r="H42" s="9" t="n"/>
      <c r="I42" s="9" t="n"/>
      <c r="J42" s="3" t="n"/>
      <c r="K42" s="9" t="n"/>
    </row>
    <row r="43">
      <c r="A43" s="4" t="n"/>
      <c r="B43" s="9">
        <f>IF(A43="","",INT((DAY(A43)-1)/7)+1)</f>
        <v/>
      </c>
      <c r="C43" s="9" t="n"/>
      <c r="D43" s="9" t="n"/>
      <c r="E43" s="9" t="n"/>
      <c r="F43" s="9" t="n"/>
      <c r="G43" s="9" t="n"/>
      <c r="H43" s="9" t="n"/>
      <c r="I43" s="9" t="n"/>
      <c r="J43" s="3" t="n"/>
      <c r="K43" s="9" t="n"/>
    </row>
    <row r="44">
      <c r="A44" s="4" t="n"/>
      <c r="B44" s="9">
        <f>IF(A44="","",INT((DAY(A44)-1)/7)+1)</f>
        <v/>
      </c>
      <c r="C44" s="9" t="n"/>
      <c r="D44" s="9" t="n"/>
      <c r="E44" s="9" t="n"/>
      <c r="F44" s="9" t="n"/>
      <c r="G44" s="9" t="n"/>
      <c r="H44" s="9" t="n"/>
      <c r="I44" s="9" t="n"/>
      <c r="J44" s="3" t="n"/>
      <c r="K44" s="9" t="n"/>
    </row>
    <row r="45">
      <c r="A45" s="4" t="n"/>
      <c r="B45" s="9">
        <f>IF(A45="","",INT((DAY(A45)-1)/7)+1)</f>
        <v/>
      </c>
      <c r="C45" s="9" t="n"/>
      <c r="D45" s="9" t="n"/>
      <c r="E45" s="9" t="n"/>
      <c r="F45" s="9" t="n"/>
      <c r="G45" s="9" t="n"/>
      <c r="H45" s="9" t="n"/>
      <c r="I45" s="9" t="n"/>
      <c r="J45" s="3" t="n"/>
      <c r="K45" s="9" t="n"/>
    </row>
    <row r="46">
      <c r="A46" s="4" t="n"/>
      <c r="B46" s="9">
        <f>IF(A46="","",INT((DAY(A46)-1)/7)+1)</f>
        <v/>
      </c>
      <c r="C46" s="9" t="n"/>
      <c r="D46" s="9" t="n"/>
      <c r="E46" s="9" t="n"/>
      <c r="F46" s="9" t="n"/>
      <c r="G46" s="9" t="n"/>
      <c r="H46" s="9" t="n"/>
      <c r="I46" s="9" t="n"/>
      <c r="J46" s="3" t="n"/>
      <c r="K46" s="9" t="n"/>
    </row>
    <row r="47">
      <c r="A47" s="4" t="n"/>
      <c r="B47" s="9">
        <f>IF(A47="","",INT((DAY(A47)-1)/7)+1)</f>
        <v/>
      </c>
      <c r="C47" s="9" t="n"/>
      <c r="D47" s="9" t="n"/>
      <c r="E47" s="9" t="n"/>
      <c r="F47" s="9" t="n"/>
      <c r="G47" s="9" t="n"/>
      <c r="H47" s="9" t="n"/>
      <c r="I47" s="9" t="n"/>
      <c r="J47" s="3" t="n"/>
      <c r="K47" s="9" t="n"/>
    </row>
    <row r="48">
      <c r="A48" s="4" t="n"/>
      <c r="B48" s="9">
        <f>IF(A48="","",INT((DAY(A48)-1)/7)+1)</f>
        <v/>
      </c>
      <c r="C48" s="9" t="n"/>
      <c r="D48" s="9" t="n"/>
      <c r="E48" s="9" t="n"/>
      <c r="F48" s="9" t="n"/>
      <c r="G48" s="9" t="n"/>
      <c r="H48" s="9" t="n"/>
      <c r="I48" s="9" t="n"/>
      <c r="J48" s="3" t="n"/>
      <c r="K48" s="9" t="n"/>
    </row>
    <row r="49">
      <c r="A49" s="4" t="n"/>
      <c r="B49" s="9">
        <f>IF(A49="","",INT((DAY(A49)-1)/7)+1)</f>
        <v/>
      </c>
      <c r="C49" s="9" t="n"/>
      <c r="D49" s="9" t="n"/>
      <c r="E49" s="9" t="n"/>
      <c r="F49" s="9" t="n"/>
      <c r="G49" s="9" t="n"/>
      <c r="H49" s="9" t="n"/>
      <c r="I49" s="9" t="n"/>
      <c r="J49" s="3" t="n"/>
      <c r="K49" s="9" t="n"/>
    </row>
    <row r="50">
      <c r="A50" s="4" t="n"/>
      <c r="B50" s="9">
        <f>IF(A50="","",INT((DAY(A50)-1)/7)+1)</f>
        <v/>
      </c>
      <c r="C50" s="9" t="n"/>
      <c r="D50" s="9" t="n"/>
      <c r="E50" s="9" t="n"/>
      <c r="F50" s="9" t="n"/>
      <c r="G50" s="9" t="n"/>
      <c r="H50" s="9" t="n"/>
      <c r="I50" s="9" t="n"/>
      <c r="J50" s="3" t="n"/>
      <c r="K50" s="9" t="n"/>
    </row>
    <row r="51">
      <c r="A51" s="4" t="n"/>
      <c r="B51" s="9">
        <f>IF(A51="","",INT((DAY(A51)-1)/7)+1)</f>
        <v/>
      </c>
      <c r="C51" s="9" t="n"/>
      <c r="D51" s="9" t="n"/>
      <c r="E51" s="9" t="n"/>
      <c r="F51" s="9" t="n"/>
      <c r="G51" s="9" t="n"/>
      <c r="H51" s="9" t="n"/>
      <c r="I51" s="9" t="n"/>
      <c r="J51" s="3" t="n"/>
      <c r="K51" s="9" t="n"/>
    </row>
    <row r="52">
      <c r="A52" s="4" t="n"/>
      <c r="B52" s="9">
        <f>IF(A52="","",INT((DAY(A52)-1)/7)+1)</f>
        <v/>
      </c>
      <c r="C52" s="9" t="n"/>
      <c r="D52" s="9" t="n"/>
      <c r="E52" s="9" t="n"/>
      <c r="F52" s="9" t="n"/>
      <c r="G52" s="9" t="n"/>
      <c r="H52" s="9" t="n"/>
      <c r="I52" s="9" t="n"/>
      <c r="J52" s="3" t="n"/>
      <c r="K52" s="9" t="n"/>
    </row>
    <row r="53">
      <c r="A53" s="4" t="n"/>
      <c r="B53" s="9">
        <f>IF(A53="","",INT((DAY(A53)-1)/7)+1)</f>
        <v/>
      </c>
      <c r="C53" s="9" t="n"/>
      <c r="D53" s="9" t="n"/>
      <c r="E53" s="9" t="n"/>
      <c r="F53" s="9" t="n"/>
      <c r="G53" s="9" t="n"/>
      <c r="H53" s="9" t="n"/>
      <c r="I53" s="9" t="n"/>
      <c r="J53" s="3" t="n"/>
      <c r="K53" s="9" t="n"/>
    </row>
    <row r="54">
      <c r="A54" s="4" t="n"/>
      <c r="B54" s="9">
        <f>IF(A54="","",INT((DAY(A54)-1)/7)+1)</f>
        <v/>
      </c>
      <c r="C54" s="9" t="n"/>
      <c r="D54" s="9" t="n"/>
      <c r="E54" s="9" t="n"/>
      <c r="F54" s="9" t="n"/>
      <c r="G54" s="9" t="n"/>
      <c r="H54" s="9" t="n"/>
      <c r="I54" s="9" t="n"/>
      <c r="J54" s="3" t="n"/>
      <c r="K54" s="9" t="n"/>
    </row>
    <row r="55">
      <c r="A55" s="4" t="n"/>
      <c r="B55" s="9">
        <f>IF(A55="","",INT((DAY(A55)-1)/7)+1)</f>
        <v/>
      </c>
      <c r="C55" s="9" t="n"/>
      <c r="D55" s="9" t="n"/>
      <c r="E55" s="9" t="n"/>
      <c r="F55" s="9" t="n"/>
      <c r="G55" s="9" t="n"/>
      <c r="H55" s="9" t="n"/>
      <c r="I55" s="9" t="n"/>
      <c r="J55" s="3" t="n"/>
      <c r="K55" s="9" t="n"/>
    </row>
    <row r="56">
      <c r="A56" s="4" t="n"/>
      <c r="B56" s="9">
        <f>IF(A56="","",INT((DAY(A56)-1)/7)+1)</f>
        <v/>
      </c>
      <c r="C56" s="9" t="n"/>
      <c r="D56" s="9" t="n"/>
      <c r="E56" s="9" t="n"/>
      <c r="F56" s="9" t="n"/>
      <c r="G56" s="9" t="n"/>
      <c r="H56" s="9" t="n"/>
      <c r="I56" s="9" t="n"/>
      <c r="J56" s="3" t="n"/>
      <c r="K56" s="9" t="n"/>
    </row>
    <row r="57">
      <c r="A57" s="4" t="n"/>
      <c r="B57" s="9">
        <f>IF(A57="","",INT((DAY(A57)-1)/7)+1)</f>
        <v/>
      </c>
      <c r="C57" s="9" t="n"/>
      <c r="D57" s="9" t="n"/>
      <c r="E57" s="9" t="n"/>
      <c r="F57" s="9" t="n"/>
      <c r="G57" s="9" t="n"/>
      <c r="H57" s="9" t="n"/>
      <c r="I57" s="9" t="n"/>
      <c r="J57" s="3" t="n"/>
      <c r="K57" s="9" t="n"/>
    </row>
    <row r="58">
      <c r="A58" s="4" t="n"/>
      <c r="B58" s="9">
        <f>IF(A58="","",INT((DAY(A58)-1)/7)+1)</f>
        <v/>
      </c>
      <c r="C58" s="9" t="n"/>
      <c r="D58" s="9" t="n"/>
      <c r="E58" s="9" t="n"/>
      <c r="F58" s="9" t="n"/>
      <c r="G58" s="9" t="n"/>
      <c r="H58" s="9" t="n"/>
      <c r="I58" s="9" t="n"/>
      <c r="J58" s="3" t="n"/>
      <c r="K58" s="9" t="n"/>
    </row>
    <row r="59">
      <c r="A59" s="4" t="n"/>
      <c r="B59" s="9">
        <f>IF(A59="","",INT((DAY(A59)-1)/7)+1)</f>
        <v/>
      </c>
      <c r="C59" s="9" t="n"/>
      <c r="D59" s="9" t="n"/>
      <c r="E59" s="9" t="n"/>
      <c r="F59" s="9" t="n"/>
      <c r="G59" s="9" t="n"/>
      <c r="H59" s="9" t="n"/>
      <c r="I59" s="9" t="n"/>
      <c r="J59" s="3" t="n"/>
      <c r="K59" s="9" t="n"/>
    </row>
    <row r="60">
      <c r="A60" s="4" t="n"/>
      <c r="B60" s="9">
        <f>IF(A60="","",INT((DAY(A60)-1)/7)+1)</f>
        <v/>
      </c>
      <c r="C60" s="9" t="n"/>
      <c r="D60" s="9" t="n"/>
      <c r="E60" s="9" t="n"/>
      <c r="F60" s="9" t="n"/>
      <c r="G60" s="9" t="n"/>
      <c r="H60" s="9" t="n"/>
      <c r="I60" s="9" t="n"/>
      <c r="J60" s="3" t="n"/>
      <c r="K60" s="9" t="n"/>
    </row>
    <row r="61">
      <c r="A61" s="4" t="n"/>
      <c r="B61" s="9">
        <f>IF(A61="","",INT((DAY(A61)-1)/7)+1)</f>
        <v/>
      </c>
      <c r="C61" s="9" t="n"/>
      <c r="D61" s="9" t="n"/>
      <c r="E61" s="9" t="n"/>
      <c r="F61" s="9" t="n"/>
      <c r="G61" s="9" t="n"/>
      <c r="H61" s="9" t="n"/>
      <c r="I61" s="9" t="n"/>
      <c r="J61" s="3" t="n"/>
      <c r="K61" s="9" t="n"/>
    </row>
    <row r="62">
      <c r="A62" s="4" t="n"/>
      <c r="B62" s="9">
        <f>IF(A62="","",INT((DAY(A62)-1)/7)+1)</f>
        <v/>
      </c>
      <c r="C62" s="9" t="n"/>
      <c r="D62" s="9" t="n"/>
      <c r="E62" s="9" t="n"/>
      <c r="F62" s="9" t="n"/>
      <c r="G62" s="9" t="n"/>
      <c r="H62" s="9" t="n"/>
      <c r="I62" s="9" t="n"/>
      <c r="J62" s="3" t="n"/>
      <c r="K62" s="9" t="n"/>
    </row>
    <row r="63">
      <c r="A63" s="4" t="n"/>
      <c r="B63" s="9">
        <f>IF(A63="","",INT((DAY(A63)-1)/7)+1)</f>
        <v/>
      </c>
      <c r="C63" s="9" t="n"/>
      <c r="D63" s="9" t="n"/>
      <c r="E63" s="9" t="n"/>
      <c r="F63" s="9" t="n"/>
      <c r="G63" s="9" t="n"/>
      <c r="H63" s="9" t="n"/>
      <c r="I63" s="9" t="n"/>
      <c r="J63" s="3" t="n"/>
      <c r="K63" s="9" t="n"/>
    </row>
    <row r="64">
      <c r="A64" s="4" t="n"/>
      <c r="B64" s="9">
        <f>IF(A64="","",INT((DAY(A64)-1)/7)+1)</f>
        <v/>
      </c>
      <c r="C64" s="9" t="n"/>
      <c r="D64" s="9" t="n"/>
      <c r="E64" s="9" t="n"/>
      <c r="F64" s="9" t="n"/>
      <c r="G64" s="9" t="n"/>
      <c r="H64" s="9" t="n"/>
      <c r="I64" s="9" t="n"/>
      <c r="J64" s="3" t="n"/>
      <c r="K64" s="9" t="n"/>
    </row>
    <row r="65">
      <c r="A65" s="4" t="n"/>
      <c r="B65" s="9">
        <f>IF(A65="","",INT((DAY(A65)-1)/7)+1)</f>
        <v/>
      </c>
      <c r="C65" s="9" t="n"/>
      <c r="D65" s="9" t="n"/>
      <c r="E65" s="9" t="n"/>
      <c r="F65" s="9" t="n"/>
      <c r="G65" s="9" t="n"/>
      <c r="H65" s="9" t="n"/>
      <c r="I65" s="9" t="n"/>
      <c r="J65" s="3" t="n"/>
      <c r="K65" s="9" t="n"/>
    </row>
    <row r="66">
      <c r="A66" s="4" t="n"/>
      <c r="B66" s="9">
        <f>IF(A66="","",INT((DAY(A66)-1)/7)+1)</f>
        <v/>
      </c>
      <c r="C66" s="9" t="n"/>
      <c r="D66" s="9" t="n"/>
      <c r="E66" s="9" t="n"/>
      <c r="F66" s="9" t="n"/>
      <c r="G66" s="9" t="n"/>
      <c r="H66" s="9" t="n"/>
      <c r="I66" s="9" t="n"/>
      <c r="J66" s="3" t="n"/>
      <c r="K66" s="9" t="n"/>
    </row>
    <row r="67">
      <c r="A67" s="4" t="n"/>
      <c r="B67" s="9">
        <f>IF(A67="","",INT((DAY(A67)-1)/7)+1)</f>
        <v/>
      </c>
      <c r="C67" s="9" t="n"/>
      <c r="D67" s="9" t="n"/>
      <c r="E67" s="9" t="n"/>
      <c r="F67" s="9" t="n"/>
      <c r="G67" s="9" t="n"/>
      <c r="H67" s="9" t="n"/>
      <c r="I67" s="9" t="n"/>
      <c r="J67" s="3" t="n"/>
      <c r="K67" s="9" t="n"/>
    </row>
    <row r="68">
      <c r="A68" s="4" t="n"/>
      <c r="B68" s="9">
        <f>IF(A68="","",INT((DAY(A68)-1)/7)+1)</f>
        <v/>
      </c>
      <c r="C68" s="9" t="n"/>
      <c r="D68" s="9" t="n"/>
      <c r="E68" s="9" t="n"/>
      <c r="F68" s="9" t="n"/>
      <c r="G68" s="9" t="n"/>
      <c r="H68" s="9" t="n"/>
      <c r="I68" s="9" t="n"/>
      <c r="J68" s="3" t="n"/>
      <c r="K68" s="9" t="n"/>
    </row>
    <row r="69">
      <c r="A69" s="4" t="n"/>
      <c r="B69" s="9">
        <f>IF(A69="","",INT((DAY(A69)-1)/7)+1)</f>
        <v/>
      </c>
      <c r="C69" s="9" t="n"/>
      <c r="D69" s="9" t="n"/>
      <c r="E69" s="9" t="n"/>
      <c r="F69" s="9" t="n"/>
      <c r="G69" s="9" t="n"/>
      <c r="H69" s="9" t="n"/>
      <c r="I69" s="9" t="n"/>
      <c r="J69" s="3" t="n"/>
      <c r="K69" s="9" t="n"/>
    </row>
    <row r="70">
      <c r="A70" s="4" t="n"/>
      <c r="B70" s="9">
        <f>IF(A70="","",INT((DAY(A70)-1)/7)+1)</f>
        <v/>
      </c>
      <c r="C70" s="9" t="n"/>
      <c r="D70" s="9" t="n"/>
      <c r="E70" s="9" t="n"/>
      <c r="F70" s="9" t="n"/>
      <c r="G70" s="9" t="n"/>
      <c r="H70" s="9" t="n"/>
      <c r="I70" s="9" t="n"/>
      <c r="J70" s="3" t="n"/>
      <c r="K70" s="9" t="n"/>
    </row>
    <row r="71">
      <c r="A71" s="4" t="n"/>
      <c r="B71" s="9">
        <f>IF(A71="","",INT((DAY(A71)-1)/7)+1)</f>
        <v/>
      </c>
      <c r="C71" s="9" t="n"/>
      <c r="D71" s="9" t="n"/>
      <c r="E71" s="9" t="n"/>
      <c r="F71" s="9" t="n"/>
      <c r="G71" s="9" t="n"/>
      <c r="H71" s="9" t="n"/>
      <c r="I71" s="9" t="n"/>
      <c r="J71" s="3" t="n"/>
      <c r="K71" s="9" t="n"/>
    </row>
    <row r="72">
      <c r="A72" s="4" t="n"/>
      <c r="B72" s="9">
        <f>IF(A72="","",INT((DAY(A72)-1)/7)+1)</f>
        <v/>
      </c>
      <c r="C72" s="9" t="n"/>
      <c r="D72" s="9" t="n"/>
      <c r="E72" s="9" t="n"/>
      <c r="F72" s="9" t="n"/>
      <c r="G72" s="9" t="n"/>
      <c r="H72" s="9" t="n"/>
      <c r="I72" s="9" t="n"/>
      <c r="J72" s="3" t="n"/>
      <c r="K72" s="9" t="n"/>
    </row>
    <row r="73">
      <c r="A73" s="4" t="n"/>
      <c r="B73" s="9">
        <f>IF(A73="","",INT((DAY(A73)-1)/7)+1)</f>
        <v/>
      </c>
      <c r="C73" s="9" t="n"/>
      <c r="D73" s="9" t="n"/>
      <c r="E73" s="9" t="n"/>
      <c r="F73" s="9" t="n"/>
      <c r="G73" s="9" t="n"/>
      <c r="H73" s="9" t="n"/>
      <c r="I73" s="9" t="n"/>
      <c r="J73" s="3" t="n"/>
      <c r="K73" s="9" t="n"/>
    </row>
    <row r="74">
      <c r="A74" s="4" t="n"/>
      <c r="B74" s="9">
        <f>IF(A74="","",INT((DAY(A74)-1)/7)+1)</f>
        <v/>
      </c>
      <c r="C74" s="9" t="n"/>
      <c r="D74" s="9" t="n"/>
      <c r="E74" s="9" t="n"/>
      <c r="F74" s="9" t="n"/>
      <c r="G74" s="9" t="n"/>
      <c r="H74" s="9" t="n"/>
      <c r="I74" s="9" t="n"/>
      <c r="J74" s="3" t="n"/>
      <c r="K74" s="9" t="n"/>
    </row>
    <row r="75">
      <c r="A75" s="4" t="n"/>
      <c r="B75" s="9">
        <f>IF(A75="","",INT((DAY(A75)-1)/7)+1)</f>
        <v/>
      </c>
      <c r="C75" s="9" t="n"/>
      <c r="D75" s="9" t="n"/>
      <c r="E75" s="9" t="n"/>
      <c r="F75" s="9" t="n"/>
      <c r="G75" s="9" t="n"/>
      <c r="H75" s="9" t="n"/>
      <c r="I75" s="9" t="n"/>
      <c r="J75" s="3" t="n"/>
      <c r="K75" s="9" t="n"/>
    </row>
    <row r="76">
      <c r="A76" s="4" t="n"/>
      <c r="B76" s="9">
        <f>IF(A76="","",INT((DAY(A76)-1)/7)+1)</f>
        <v/>
      </c>
      <c r="C76" s="9" t="n"/>
      <c r="D76" s="9" t="n"/>
      <c r="E76" s="9" t="n"/>
      <c r="F76" s="9" t="n"/>
      <c r="G76" s="9" t="n"/>
      <c r="H76" s="9" t="n"/>
      <c r="I76" s="9" t="n"/>
      <c r="J76" s="3" t="n"/>
      <c r="K76" s="9" t="n"/>
    </row>
    <row r="77">
      <c r="A77" s="4" t="n"/>
      <c r="B77" s="9">
        <f>IF(A77="","",INT((DAY(A77)-1)/7)+1)</f>
        <v/>
      </c>
      <c r="C77" s="9" t="n"/>
      <c r="D77" s="9" t="n"/>
      <c r="E77" s="9" t="n"/>
      <c r="F77" s="9" t="n"/>
      <c r="G77" s="9" t="n"/>
      <c r="H77" s="9" t="n"/>
      <c r="I77" s="9" t="n"/>
      <c r="J77" s="3" t="n"/>
      <c r="K77" s="9" t="n"/>
    </row>
    <row r="78">
      <c r="A78" s="4" t="n"/>
      <c r="B78" s="9">
        <f>IF(A78="","",INT((DAY(A78)-1)/7)+1)</f>
        <v/>
      </c>
      <c r="C78" s="9" t="n"/>
      <c r="D78" s="9" t="n"/>
      <c r="E78" s="9" t="n"/>
      <c r="F78" s="9" t="n"/>
      <c r="G78" s="9" t="n"/>
      <c r="H78" s="9" t="n"/>
      <c r="I78" s="9" t="n"/>
      <c r="J78" s="3" t="n"/>
      <c r="K78" s="9" t="n"/>
    </row>
    <row r="79">
      <c r="A79" s="4" t="n"/>
      <c r="B79" s="9">
        <f>IF(A79="","",INT((DAY(A79)-1)/7)+1)</f>
        <v/>
      </c>
      <c r="C79" s="9" t="n"/>
      <c r="D79" s="9" t="n"/>
      <c r="E79" s="9" t="n"/>
      <c r="F79" s="9" t="n"/>
      <c r="G79" s="9" t="n"/>
      <c r="H79" s="9" t="n"/>
      <c r="I79" s="9" t="n"/>
      <c r="J79" s="3" t="n"/>
      <c r="K79" s="9" t="n"/>
    </row>
    <row r="80">
      <c r="A80" s="4" t="n"/>
      <c r="B80" s="9">
        <f>IF(A80="","",INT((DAY(A80)-1)/7)+1)</f>
        <v/>
      </c>
      <c r="C80" s="9" t="n"/>
      <c r="D80" s="9" t="n"/>
      <c r="E80" s="9" t="n"/>
      <c r="F80" s="9" t="n"/>
      <c r="G80" s="9" t="n"/>
      <c r="H80" s="9" t="n"/>
      <c r="I80" s="9" t="n"/>
      <c r="J80" s="3" t="n"/>
      <c r="K80" s="9" t="n"/>
    </row>
    <row r="81">
      <c r="A81" s="4" t="n"/>
      <c r="B81" s="9">
        <f>IF(A81="","",INT((DAY(A81)-1)/7)+1)</f>
        <v/>
      </c>
      <c r="C81" s="9" t="n"/>
      <c r="D81" s="9" t="n"/>
      <c r="E81" s="9" t="n"/>
      <c r="F81" s="9" t="n"/>
      <c r="G81" s="9" t="n"/>
      <c r="H81" s="9" t="n"/>
      <c r="I81" s="9" t="n"/>
      <c r="J81" s="3" t="n"/>
      <c r="K81" s="9" t="n"/>
    </row>
    <row r="82">
      <c r="A82" s="4" t="n"/>
      <c r="B82" s="9">
        <f>IF(A82="","",INT((DAY(A82)-1)/7)+1)</f>
        <v/>
      </c>
      <c r="C82" s="9" t="n"/>
      <c r="D82" s="9" t="n"/>
      <c r="E82" s="9" t="n"/>
      <c r="F82" s="9" t="n"/>
      <c r="G82" s="9" t="n"/>
      <c r="H82" s="9" t="n"/>
      <c r="I82" s="9" t="n"/>
      <c r="J82" s="3" t="n"/>
      <c r="K82" s="9" t="n"/>
    </row>
    <row r="83">
      <c r="A83" s="4" t="n"/>
      <c r="B83" s="9">
        <f>IF(A83="","",INT((DAY(A83)-1)/7)+1)</f>
        <v/>
      </c>
      <c r="C83" s="9" t="n"/>
      <c r="D83" s="9" t="n"/>
      <c r="E83" s="9" t="n"/>
      <c r="F83" s="9" t="n"/>
      <c r="G83" s="9" t="n"/>
      <c r="H83" s="9" t="n"/>
      <c r="I83" s="9" t="n"/>
      <c r="J83" s="3" t="n"/>
      <c r="K83" s="9" t="n"/>
    </row>
    <row r="84">
      <c r="A84" s="4" t="n"/>
      <c r="B84" s="9">
        <f>IF(A84="","",INT((DAY(A84)-1)/7)+1)</f>
        <v/>
      </c>
      <c r="C84" s="9" t="n"/>
      <c r="D84" s="9" t="n"/>
      <c r="E84" s="9" t="n"/>
      <c r="F84" s="9" t="n"/>
      <c r="G84" s="9" t="n"/>
      <c r="H84" s="9" t="n"/>
      <c r="I84" s="9" t="n"/>
      <c r="J84" s="3" t="n"/>
      <c r="K84" s="9" t="n"/>
    </row>
    <row r="85">
      <c r="A85" s="4" t="n"/>
      <c r="B85" s="9">
        <f>IF(A85="","",INT((DAY(A85)-1)/7)+1)</f>
        <v/>
      </c>
      <c r="C85" s="9" t="n"/>
      <c r="D85" s="9" t="n"/>
      <c r="E85" s="9" t="n"/>
      <c r="F85" s="9" t="n"/>
      <c r="G85" s="9" t="n"/>
      <c r="H85" s="9" t="n"/>
      <c r="I85" s="9" t="n"/>
      <c r="J85" s="3" t="n"/>
      <c r="K85" s="9" t="n"/>
    </row>
    <row r="86">
      <c r="A86" s="4" t="n"/>
      <c r="B86" s="9">
        <f>IF(A86="","",INT((DAY(A86)-1)/7)+1)</f>
        <v/>
      </c>
      <c r="C86" s="9" t="n"/>
      <c r="D86" s="9" t="n"/>
      <c r="E86" s="9" t="n"/>
      <c r="F86" s="9" t="n"/>
      <c r="G86" s="9" t="n"/>
      <c r="H86" s="9" t="n"/>
      <c r="I86" s="9" t="n"/>
      <c r="J86" s="3" t="n"/>
      <c r="K86" s="9" t="n"/>
    </row>
    <row r="87">
      <c r="A87" s="4" t="n"/>
      <c r="B87" s="9">
        <f>IF(A87="","",INT((DAY(A87)-1)/7)+1)</f>
        <v/>
      </c>
      <c r="C87" s="9" t="n"/>
      <c r="D87" s="9" t="n"/>
      <c r="E87" s="9" t="n"/>
      <c r="F87" s="9" t="n"/>
      <c r="G87" s="9" t="n"/>
      <c r="H87" s="9" t="n"/>
      <c r="I87" s="9" t="n"/>
      <c r="J87" s="3" t="n"/>
      <c r="K87" s="9" t="n"/>
    </row>
    <row r="88">
      <c r="A88" s="4" t="n"/>
      <c r="B88" s="9">
        <f>IF(A88="","",INT((DAY(A88)-1)/7)+1)</f>
        <v/>
      </c>
      <c r="C88" s="9" t="n"/>
      <c r="D88" s="9" t="n"/>
      <c r="E88" s="9" t="n"/>
      <c r="F88" s="9" t="n"/>
      <c r="G88" s="9" t="n"/>
      <c r="H88" s="9" t="n"/>
      <c r="I88" s="9" t="n"/>
      <c r="J88" s="3" t="n"/>
      <c r="K88" s="9" t="n"/>
    </row>
    <row r="89">
      <c r="A89" s="4" t="n"/>
      <c r="B89" s="9">
        <f>IF(A89="","",INT((DAY(A89)-1)/7)+1)</f>
        <v/>
      </c>
      <c r="C89" s="9" t="n"/>
      <c r="D89" s="9" t="n"/>
      <c r="E89" s="9" t="n"/>
      <c r="F89" s="9" t="n"/>
      <c r="G89" s="9" t="n"/>
      <c r="H89" s="9" t="n"/>
      <c r="I89" s="9" t="n"/>
      <c r="J89" s="3" t="n"/>
      <c r="K89" s="9" t="n"/>
    </row>
    <row r="90">
      <c r="A90" s="4" t="n"/>
      <c r="B90" s="9">
        <f>IF(A90="","",INT((DAY(A90)-1)/7)+1)</f>
        <v/>
      </c>
      <c r="C90" s="9" t="n"/>
      <c r="D90" s="9" t="n"/>
      <c r="E90" s="9" t="n"/>
      <c r="F90" s="9" t="n"/>
      <c r="G90" s="9" t="n"/>
      <c r="H90" s="9" t="n"/>
      <c r="I90" s="9" t="n"/>
      <c r="J90" s="3" t="n"/>
      <c r="K90" s="9" t="n"/>
    </row>
    <row r="91">
      <c r="A91" s="4" t="n"/>
      <c r="B91" s="9">
        <f>IF(A91="","",INT((DAY(A91)-1)/7)+1)</f>
        <v/>
      </c>
      <c r="C91" s="9" t="n"/>
      <c r="D91" s="9" t="n"/>
      <c r="E91" s="9" t="n"/>
      <c r="F91" s="9" t="n"/>
      <c r="G91" s="9" t="n"/>
      <c r="H91" s="9" t="n"/>
      <c r="I91" s="9" t="n"/>
      <c r="J91" s="3" t="n"/>
      <c r="K91" s="9" t="n"/>
    </row>
    <row r="92">
      <c r="A92" s="4" t="n"/>
      <c r="B92" s="9">
        <f>IF(A92="","",INT((DAY(A92)-1)/7)+1)</f>
        <v/>
      </c>
      <c r="C92" s="9" t="n"/>
      <c r="D92" s="9" t="n"/>
      <c r="E92" s="9" t="n"/>
      <c r="F92" s="9" t="n"/>
      <c r="G92" s="9" t="n"/>
      <c r="H92" s="9" t="n"/>
      <c r="I92" s="9" t="n"/>
      <c r="J92" s="3" t="n"/>
      <c r="K92" s="9" t="n"/>
    </row>
    <row r="93">
      <c r="A93" s="4" t="n"/>
      <c r="B93" s="9">
        <f>IF(A93="","",INT((DAY(A93)-1)/7)+1)</f>
        <v/>
      </c>
      <c r="C93" s="9" t="n"/>
      <c r="D93" s="9" t="n"/>
      <c r="E93" s="9" t="n"/>
      <c r="F93" s="9" t="n"/>
      <c r="G93" s="9" t="n"/>
      <c r="H93" s="9" t="n"/>
      <c r="I93" s="9" t="n"/>
      <c r="J93" s="3" t="n"/>
      <c r="K93" s="9" t="n"/>
    </row>
    <row r="94">
      <c r="A94" s="4" t="n"/>
      <c r="B94" s="9">
        <f>IF(A94="","",INT((DAY(A94)-1)/7)+1)</f>
        <v/>
      </c>
      <c r="C94" s="9" t="n"/>
      <c r="D94" s="9" t="n"/>
      <c r="E94" s="9" t="n"/>
      <c r="F94" s="9" t="n"/>
      <c r="G94" s="9" t="n"/>
      <c r="H94" s="9" t="n"/>
      <c r="I94" s="9" t="n"/>
      <c r="J94" s="3" t="n"/>
      <c r="K94" s="9" t="n"/>
    </row>
    <row r="95">
      <c r="A95" s="4" t="n"/>
      <c r="B95" s="9">
        <f>IF(A95="","",INT((DAY(A95)-1)/7)+1)</f>
        <v/>
      </c>
      <c r="C95" s="9" t="n"/>
      <c r="D95" s="9" t="n"/>
      <c r="E95" s="9" t="n"/>
      <c r="F95" s="9" t="n"/>
      <c r="G95" s="9" t="n"/>
      <c r="H95" s="9" t="n"/>
      <c r="I95" s="9" t="n"/>
      <c r="J95" s="3" t="n"/>
      <c r="K95" s="9" t="n"/>
    </row>
    <row r="96">
      <c r="A96" s="4" t="n"/>
      <c r="B96" s="9">
        <f>IF(A96="","",INT((DAY(A96)-1)/7)+1)</f>
        <v/>
      </c>
      <c r="C96" s="9" t="n"/>
      <c r="D96" s="9" t="n"/>
      <c r="E96" s="9" t="n"/>
      <c r="F96" s="9" t="n"/>
      <c r="G96" s="9" t="n"/>
      <c r="H96" s="9" t="n"/>
      <c r="I96" s="9" t="n"/>
      <c r="J96" s="3" t="n"/>
      <c r="K96" s="9" t="n"/>
    </row>
    <row r="97">
      <c r="A97" s="4" t="n"/>
      <c r="B97" s="9">
        <f>IF(A97="","",INT((DAY(A97)-1)/7)+1)</f>
        <v/>
      </c>
      <c r="C97" s="9" t="n"/>
      <c r="D97" s="9" t="n"/>
      <c r="E97" s="9" t="n"/>
      <c r="F97" s="9" t="n"/>
      <c r="G97" s="9" t="n"/>
      <c r="H97" s="9" t="n"/>
      <c r="I97" s="9" t="n"/>
      <c r="J97" s="3" t="n"/>
      <c r="K97" s="9" t="n"/>
    </row>
    <row r="98">
      <c r="A98" s="4" t="n"/>
      <c r="B98" s="9">
        <f>IF(A98="","",INT((DAY(A98)-1)/7)+1)</f>
        <v/>
      </c>
      <c r="C98" s="9" t="n"/>
      <c r="D98" s="9" t="n"/>
      <c r="E98" s="9" t="n"/>
      <c r="F98" s="9" t="n"/>
      <c r="G98" s="9" t="n"/>
      <c r="H98" s="9" t="n"/>
      <c r="I98" s="9" t="n"/>
      <c r="J98" s="3" t="n"/>
      <c r="K98" s="9" t="n"/>
    </row>
    <row r="99">
      <c r="A99" s="4" t="n"/>
      <c r="B99" s="9">
        <f>IF(A99="","",INT((DAY(A99)-1)/7)+1)</f>
        <v/>
      </c>
      <c r="C99" s="9" t="n"/>
      <c r="D99" s="9" t="n"/>
      <c r="E99" s="9" t="n"/>
      <c r="F99" s="9" t="n"/>
      <c r="G99" s="9" t="n"/>
      <c r="H99" s="9" t="n"/>
      <c r="I99" s="9" t="n"/>
      <c r="J99" s="3" t="n"/>
      <c r="K99" s="9" t="n"/>
    </row>
    <row r="100">
      <c r="A100" s="4" t="n"/>
      <c r="B100" s="9">
        <f>IF(A100="","",INT((DAY(A100)-1)/7)+1)</f>
        <v/>
      </c>
      <c r="C100" s="9" t="n"/>
      <c r="D100" s="9" t="n"/>
      <c r="E100" s="9" t="n"/>
      <c r="F100" s="9" t="n"/>
      <c r="G100" s="9" t="n"/>
      <c r="H100" s="9" t="n"/>
      <c r="I100" s="9" t="n"/>
      <c r="J100" s="3" t="n"/>
      <c r="K100" s="9" t="n"/>
    </row>
    <row r="101">
      <c r="A101" s="4" t="n"/>
      <c r="B101" s="9">
        <f>IF(A101="","",INT((DAY(A101)-1)/7)+1)</f>
        <v/>
      </c>
      <c r="C101" s="9" t="n"/>
      <c r="D101" s="9" t="n"/>
      <c r="E101" s="9" t="n"/>
      <c r="F101" s="9" t="n"/>
      <c r="G101" s="9" t="n"/>
      <c r="H101" s="9" t="n"/>
      <c r="I101" s="9" t="n"/>
      <c r="J101" s="3" t="n"/>
      <c r="K101" s="9" t="n"/>
    </row>
    <row r="102">
      <c r="A102" s="4" t="n"/>
      <c r="B102" s="9">
        <f>IF(A102="","",INT((DAY(A102)-1)/7)+1)</f>
        <v/>
      </c>
      <c r="C102" s="9" t="n"/>
      <c r="D102" s="9" t="n"/>
      <c r="E102" s="9" t="n"/>
      <c r="F102" s="9" t="n"/>
      <c r="G102" s="9" t="n"/>
      <c r="H102" s="9" t="n"/>
      <c r="I102" s="9" t="n"/>
      <c r="J102" s="3" t="n"/>
      <c r="K102" s="9" t="n"/>
    </row>
    <row r="103">
      <c r="A103" s="4" t="n"/>
      <c r="B103" s="9">
        <f>IF(A103="","",INT((DAY(A103)-1)/7)+1)</f>
        <v/>
      </c>
      <c r="C103" s="9" t="n"/>
      <c r="D103" s="9" t="n"/>
      <c r="E103" s="9" t="n"/>
      <c r="F103" s="9" t="n"/>
      <c r="G103" s="9" t="n"/>
      <c r="H103" s="9" t="n"/>
      <c r="I103" s="9" t="n"/>
      <c r="J103" s="3" t="n"/>
      <c r="K103" s="9" t="n"/>
    </row>
    <row r="104">
      <c r="A104" s="4" t="n"/>
      <c r="B104" s="9">
        <f>IF(A104="","",INT((DAY(A104)-1)/7)+1)</f>
        <v/>
      </c>
      <c r="C104" s="9" t="n"/>
      <c r="D104" s="9" t="n"/>
      <c r="E104" s="9" t="n"/>
      <c r="F104" s="9" t="n"/>
      <c r="G104" s="9" t="n"/>
      <c r="H104" s="9" t="n"/>
      <c r="I104" s="9" t="n"/>
      <c r="J104" s="3" t="n"/>
      <c r="K104" s="9" t="n"/>
    </row>
    <row r="105">
      <c r="A105" s="4" t="n"/>
      <c r="B105" s="9">
        <f>IF(A105="","",INT((DAY(A105)-1)/7)+1)</f>
        <v/>
      </c>
      <c r="C105" s="9" t="n"/>
      <c r="D105" s="9" t="n"/>
      <c r="E105" s="9" t="n"/>
      <c r="F105" s="9" t="n"/>
      <c r="G105" s="9" t="n"/>
      <c r="H105" s="9" t="n"/>
      <c r="I105" s="9" t="n"/>
      <c r="J105" s="3" t="n"/>
      <c r="K105" s="9" t="n"/>
    </row>
    <row r="106">
      <c r="A106" s="4" t="n"/>
      <c r="B106" s="9">
        <f>IF(A106="","",INT((DAY(A106)-1)/7)+1)</f>
        <v/>
      </c>
      <c r="C106" s="9" t="n"/>
      <c r="D106" s="9" t="n"/>
      <c r="E106" s="9" t="n"/>
      <c r="F106" s="9" t="n"/>
      <c r="G106" s="9" t="n"/>
      <c r="H106" s="9" t="n"/>
      <c r="I106" s="9" t="n"/>
      <c r="J106" s="3" t="n"/>
      <c r="K106" s="9" t="n"/>
    </row>
    <row r="107">
      <c r="A107" s="4" t="n"/>
      <c r="B107" s="9">
        <f>IF(A107="","",INT((DAY(A107)-1)/7)+1)</f>
        <v/>
      </c>
      <c r="C107" s="9" t="n"/>
      <c r="D107" s="9" t="n"/>
      <c r="E107" s="9" t="n"/>
      <c r="F107" s="9" t="n"/>
      <c r="G107" s="9" t="n"/>
      <c r="H107" s="9" t="n"/>
      <c r="I107" s="9" t="n"/>
      <c r="J107" s="3" t="n"/>
      <c r="K107" s="9" t="n"/>
    </row>
    <row r="108">
      <c r="A108" s="4" t="n"/>
      <c r="B108" s="9">
        <f>IF(A108="","",INT((DAY(A108)-1)/7)+1)</f>
        <v/>
      </c>
      <c r="C108" s="9" t="n"/>
      <c r="D108" s="9" t="n"/>
      <c r="E108" s="9" t="n"/>
      <c r="F108" s="9" t="n"/>
      <c r="G108" s="9" t="n"/>
      <c r="H108" s="9" t="n"/>
      <c r="I108" s="9" t="n"/>
      <c r="J108" s="3" t="n"/>
      <c r="K108" s="9" t="n"/>
    </row>
    <row r="109">
      <c r="A109" s="4" t="n"/>
      <c r="B109" s="9">
        <f>IF(A109="","",INT((DAY(A109)-1)/7)+1)</f>
        <v/>
      </c>
      <c r="C109" s="9" t="n"/>
      <c r="D109" s="9" t="n"/>
      <c r="E109" s="9" t="n"/>
      <c r="F109" s="9" t="n"/>
      <c r="G109" s="9" t="n"/>
      <c r="H109" s="9" t="n"/>
      <c r="I109" s="9" t="n"/>
      <c r="J109" s="3" t="n"/>
      <c r="K109" s="9" t="n"/>
    </row>
    <row r="110">
      <c r="A110" s="4" t="n"/>
      <c r="B110" s="9">
        <f>IF(A110="","",INT((DAY(A110)-1)/7)+1)</f>
        <v/>
      </c>
      <c r="C110" s="9" t="n"/>
      <c r="D110" s="9" t="n"/>
      <c r="E110" s="9" t="n"/>
      <c r="F110" s="9" t="n"/>
      <c r="G110" s="9" t="n"/>
      <c r="H110" s="9" t="n"/>
      <c r="I110" s="9" t="n"/>
      <c r="J110" s="3" t="n"/>
      <c r="K110" s="9" t="n"/>
    </row>
    <row r="111">
      <c r="A111" s="4" t="n"/>
      <c r="B111" s="9">
        <f>IF(A111="","",INT((DAY(A111)-1)/7)+1)</f>
        <v/>
      </c>
      <c r="C111" s="9" t="n"/>
      <c r="D111" s="9" t="n"/>
      <c r="E111" s="9" t="n"/>
      <c r="F111" s="9" t="n"/>
      <c r="G111" s="9" t="n"/>
      <c r="H111" s="9" t="n"/>
      <c r="I111" s="9" t="n"/>
      <c r="J111" s="3" t="n"/>
      <c r="K111" s="9" t="n"/>
    </row>
    <row r="112">
      <c r="A112" s="4" t="n"/>
      <c r="B112" s="9">
        <f>IF(A112="","",INT((DAY(A112)-1)/7)+1)</f>
        <v/>
      </c>
      <c r="C112" s="9" t="n"/>
      <c r="D112" s="9" t="n"/>
      <c r="E112" s="9" t="n"/>
      <c r="F112" s="9" t="n"/>
      <c r="G112" s="9" t="n"/>
      <c r="H112" s="9" t="n"/>
      <c r="I112" s="9" t="n"/>
      <c r="J112" s="3" t="n"/>
      <c r="K112" s="9" t="n"/>
    </row>
    <row r="113">
      <c r="A113" s="4" t="n"/>
      <c r="B113" s="9">
        <f>IF(A113="","",INT((DAY(A113)-1)/7)+1)</f>
        <v/>
      </c>
      <c r="C113" s="9" t="n"/>
      <c r="D113" s="9" t="n"/>
      <c r="E113" s="9" t="n"/>
      <c r="F113" s="9" t="n"/>
      <c r="G113" s="9" t="n"/>
      <c r="H113" s="9" t="n"/>
      <c r="I113" s="9" t="n"/>
      <c r="J113" s="3" t="n"/>
      <c r="K113" s="9" t="n"/>
    </row>
    <row r="114">
      <c r="A114" s="4" t="n"/>
      <c r="B114" s="9">
        <f>IF(A114="","",INT((DAY(A114)-1)/7)+1)</f>
        <v/>
      </c>
      <c r="C114" s="9" t="n"/>
      <c r="D114" s="9" t="n"/>
      <c r="E114" s="9" t="n"/>
      <c r="F114" s="9" t="n"/>
      <c r="G114" s="9" t="n"/>
      <c r="H114" s="9" t="n"/>
      <c r="I114" s="9" t="n"/>
      <c r="J114" s="3" t="n"/>
      <c r="K114" s="9" t="n"/>
    </row>
    <row r="115">
      <c r="A115" s="4" t="n"/>
      <c r="B115" s="9">
        <f>IF(A115="","",INT((DAY(A115)-1)/7)+1)</f>
        <v/>
      </c>
      <c r="C115" s="9" t="n"/>
      <c r="D115" s="9" t="n"/>
      <c r="E115" s="9" t="n"/>
      <c r="F115" s="9" t="n"/>
      <c r="G115" s="9" t="n"/>
      <c r="H115" s="9" t="n"/>
      <c r="I115" s="9" t="n"/>
      <c r="J115" s="3" t="n"/>
      <c r="K115" s="9" t="n"/>
    </row>
    <row r="116">
      <c r="A116" s="4" t="n"/>
      <c r="B116" s="9">
        <f>IF(A116="","",INT((DAY(A116)-1)/7)+1)</f>
        <v/>
      </c>
      <c r="C116" s="9" t="n"/>
      <c r="D116" s="9" t="n"/>
      <c r="E116" s="9" t="n"/>
      <c r="F116" s="9" t="n"/>
      <c r="G116" s="9" t="n"/>
      <c r="H116" s="9" t="n"/>
      <c r="I116" s="9" t="n"/>
      <c r="J116" s="3" t="n"/>
      <c r="K116" s="9" t="n"/>
    </row>
    <row r="117">
      <c r="A117" s="4" t="n"/>
      <c r="B117" s="9">
        <f>IF(A117="","",INT((DAY(A117)-1)/7)+1)</f>
        <v/>
      </c>
      <c r="C117" s="9" t="n"/>
      <c r="D117" s="9" t="n"/>
      <c r="E117" s="9" t="n"/>
      <c r="F117" s="9" t="n"/>
      <c r="G117" s="9" t="n"/>
      <c r="H117" s="9" t="n"/>
      <c r="I117" s="9" t="n"/>
      <c r="J117" s="3" t="n"/>
      <c r="K117" s="9" t="n"/>
    </row>
    <row r="118">
      <c r="A118" s="4" t="n"/>
      <c r="B118" s="9">
        <f>IF(A118="","",INT((DAY(A118)-1)/7)+1)</f>
        <v/>
      </c>
      <c r="C118" s="9" t="n"/>
      <c r="D118" s="9" t="n"/>
      <c r="E118" s="9" t="n"/>
      <c r="F118" s="9" t="n"/>
      <c r="G118" s="9" t="n"/>
      <c r="H118" s="9" t="n"/>
      <c r="I118" s="9" t="n"/>
      <c r="J118" s="3" t="n"/>
      <c r="K118" s="9" t="n"/>
    </row>
    <row r="119">
      <c r="A119" s="4" t="n"/>
      <c r="B119" s="9">
        <f>IF(A119="","",INT((DAY(A119)-1)/7)+1)</f>
        <v/>
      </c>
      <c r="C119" s="9" t="n"/>
      <c r="D119" s="9" t="n"/>
      <c r="E119" s="9" t="n"/>
      <c r="F119" s="9" t="n"/>
      <c r="G119" s="9" t="n"/>
      <c r="H119" s="9" t="n"/>
      <c r="I119" s="9" t="n"/>
      <c r="J119" s="3" t="n"/>
      <c r="K119" s="9" t="n"/>
    </row>
    <row r="120">
      <c r="A120" s="4" t="n"/>
      <c r="B120" s="9">
        <f>IF(A120="","",INT((DAY(A120)-1)/7)+1)</f>
        <v/>
      </c>
      <c r="C120" s="9" t="n"/>
      <c r="D120" s="9" t="n"/>
      <c r="E120" s="9" t="n"/>
      <c r="F120" s="9" t="n"/>
      <c r="G120" s="9" t="n"/>
      <c r="H120" s="9" t="n"/>
      <c r="I120" s="9" t="n"/>
      <c r="J120" s="3" t="n"/>
      <c r="K120" s="9" t="n"/>
    </row>
    <row r="121">
      <c r="A121" s="4" t="n"/>
      <c r="B121" s="9">
        <f>IF(A121="","",INT((DAY(A121)-1)/7)+1)</f>
        <v/>
      </c>
      <c r="C121" s="9" t="n"/>
      <c r="D121" s="9" t="n"/>
      <c r="E121" s="9" t="n"/>
      <c r="F121" s="9" t="n"/>
      <c r="G121" s="9" t="n"/>
      <c r="H121" s="9" t="n"/>
      <c r="I121" s="9" t="n"/>
      <c r="J121" s="3" t="n"/>
      <c r="K121" s="9" t="n"/>
    </row>
    <row r="122">
      <c r="A122" s="4" t="n"/>
      <c r="B122" s="9">
        <f>IF(A122="","",INT((DAY(A122)-1)/7)+1)</f>
        <v/>
      </c>
      <c r="C122" s="9" t="n"/>
      <c r="D122" s="9" t="n"/>
      <c r="E122" s="9" t="n"/>
      <c r="F122" s="9" t="n"/>
      <c r="G122" s="9" t="n"/>
      <c r="H122" s="9" t="n"/>
      <c r="I122" s="9" t="n"/>
      <c r="J122" s="3" t="n"/>
      <c r="K122" s="9" t="n"/>
    </row>
    <row r="123">
      <c r="A123" s="4" t="n"/>
      <c r="B123" s="9">
        <f>IF(A123="","",INT((DAY(A123)-1)/7)+1)</f>
        <v/>
      </c>
      <c r="C123" s="9" t="n"/>
      <c r="D123" s="9" t="n"/>
      <c r="E123" s="9" t="n"/>
      <c r="F123" s="9" t="n"/>
      <c r="G123" s="9" t="n"/>
      <c r="H123" s="9" t="n"/>
      <c r="I123" s="9" t="n"/>
      <c r="J123" s="3" t="n"/>
      <c r="K123" s="9" t="n"/>
    </row>
    <row r="124">
      <c r="A124" s="4" t="n"/>
      <c r="B124" s="9">
        <f>IF(A124="","",INT((DAY(A124)-1)/7)+1)</f>
        <v/>
      </c>
      <c r="C124" s="9" t="n"/>
      <c r="D124" s="9" t="n"/>
      <c r="E124" s="9" t="n"/>
      <c r="F124" s="9" t="n"/>
      <c r="G124" s="9" t="n"/>
      <c r="H124" s="9" t="n"/>
      <c r="I124" s="9" t="n"/>
      <c r="J124" s="3" t="n"/>
      <c r="K124" s="9" t="n"/>
    </row>
    <row r="125">
      <c r="A125" s="4" t="n"/>
      <c r="B125" s="9">
        <f>IF(A125="","",INT((DAY(A125)-1)/7)+1)</f>
        <v/>
      </c>
      <c r="C125" s="9" t="n"/>
      <c r="D125" s="9" t="n"/>
      <c r="E125" s="9" t="n"/>
      <c r="F125" s="9" t="n"/>
      <c r="G125" s="9" t="n"/>
      <c r="H125" s="9" t="n"/>
      <c r="I125" s="9" t="n"/>
      <c r="J125" s="3" t="n"/>
      <c r="K125" s="9" t="n"/>
    </row>
    <row r="126">
      <c r="A126" s="4" t="n"/>
      <c r="B126" s="9">
        <f>IF(A126="","",INT((DAY(A126)-1)/7)+1)</f>
        <v/>
      </c>
      <c r="C126" s="9" t="n"/>
      <c r="D126" s="9" t="n"/>
      <c r="E126" s="9" t="n"/>
      <c r="F126" s="9" t="n"/>
      <c r="G126" s="9" t="n"/>
      <c r="H126" s="9" t="n"/>
      <c r="I126" s="9" t="n"/>
      <c r="J126" s="3" t="n"/>
      <c r="K126" s="9" t="n"/>
    </row>
    <row r="127">
      <c r="A127" s="4" t="n"/>
      <c r="B127" s="9">
        <f>IF(A127="","",INT((DAY(A127)-1)/7)+1)</f>
        <v/>
      </c>
      <c r="C127" s="9" t="n"/>
      <c r="D127" s="9" t="n"/>
      <c r="E127" s="9" t="n"/>
      <c r="F127" s="9" t="n"/>
      <c r="G127" s="9" t="n"/>
      <c r="H127" s="9" t="n"/>
      <c r="I127" s="9" t="n"/>
      <c r="J127" s="3" t="n"/>
      <c r="K127" s="9" t="n"/>
    </row>
    <row r="128">
      <c r="A128" s="4" t="n"/>
      <c r="B128" s="9">
        <f>IF(A128="","",INT((DAY(A128)-1)/7)+1)</f>
        <v/>
      </c>
      <c r="C128" s="9" t="n"/>
      <c r="D128" s="9" t="n"/>
      <c r="E128" s="9" t="n"/>
      <c r="F128" s="9" t="n"/>
      <c r="G128" s="9" t="n"/>
      <c r="H128" s="9" t="n"/>
      <c r="I128" s="9" t="n"/>
      <c r="J128" s="3" t="n"/>
      <c r="K128" s="9" t="n"/>
    </row>
    <row r="129">
      <c r="A129" s="4" t="n"/>
      <c r="B129" s="9">
        <f>IF(A129="","",INT((DAY(A129)-1)/7)+1)</f>
        <v/>
      </c>
      <c r="C129" s="9" t="n"/>
      <c r="D129" s="9" t="n"/>
      <c r="E129" s="9" t="n"/>
      <c r="F129" s="9" t="n"/>
      <c r="G129" s="9" t="n"/>
      <c r="H129" s="9" t="n"/>
      <c r="I129" s="9" t="n"/>
      <c r="J129" s="3" t="n"/>
      <c r="K129" s="9" t="n"/>
    </row>
    <row r="130">
      <c r="A130" s="4" t="n"/>
      <c r="B130" s="9">
        <f>IF(A130="","",INT((DAY(A130)-1)/7)+1)</f>
        <v/>
      </c>
      <c r="C130" s="9" t="n"/>
      <c r="D130" s="9" t="n"/>
      <c r="E130" s="9" t="n"/>
      <c r="F130" s="9" t="n"/>
      <c r="G130" s="9" t="n"/>
      <c r="H130" s="9" t="n"/>
      <c r="I130" s="9" t="n"/>
      <c r="J130" s="3" t="n"/>
      <c r="K130" s="9" t="n"/>
    </row>
    <row r="131">
      <c r="A131" s="4" t="n"/>
      <c r="B131" s="9">
        <f>IF(A131="","",INT((DAY(A131)-1)/7)+1)</f>
        <v/>
      </c>
      <c r="C131" s="9" t="n"/>
      <c r="D131" s="9" t="n"/>
      <c r="E131" s="9" t="n"/>
      <c r="F131" s="9" t="n"/>
      <c r="G131" s="9" t="n"/>
      <c r="H131" s="9" t="n"/>
      <c r="I131" s="9" t="n"/>
      <c r="J131" s="3" t="n"/>
      <c r="K131" s="9" t="n"/>
    </row>
    <row r="132">
      <c r="A132" s="4" t="n"/>
      <c r="B132" s="9">
        <f>IF(A132="","",INT((DAY(A132)-1)/7)+1)</f>
        <v/>
      </c>
      <c r="C132" s="9" t="n"/>
      <c r="D132" s="9" t="n"/>
      <c r="E132" s="9" t="n"/>
      <c r="F132" s="9" t="n"/>
      <c r="G132" s="9" t="n"/>
      <c r="H132" s="9" t="n"/>
      <c r="I132" s="9" t="n"/>
      <c r="J132" s="3" t="n"/>
      <c r="K132" s="9" t="n"/>
    </row>
    <row r="133">
      <c r="A133" s="4" t="n"/>
      <c r="B133" s="9">
        <f>IF(A133="","",INT((DAY(A133)-1)/7)+1)</f>
        <v/>
      </c>
      <c r="C133" s="9" t="n"/>
      <c r="D133" s="9" t="n"/>
      <c r="E133" s="9" t="n"/>
      <c r="F133" s="9" t="n"/>
      <c r="G133" s="9" t="n"/>
      <c r="H133" s="9" t="n"/>
      <c r="I133" s="9" t="n"/>
      <c r="J133" s="3" t="n"/>
      <c r="K133" s="9" t="n"/>
    </row>
    <row r="134">
      <c r="A134" s="4" t="n"/>
      <c r="B134" s="9">
        <f>IF(A134="","",INT((DAY(A134)-1)/7)+1)</f>
        <v/>
      </c>
      <c r="C134" s="9" t="n"/>
      <c r="D134" s="9" t="n"/>
      <c r="E134" s="9" t="n"/>
      <c r="F134" s="9" t="n"/>
      <c r="G134" s="9" t="n"/>
      <c r="H134" s="9" t="n"/>
      <c r="I134" s="9" t="n"/>
      <c r="J134" s="3" t="n"/>
      <c r="K134" s="9" t="n"/>
    </row>
    <row r="135">
      <c r="A135" s="4" t="n"/>
      <c r="B135" s="9">
        <f>IF(A135="","",INT((DAY(A135)-1)/7)+1)</f>
        <v/>
      </c>
      <c r="C135" s="9" t="n"/>
      <c r="D135" s="9" t="n"/>
      <c r="E135" s="9" t="n"/>
      <c r="F135" s="9" t="n"/>
      <c r="G135" s="9" t="n"/>
      <c r="H135" s="9" t="n"/>
      <c r="I135" s="9" t="n"/>
      <c r="J135" s="3" t="n"/>
      <c r="K135" s="9" t="n"/>
    </row>
    <row r="136">
      <c r="A136" s="4" t="n"/>
      <c r="B136" s="9">
        <f>IF(A136="","",INT((DAY(A136)-1)/7)+1)</f>
        <v/>
      </c>
      <c r="C136" s="9" t="n"/>
      <c r="D136" s="9" t="n"/>
      <c r="E136" s="9" t="n"/>
      <c r="F136" s="9" t="n"/>
      <c r="G136" s="9" t="n"/>
      <c r="H136" s="9" t="n"/>
      <c r="I136" s="9" t="n"/>
      <c r="J136" s="3" t="n"/>
      <c r="K136" s="9" t="n"/>
    </row>
    <row r="137">
      <c r="A137" s="4" t="n"/>
      <c r="B137" s="9">
        <f>IF(A137="","",INT((DAY(A137)-1)/7)+1)</f>
        <v/>
      </c>
      <c r="C137" s="9" t="n"/>
      <c r="D137" s="9" t="n"/>
      <c r="E137" s="9" t="n"/>
      <c r="F137" s="9" t="n"/>
      <c r="G137" s="9" t="n"/>
      <c r="H137" s="9" t="n"/>
      <c r="I137" s="9" t="n"/>
      <c r="J137" s="3" t="n"/>
      <c r="K137" s="9" t="n"/>
    </row>
    <row r="138">
      <c r="A138" s="4" t="n"/>
      <c r="B138" s="9">
        <f>IF(A138="","",INT((DAY(A138)-1)/7)+1)</f>
        <v/>
      </c>
      <c r="C138" s="9" t="n"/>
      <c r="D138" s="9" t="n"/>
      <c r="E138" s="9" t="n"/>
      <c r="F138" s="9" t="n"/>
      <c r="G138" s="9" t="n"/>
      <c r="H138" s="9" t="n"/>
      <c r="I138" s="9" t="n"/>
      <c r="J138" s="3" t="n"/>
      <c r="K138" s="9" t="n"/>
    </row>
    <row r="139">
      <c r="A139" s="4" t="n"/>
      <c r="B139" s="9">
        <f>IF(A139="","",INT((DAY(A139)-1)/7)+1)</f>
        <v/>
      </c>
      <c r="C139" s="9" t="n"/>
      <c r="D139" s="9" t="n"/>
      <c r="E139" s="9" t="n"/>
      <c r="F139" s="9" t="n"/>
      <c r="G139" s="9" t="n"/>
      <c r="H139" s="9" t="n"/>
      <c r="I139" s="9" t="n"/>
      <c r="J139" s="3" t="n"/>
      <c r="K139" s="9" t="n"/>
    </row>
    <row r="140">
      <c r="A140" s="4" t="n"/>
      <c r="B140" s="9">
        <f>IF(A140="","",INT((DAY(A140)-1)/7)+1)</f>
        <v/>
      </c>
      <c r="C140" s="9" t="n"/>
      <c r="D140" s="9" t="n"/>
      <c r="E140" s="9" t="n"/>
      <c r="F140" s="9" t="n"/>
      <c r="G140" s="9" t="n"/>
      <c r="H140" s="9" t="n"/>
      <c r="I140" s="9" t="n"/>
      <c r="J140" s="3" t="n"/>
      <c r="K140" s="9" t="n"/>
    </row>
    <row r="141">
      <c r="A141" s="4" t="n"/>
      <c r="B141" s="9">
        <f>IF(A141="","",INT((DAY(A141)-1)/7)+1)</f>
        <v/>
      </c>
      <c r="C141" s="9" t="n"/>
      <c r="D141" s="9" t="n"/>
      <c r="E141" s="9" t="n"/>
      <c r="F141" s="9" t="n"/>
      <c r="G141" s="9" t="n"/>
      <c r="H141" s="9" t="n"/>
      <c r="I141" s="9" t="n"/>
      <c r="J141" s="3" t="n"/>
      <c r="K141" s="9" t="n"/>
    </row>
    <row r="142">
      <c r="A142" s="4" t="n"/>
      <c r="B142" s="9">
        <f>IF(A142="","",INT((DAY(A142)-1)/7)+1)</f>
        <v/>
      </c>
      <c r="C142" s="9" t="n"/>
      <c r="D142" s="9" t="n"/>
      <c r="E142" s="9" t="n"/>
      <c r="F142" s="9" t="n"/>
      <c r="G142" s="9" t="n"/>
      <c r="H142" s="9" t="n"/>
      <c r="I142" s="9" t="n"/>
      <c r="J142" s="3" t="n"/>
      <c r="K142" s="9" t="n"/>
    </row>
    <row r="143">
      <c r="A143" s="4" t="n"/>
      <c r="B143" s="9">
        <f>IF(A143="","",INT((DAY(A143)-1)/7)+1)</f>
        <v/>
      </c>
      <c r="C143" s="9" t="n"/>
      <c r="D143" s="9" t="n"/>
      <c r="E143" s="9" t="n"/>
      <c r="F143" s="9" t="n"/>
      <c r="G143" s="9" t="n"/>
      <c r="H143" s="9" t="n"/>
      <c r="I143" s="9" t="n"/>
      <c r="J143" s="3" t="n"/>
      <c r="K143" s="9" t="n"/>
    </row>
    <row r="144">
      <c r="A144" s="4" t="n"/>
      <c r="B144" s="9">
        <f>IF(A144="","",INT((DAY(A144)-1)/7)+1)</f>
        <v/>
      </c>
      <c r="C144" s="9" t="n"/>
      <c r="D144" s="9" t="n"/>
      <c r="E144" s="9" t="n"/>
      <c r="F144" s="9" t="n"/>
      <c r="G144" s="9" t="n"/>
      <c r="H144" s="9" t="n"/>
      <c r="I144" s="9" t="n"/>
      <c r="J144" s="3" t="n"/>
      <c r="K144" s="9" t="n"/>
    </row>
    <row r="145">
      <c r="A145" s="4" t="n"/>
      <c r="B145" s="9">
        <f>IF(A145="","",INT((DAY(A145)-1)/7)+1)</f>
        <v/>
      </c>
      <c r="C145" s="9" t="n"/>
      <c r="D145" s="9" t="n"/>
      <c r="E145" s="9" t="n"/>
      <c r="F145" s="9" t="n"/>
      <c r="G145" s="9" t="n"/>
      <c r="H145" s="9" t="n"/>
      <c r="I145" s="9" t="n"/>
      <c r="J145" s="3" t="n"/>
      <c r="K145" s="9" t="n"/>
    </row>
    <row r="146">
      <c r="A146" s="4" t="n"/>
      <c r="B146" s="9">
        <f>IF(A146="","",INT((DAY(A146)-1)/7)+1)</f>
        <v/>
      </c>
      <c r="C146" s="9" t="n"/>
      <c r="D146" s="9" t="n"/>
      <c r="E146" s="9" t="n"/>
      <c r="F146" s="9" t="n"/>
      <c r="G146" s="9" t="n"/>
      <c r="H146" s="9" t="n"/>
      <c r="I146" s="9" t="n"/>
      <c r="J146" s="3" t="n"/>
      <c r="K146" s="9" t="n"/>
    </row>
    <row r="147">
      <c r="A147" s="4" t="n"/>
      <c r="B147" s="9">
        <f>IF(A147="","",INT((DAY(A147)-1)/7)+1)</f>
        <v/>
      </c>
      <c r="C147" s="9" t="n"/>
      <c r="D147" s="9" t="n"/>
      <c r="E147" s="9" t="n"/>
      <c r="F147" s="9" t="n"/>
      <c r="G147" s="9" t="n"/>
      <c r="H147" s="9" t="n"/>
      <c r="I147" s="9" t="n"/>
      <c r="J147" s="3" t="n"/>
      <c r="K147" s="9" t="n"/>
    </row>
    <row r="148">
      <c r="A148" s="4" t="n"/>
      <c r="B148" s="9">
        <f>IF(A148="","",INT((DAY(A148)-1)/7)+1)</f>
        <v/>
      </c>
      <c r="C148" s="9" t="n"/>
      <c r="D148" s="9" t="n"/>
      <c r="E148" s="9" t="n"/>
      <c r="F148" s="9" t="n"/>
      <c r="G148" s="9" t="n"/>
      <c r="H148" s="9" t="n"/>
      <c r="I148" s="9" t="n"/>
      <c r="J148" s="3" t="n"/>
      <c r="K148" s="9" t="n"/>
    </row>
    <row r="149">
      <c r="A149" s="4" t="n"/>
      <c r="B149" s="9">
        <f>IF(A149="","",INT((DAY(A149)-1)/7)+1)</f>
        <v/>
      </c>
      <c r="C149" s="9" t="n"/>
      <c r="D149" s="9" t="n"/>
      <c r="E149" s="9" t="n"/>
      <c r="F149" s="9" t="n"/>
      <c r="G149" s="9" t="n"/>
      <c r="H149" s="9" t="n"/>
      <c r="I149" s="9" t="n"/>
      <c r="J149" s="3" t="n"/>
      <c r="K149" s="9" t="n"/>
    </row>
    <row r="150">
      <c r="A150" s="4" t="n"/>
      <c r="B150" s="9">
        <f>IF(A150="","",INT((DAY(A150)-1)/7)+1)</f>
        <v/>
      </c>
      <c r="C150" s="9" t="n"/>
      <c r="D150" s="9" t="n"/>
      <c r="E150" s="9" t="n"/>
      <c r="F150" s="9" t="n"/>
      <c r="G150" s="9" t="n"/>
      <c r="H150" s="9" t="n"/>
      <c r="I150" s="9" t="n"/>
      <c r="J150" s="3" t="n"/>
      <c r="K150" s="9" t="n"/>
    </row>
    <row r="151">
      <c r="A151" s="4" t="n"/>
      <c r="B151" s="9">
        <f>IF(A151="","",INT((DAY(A151)-1)/7)+1)</f>
        <v/>
      </c>
      <c r="C151" s="9" t="n"/>
      <c r="D151" s="9" t="n"/>
      <c r="E151" s="9" t="n"/>
      <c r="F151" s="9" t="n"/>
      <c r="G151" s="9" t="n"/>
      <c r="H151" s="9" t="n"/>
      <c r="I151" s="9" t="n"/>
      <c r="J151" s="3" t="n"/>
      <c r="K151" s="9" t="n"/>
    </row>
    <row r="152">
      <c r="A152" s="4" t="n"/>
      <c r="B152" s="9">
        <f>IF(A152="","",INT((DAY(A152)-1)/7)+1)</f>
        <v/>
      </c>
      <c r="C152" s="9" t="n"/>
      <c r="D152" s="9" t="n"/>
      <c r="E152" s="9" t="n"/>
      <c r="F152" s="9" t="n"/>
      <c r="G152" s="9" t="n"/>
      <c r="H152" s="9" t="n"/>
      <c r="I152" s="9" t="n"/>
      <c r="J152" s="3" t="n"/>
      <c r="K152" s="9" t="n"/>
    </row>
    <row r="153">
      <c r="A153" s="4" t="n"/>
      <c r="B153" s="9">
        <f>IF(A153="","",INT((DAY(A153)-1)/7)+1)</f>
        <v/>
      </c>
      <c r="C153" s="9" t="n"/>
      <c r="D153" s="9" t="n"/>
      <c r="E153" s="9" t="n"/>
      <c r="F153" s="9" t="n"/>
      <c r="G153" s="9" t="n"/>
      <c r="H153" s="9" t="n"/>
      <c r="I153" s="9" t="n"/>
      <c r="J153" s="3" t="n"/>
      <c r="K153" s="9" t="n"/>
    </row>
    <row r="154">
      <c r="A154" s="4" t="n"/>
      <c r="B154" s="9">
        <f>IF(A154="","",INT((DAY(A154)-1)/7)+1)</f>
        <v/>
      </c>
      <c r="C154" s="9" t="n"/>
      <c r="D154" s="9" t="n"/>
      <c r="E154" s="9" t="n"/>
      <c r="F154" s="9" t="n"/>
      <c r="G154" s="9" t="n"/>
      <c r="H154" s="9" t="n"/>
      <c r="I154" s="9" t="n"/>
      <c r="J154" s="3" t="n"/>
      <c r="K154" s="9" t="n"/>
    </row>
    <row r="155">
      <c r="A155" s="4" t="n"/>
      <c r="B155" s="9">
        <f>IF(A155="","",INT((DAY(A155)-1)/7)+1)</f>
        <v/>
      </c>
      <c r="C155" s="9" t="n"/>
      <c r="D155" s="9" t="n"/>
      <c r="E155" s="9" t="n"/>
      <c r="F155" s="9" t="n"/>
      <c r="G155" s="9" t="n"/>
      <c r="H155" s="9" t="n"/>
      <c r="I155" s="9" t="n"/>
      <c r="J155" s="3" t="n"/>
      <c r="K155" s="9" t="n"/>
    </row>
    <row r="156">
      <c r="A156" s="4" t="n"/>
      <c r="B156" s="9">
        <f>IF(A156="","",INT((DAY(A156)-1)/7)+1)</f>
        <v/>
      </c>
      <c r="C156" s="9" t="n"/>
      <c r="D156" s="9" t="n"/>
      <c r="E156" s="9" t="n"/>
      <c r="F156" s="9" t="n"/>
      <c r="G156" s="9" t="n"/>
      <c r="H156" s="9" t="n"/>
      <c r="I156" s="9" t="n"/>
      <c r="J156" s="3" t="n"/>
      <c r="K156" s="9" t="n"/>
    </row>
    <row r="157">
      <c r="A157" s="4" t="n"/>
      <c r="B157" s="9">
        <f>IF(A157="","",INT((DAY(A157)-1)/7)+1)</f>
        <v/>
      </c>
      <c r="C157" s="9" t="n"/>
      <c r="D157" s="9" t="n"/>
      <c r="E157" s="9" t="n"/>
      <c r="F157" s="9" t="n"/>
      <c r="G157" s="9" t="n"/>
      <c r="H157" s="9" t="n"/>
      <c r="I157" s="9" t="n"/>
      <c r="J157" s="3" t="n"/>
      <c r="K157" s="9" t="n"/>
    </row>
    <row r="158">
      <c r="A158" s="4" t="n"/>
      <c r="B158" s="9">
        <f>IF(A158="","",INT((DAY(A158)-1)/7)+1)</f>
        <v/>
      </c>
      <c r="C158" s="9" t="n"/>
      <c r="D158" s="9" t="n"/>
      <c r="E158" s="9" t="n"/>
      <c r="F158" s="9" t="n"/>
      <c r="G158" s="9" t="n"/>
      <c r="H158" s="9" t="n"/>
      <c r="I158" s="9" t="n"/>
      <c r="J158" s="3" t="n"/>
      <c r="K158" s="9" t="n"/>
    </row>
    <row r="159">
      <c r="A159" s="4" t="n"/>
      <c r="B159" s="9">
        <f>IF(A159="","",INT((DAY(A159)-1)/7)+1)</f>
        <v/>
      </c>
      <c r="C159" s="9" t="n"/>
      <c r="D159" s="9" t="n"/>
      <c r="E159" s="9" t="n"/>
      <c r="F159" s="9" t="n"/>
      <c r="G159" s="9" t="n"/>
      <c r="H159" s="9" t="n"/>
      <c r="I159" s="9" t="n"/>
      <c r="J159" s="3" t="n"/>
      <c r="K159" s="9" t="n"/>
    </row>
    <row r="160">
      <c r="A160" s="4" t="n"/>
      <c r="B160" s="9">
        <f>IF(A160="","",INT((DAY(A160)-1)/7)+1)</f>
        <v/>
      </c>
      <c r="C160" s="9" t="n"/>
      <c r="D160" s="9" t="n"/>
      <c r="E160" s="9" t="n"/>
      <c r="F160" s="9" t="n"/>
      <c r="G160" s="9" t="n"/>
      <c r="H160" s="9" t="n"/>
      <c r="I160" s="9" t="n"/>
      <c r="J160" s="3" t="n"/>
      <c r="K160" s="9" t="n"/>
    </row>
    <row r="161">
      <c r="A161" s="4" t="n"/>
      <c r="B161" s="9">
        <f>IF(A161="","",INT((DAY(A161)-1)/7)+1)</f>
        <v/>
      </c>
      <c r="C161" s="9" t="n"/>
      <c r="D161" s="9" t="n"/>
      <c r="E161" s="9" t="n"/>
      <c r="F161" s="9" t="n"/>
      <c r="G161" s="9" t="n"/>
      <c r="H161" s="9" t="n"/>
      <c r="I161" s="9" t="n"/>
      <c r="J161" s="3" t="n"/>
      <c r="K161" s="9" t="n"/>
    </row>
    <row r="162">
      <c r="A162" s="4" t="n"/>
      <c r="B162" s="9">
        <f>IF(A162="","",INT((DAY(A162)-1)/7)+1)</f>
        <v/>
      </c>
      <c r="C162" s="9" t="n"/>
      <c r="D162" s="9" t="n"/>
      <c r="E162" s="9" t="n"/>
      <c r="F162" s="9" t="n"/>
      <c r="G162" s="9" t="n"/>
      <c r="H162" s="9" t="n"/>
      <c r="I162" s="9" t="n"/>
      <c r="J162" s="3" t="n"/>
      <c r="K162" s="9" t="n"/>
    </row>
    <row r="163">
      <c r="A163" s="4" t="n"/>
      <c r="B163" s="9">
        <f>IF(A163="","",INT((DAY(A163)-1)/7)+1)</f>
        <v/>
      </c>
      <c r="C163" s="9" t="n"/>
      <c r="D163" s="9" t="n"/>
      <c r="E163" s="9" t="n"/>
      <c r="F163" s="9" t="n"/>
      <c r="G163" s="9" t="n"/>
      <c r="H163" s="9" t="n"/>
      <c r="I163" s="9" t="n"/>
      <c r="J163" s="3" t="n"/>
      <c r="K163" s="9" t="n"/>
    </row>
    <row r="164">
      <c r="A164" s="4" t="n"/>
      <c r="B164" s="9">
        <f>IF(A164="","",INT((DAY(A164)-1)/7)+1)</f>
        <v/>
      </c>
      <c r="C164" s="9" t="n"/>
      <c r="D164" s="9" t="n"/>
      <c r="E164" s="9" t="n"/>
      <c r="F164" s="9" t="n"/>
      <c r="G164" s="9" t="n"/>
      <c r="H164" s="9" t="n"/>
      <c r="I164" s="9" t="n"/>
      <c r="J164" s="3" t="n"/>
      <c r="K164" s="9" t="n"/>
    </row>
    <row r="165">
      <c r="A165" s="4" t="n"/>
      <c r="B165" s="9">
        <f>IF(A165="","",INT((DAY(A165)-1)/7)+1)</f>
        <v/>
      </c>
      <c r="C165" s="9" t="n"/>
      <c r="D165" s="9" t="n"/>
      <c r="E165" s="9" t="n"/>
      <c r="F165" s="9" t="n"/>
      <c r="G165" s="9" t="n"/>
      <c r="H165" s="9" t="n"/>
      <c r="I165" s="9" t="n"/>
      <c r="J165" s="3" t="n"/>
      <c r="K165" s="9" t="n"/>
    </row>
    <row r="166">
      <c r="A166" s="4" t="n"/>
      <c r="B166" s="9">
        <f>IF(A166="","",INT((DAY(A166)-1)/7)+1)</f>
        <v/>
      </c>
      <c r="C166" s="9" t="n"/>
      <c r="D166" s="9" t="n"/>
      <c r="E166" s="9" t="n"/>
      <c r="F166" s="9" t="n"/>
      <c r="G166" s="9" t="n"/>
      <c r="H166" s="9" t="n"/>
      <c r="I166" s="9" t="n"/>
      <c r="J166" s="3" t="n"/>
      <c r="K166" s="9" t="n"/>
    </row>
    <row r="167">
      <c r="A167" s="4" t="n"/>
      <c r="B167" s="9">
        <f>IF(A167="","",INT((DAY(A167)-1)/7)+1)</f>
        <v/>
      </c>
      <c r="C167" s="9" t="n"/>
      <c r="D167" s="9" t="n"/>
      <c r="E167" s="9" t="n"/>
      <c r="F167" s="9" t="n"/>
      <c r="G167" s="9" t="n"/>
      <c r="H167" s="9" t="n"/>
      <c r="I167" s="9" t="n"/>
      <c r="J167" s="3" t="n"/>
      <c r="K167" s="9" t="n"/>
    </row>
    <row r="168">
      <c r="A168" s="4" t="n"/>
      <c r="B168" s="9">
        <f>IF(A168="","",INT((DAY(A168)-1)/7)+1)</f>
        <v/>
      </c>
      <c r="C168" s="9" t="n"/>
      <c r="D168" s="9" t="n"/>
      <c r="E168" s="9" t="n"/>
      <c r="F168" s="9" t="n"/>
      <c r="G168" s="9" t="n"/>
      <c r="H168" s="9" t="n"/>
      <c r="I168" s="9" t="n"/>
      <c r="J168" s="3" t="n"/>
      <c r="K168" s="9" t="n"/>
    </row>
    <row r="169">
      <c r="A169" s="4" t="n"/>
      <c r="B169" s="9">
        <f>IF(A169="","",INT((DAY(A169)-1)/7)+1)</f>
        <v/>
      </c>
      <c r="C169" s="9" t="n"/>
      <c r="D169" s="9" t="n"/>
      <c r="E169" s="9" t="n"/>
      <c r="F169" s="9" t="n"/>
      <c r="G169" s="9" t="n"/>
      <c r="H169" s="9" t="n"/>
      <c r="I169" s="9" t="n"/>
      <c r="J169" s="3" t="n"/>
      <c r="K169" s="9" t="n"/>
    </row>
    <row r="170">
      <c r="A170" s="4" t="n"/>
      <c r="B170" s="9">
        <f>IF(A170="","",INT((DAY(A170)-1)/7)+1)</f>
        <v/>
      </c>
      <c r="C170" s="9" t="n"/>
      <c r="D170" s="9" t="n"/>
      <c r="E170" s="9" t="n"/>
      <c r="F170" s="9" t="n"/>
      <c r="G170" s="9" t="n"/>
      <c r="H170" s="9" t="n"/>
      <c r="I170" s="9" t="n"/>
      <c r="J170" s="3" t="n"/>
      <c r="K170" s="9" t="n"/>
    </row>
    <row r="171">
      <c r="A171" s="4" t="n"/>
      <c r="B171" s="9">
        <f>IF(A171="","",INT((DAY(A171)-1)/7)+1)</f>
        <v/>
      </c>
      <c r="C171" s="9" t="n"/>
      <c r="D171" s="9" t="n"/>
      <c r="E171" s="9" t="n"/>
      <c r="F171" s="9" t="n"/>
      <c r="G171" s="9" t="n"/>
      <c r="H171" s="9" t="n"/>
      <c r="I171" s="9" t="n"/>
      <c r="J171" s="3" t="n"/>
      <c r="K171" s="9" t="n"/>
    </row>
    <row r="172">
      <c r="A172" s="4" t="n"/>
      <c r="B172" s="9">
        <f>IF(A172="","",INT((DAY(A172)-1)/7)+1)</f>
        <v/>
      </c>
      <c r="C172" s="9" t="n"/>
      <c r="D172" s="9" t="n"/>
      <c r="E172" s="9" t="n"/>
      <c r="F172" s="9" t="n"/>
      <c r="G172" s="9" t="n"/>
      <c r="H172" s="9" t="n"/>
      <c r="I172" s="9" t="n"/>
      <c r="J172" s="3" t="n"/>
      <c r="K172" s="9" t="n"/>
    </row>
    <row r="173">
      <c r="A173" s="4" t="n"/>
      <c r="B173" s="9">
        <f>IF(A173="","",INT((DAY(A173)-1)/7)+1)</f>
        <v/>
      </c>
      <c r="C173" s="9" t="n"/>
      <c r="D173" s="9" t="n"/>
      <c r="E173" s="9" t="n"/>
      <c r="F173" s="9" t="n"/>
      <c r="G173" s="9" t="n"/>
      <c r="H173" s="9" t="n"/>
      <c r="I173" s="9" t="n"/>
      <c r="J173" s="3" t="n"/>
      <c r="K173" s="9" t="n"/>
    </row>
    <row r="174">
      <c r="A174" s="4" t="n"/>
      <c r="B174" s="9">
        <f>IF(A174="","",INT((DAY(A174)-1)/7)+1)</f>
        <v/>
      </c>
      <c r="C174" s="9" t="n"/>
      <c r="D174" s="9" t="n"/>
      <c r="E174" s="9" t="n"/>
      <c r="F174" s="9" t="n"/>
      <c r="G174" s="9" t="n"/>
      <c r="H174" s="9" t="n"/>
      <c r="I174" s="9" t="n"/>
      <c r="J174" s="3" t="n"/>
      <c r="K174" s="9" t="n"/>
    </row>
    <row r="175">
      <c r="A175" s="4" t="n"/>
      <c r="B175" s="9">
        <f>IF(A175="","",INT((DAY(A175)-1)/7)+1)</f>
        <v/>
      </c>
      <c r="C175" s="9" t="n"/>
      <c r="D175" s="9" t="n"/>
      <c r="E175" s="9" t="n"/>
      <c r="F175" s="9" t="n"/>
      <c r="G175" s="9" t="n"/>
      <c r="H175" s="9" t="n"/>
      <c r="I175" s="9" t="n"/>
      <c r="J175" s="3" t="n"/>
      <c r="K175" s="9" t="n"/>
    </row>
    <row r="176">
      <c r="A176" s="4" t="n"/>
      <c r="B176" s="9">
        <f>IF(A176="","",INT((DAY(A176)-1)/7)+1)</f>
        <v/>
      </c>
      <c r="C176" s="9" t="n"/>
      <c r="D176" s="9" t="n"/>
      <c r="E176" s="9" t="n"/>
      <c r="F176" s="9" t="n"/>
      <c r="G176" s="9" t="n"/>
      <c r="H176" s="9" t="n"/>
      <c r="I176" s="9" t="n"/>
      <c r="J176" s="3" t="n"/>
      <c r="K176" s="9" t="n"/>
    </row>
    <row r="177">
      <c r="A177" s="4" t="n"/>
      <c r="B177" s="9">
        <f>IF(A177="","",INT((DAY(A177)-1)/7)+1)</f>
        <v/>
      </c>
      <c r="C177" s="9" t="n"/>
      <c r="D177" s="9" t="n"/>
      <c r="E177" s="9" t="n"/>
      <c r="F177" s="9" t="n"/>
      <c r="G177" s="9" t="n"/>
      <c r="H177" s="9" t="n"/>
      <c r="I177" s="9" t="n"/>
      <c r="J177" s="3" t="n"/>
      <c r="K177" s="9" t="n"/>
    </row>
    <row r="178">
      <c r="A178" s="4" t="n"/>
      <c r="B178" s="9">
        <f>IF(A178="","",INT((DAY(A178)-1)/7)+1)</f>
        <v/>
      </c>
      <c r="C178" s="9" t="n"/>
      <c r="D178" s="9" t="n"/>
      <c r="E178" s="9" t="n"/>
      <c r="F178" s="9" t="n"/>
      <c r="G178" s="9" t="n"/>
      <c r="H178" s="9" t="n"/>
      <c r="I178" s="9" t="n"/>
      <c r="J178" s="3" t="n"/>
      <c r="K178" s="9" t="n"/>
    </row>
    <row r="179">
      <c r="A179" s="4" t="n"/>
      <c r="B179" s="9">
        <f>IF(A179="","",INT((DAY(A179)-1)/7)+1)</f>
        <v/>
      </c>
      <c r="C179" s="9" t="n"/>
      <c r="D179" s="9" t="n"/>
      <c r="E179" s="9" t="n"/>
      <c r="F179" s="9" t="n"/>
      <c r="G179" s="9" t="n"/>
      <c r="H179" s="9" t="n"/>
      <c r="I179" s="9" t="n"/>
      <c r="J179" s="3" t="n"/>
      <c r="K179" s="9" t="n"/>
    </row>
    <row r="180">
      <c r="A180" s="4" t="n"/>
      <c r="B180" s="9">
        <f>IF(A180="","",INT((DAY(A180)-1)/7)+1)</f>
        <v/>
      </c>
      <c r="C180" s="9" t="n"/>
      <c r="D180" s="9" t="n"/>
      <c r="E180" s="9" t="n"/>
      <c r="F180" s="9" t="n"/>
      <c r="G180" s="9" t="n"/>
      <c r="H180" s="9" t="n"/>
      <c r="I180" s="9" t="n"/>
      <c r="J180" s="3" t="n"/>
      <c r="K180" s="9" t="n"/>
    </row>
    <row r="181">
      <c r="A181" s="4" t="n"/>
      <c r="B181" s="9">
        <f>IF(A181="","",INT((DAY(A181)-1)/7)+1)</f>
        <v/>
      </c>
      <c r="C181" s="9" t="n"/>
      <c r="D181" s="9" t="n"/>
      <c r="E181" s="9" t="n"/>
      <c r="F181" s="9" t="n"/>
      <c r="G181" s="9" t="n"/>
      <c r="H181" s="9" t="n"/>
      <c r="I181" s="9" t="n"/>
      <c r="J181" s="3" t="n"/>
      <c r="K181" s="9" t="n"/>
    </row>
    <row r="182">
      <c r="A182" s="4" t="n"/>
      <c r="B182" s="9">
        <f>IF(A182="","",INT((DAY(A182)-1)/7)+1)</f>
        <v/>
      </c>
      <c r="C182" s="9" t="n"/>
      <c r="D182" s="9" t="n"/>
      <c r="E182" s="9" t="n"/>
      <c r="F182" s="9" t="n"/>
      <c r="G182" s="9" t="n"/>
      <c r="H182" s="9" t="n"/>
      <c r="I182" s="9" t="n"/>
      <c r="J182" s="3" t="n"/>
      <c r="K182" s="9" t="n"/>
    </row>
    <row r="183">
      <c r="A183" s="4" t="n"/>
      <c r="B183" s="9">
        <f>IF(A183="","",INT((DAY(A183)-1)/7)+1)</f>
        <v/>
      </c>
      <c r="C183" s="9" t="n"/>
      <c r="D183" s="9" t="n"/>
      <c r="E183" s="9" t="n"/>
      <c r="F183" s="9" t="n"/>
      <c r="G183" s="9" t="n"/>
      <c r="H183" s="9" t="n"/>
      <c r="I183" s="9" t="n"/>
      <c r="J183" s="3" t="n"/>
      <c r="K183" s="9" t="n"/>
    </row>
    <row r="184">
      <c r="A184" s="4" t="n"/>
      <c r="B184" s="9">
        <f>IF(A184="","",INT((DAY(A184)-1)/7)+1)</f>
        <v/>
      </c>
      <c r="C184" s="9" t="n"/>
      <c r="D184" s="9" t="n"/>
      <c r="E184" s="9" t="n"/>
      <c r="F184" s="9" t="n"/>
      <c r="G184" s="9" t="n"/>
      <c r="H184" s="9" t="n"/>
      <c r="I184" s="9" t="n"/>
      <c r="J184" s="3" t="n"/>
      <c r="K184" s="9" t="n"/>
    </row>
    <row r="185">
      <c r="A185" s="4" t="n"/>
      <c r="B185" s="9">
        <f>IF(A185="","",INT((DAY(A185)-1)/7)+1)</f>
        <v/>
      </c>
      <c r="C185" s="9" t="n"/>
      <c r="D185" s="9" t="n"/>
      <c r="E185" s="9" t="n"/>
      <c r="F185" s="9" t="n"/>
      <c r="G185" s="9" t="n"/>
      <c r="H185" s="9" t="n"/>
      <c r="I185" s="9" t="n"/>
      <c r="J185" s="3" t="n"/>
      <c r="K185" s="9" t="n"/>
    </row>
    <row r="186">
      <c r="A186" s="4" t="n"/>
      <c r="B186" s="9">
        <f>IF(A186="","",INT((DAY(A186)-1)/7)+1)</f>
        <v/>
      </c>
      <c r="C186" s="9" t="n"/>
      <c r="D186" s="9" t="n"/>
      <c r="E186" s="9" t="n"/>
      <c r="F186" s="9" t="n"/>
      <c r="G186" s="9" t="n"/>
      <c r="H186" s="9" t="n"/>
      <c r="I186" s="9" t="n"/>
      <c r="J186" s="3" t="n"/>
      <c r="K186" s="9" t="n"/>
    </row>
    <row r="187">
      <c r="A187" s="4" t="n"/>
      <c r="B187" s="9">
        <f>IF(A187="","",INT((DAY(A187)-1)/7)+1)</f>
        <v/>
      </c>
      <c r="C187" s="9" t="n"/>
      <c r="D187" s="9" t="n"/>
      <c r="E187" s="9" t="n"/>
      <c r="F187" s="9" t="n"/>
      <c r="G187" s="9" t="n"/>
      <c r="H187" s="9" t="n"/>
      <c r="I187" s="9" t="n"/>
      <c r="J187" s="3" t="n"/>
      <c r="K187" s="9" t="n"/>
    </row>
    <row r="188">
      <c r="A188" s="4" t="n"/>
      <c r="B188" s="9">
        <f>IF(A188="","",INT((DAY(A188)-1)/7)+1)</f>
        <v/>
      </c>
      <c r="C188" s="9" t="n"/>
      <c r="D188" s="9" t="n"/>
      <c r="E188" s="9" t="n"/>
      <c r="F188" s="9" t="n"/>
      <c r="G188" s="9" t="n"/>
      <c r="H188" s="9" t="n"/>
      <c r="I188" s="9" t="n"/>
      <c r="J188" s="3" t="n"/>
      <c r="K188" s="9" t="n"/>
    </row>
    <row r="189">
      <c r="A189" s="4" t="n"/>
      <c r="B189" s="9">
        <f>IF(A189="","",INT((DAY(A189)-1)/7)+1)</f>
        <v/>
      </c>
      <c r="C189" s="9" t="n"/>
      <c r="D189" s="9" t="n"/>
      <c r="E189" s="9" t="n"/>
      <c r="F189" s="9" t="n"/>
      <c r="G189" s="9" t="n"/>
      <c r="H189" s="9" t="n"/>
      <c r="I189" s="9" t="n"/>
      <c r="J189" s="3" t="n"/>
      <c r="K189" s="9" t="n"/>
    </row>
    <row r="190">
      <c r="A190" s="4" t="n"/>
      <c r="B190" s="9">
        <f>IF(A190="","",INT((DAY(A190)-1)/7)+1)</f>
        <v/>
      </c>
      <c r="C190" s="9" t="n"/>
      <c r="D190" s="9" t="n"/>
      <c r="E190" s="9" t="n"/>
      <c r="F190" s="9" t="n"/>
      <c r="G190" s="9" t="n"/>
      <c r="H190" s="9" t="n"/>
      <c r="I190" s="9" t="n"/>
      <c r="J190" s="3" t="n"/>
      <c r="K190" s="9" t="n"/>
    </row>
    <row r="191">
      <c r="A191" s="4" t="n"/>
      <c r="B191" s="9">
        <f>IF(A191="","",INT((DAY(A191)-1)/7)+1)</f>
        <v/>
      </c>
      <c r="C191" s="9" t="n"/>
      <c r="D191" s="9" t="n"/>
      <c r="E191" s="9" t="n"/>
      <c r="F191" s="9" t="n"/>
      <c r="G191" s="9" t="n"/>
      <c r="H191" s="9" t="n"/>
      <c r="I191" s="9" t="n"/>
      <c r="J191" s="3" t="n"/>
      <c r="K191" s="9" t="n"/>
    </row>
    <row r="192">
      <c r="A192" s="4" t="n"/>
      <c r="B192" s="9">
        <f>IF(A192="","",INT((DAY(A192)-1)/7)+1)</f>
        <v/>
      </c>
      <c r="C192" s="9" t="n"/>
      <c r="D192" s="9" t="n"/>
      <c r="E192" s="9" t="n"/>
      <c r="F192" s="9" t="n"/>
      <c r="G192" s="9" t="n"/>
      <c r="H192" s="9" t="n"/>
      <c r="I192" s="9" t="n"/>
      <c r="J192" s="3" t="n"/>
      <c r="K192" s="9" t="n"/>
    </row>
    <row r="193">
      <c r="A193" s="4" t="n"/>
      <c r="B193" s="9">
        <f>IF(A193="","",INT((DAY(A193)-1)/7)+1)</f>
        <v/>
      </c>
      <c r="C193" s="9" t="n"/>
      <c r="D193" s="9" t="n"/>
      <c r="E193" s="9" t="n"/>
      <c r="F193" s="9" t="n"/>
      <c r="G193" s="9" t="n"/>
      <c r="H193" s="9" t="n"/>
      <c r="I193" s="9" t="n"/>
      <c r="J193" s="3" t="n"/>
      <c r="K193" s="9" t="n"/>
    </row>
    <row r="194">
      <c r="A194" s="4" t="n"/>
      <c r="B194" s="9">
        <f>IF(A194="","",INT((DAY(A194)-1)/7)+1)</f>
        <v/>
      </c>
      <c r="C194" s="9" t="n"/>
      <c r="D194" s="9" t="n"/>
      <c r="E194" s="9" t="n"/>
      <c r="F194" s="9" t="n"/>
      <c r="G194" s="9" t="n"/>
      <c r="H194" s="9" t="n"/>
      <c r="I194" s="9" t="n"/>
      <c r="J194" s="3" t="n"/>
      <c r="K194" s="9" t="n"/>
    </row>
    <row r="195">
      <c r="A195" s="4" t="n"/>
      <c r="B195" s="9">
        <f>IF(A195="","",INT((DAY(A195)-1)/7)+1)</f>
        <v/>
      </c>
      <c r="C195" s="9" t="n"/>
      <c r="D195" s="9" t="n"/>
      <c r="E195" s="9" t="n"/>
      <c r="F195" s="9" t="n"/>
      <c r="G195" s="9" t="n"/>
      <c r="H195" s="9" t="n"/>
      <c r="I195" s="9" t="n"/>
      <c r="J195" s="3" t="n"/>
      <c r="K195" s="9" t="n"/>
    </row>
    <row r="196">
      <c r="A196" s="4" t="n"/>
      <c r="B196" s="9">
        <f>IF(A196="","",INT((DAY(A196)-1)/7)+1)</f>
        <v/>
      </c>
      <c r="C196" s="9" t="n"/>
      <c r="D196" s="9" t="n"/>
      <c r="E196" s="9" t="n"/>
      <c r="F196" s="9" t="n"/>
      <c r="G196" s="9" t="n"/>
      <c r="H196" s="9" t="n"/>
      <c r="I196" s="9" t="n"/>
      <c r="J196" s="3" t="n"/>
      <c r="K196" s="9" t="n"/>
    </row>
    <row r="197">
      <c r="A197" s="4" t="n"/>
      <c r="B197" s="9">
        <f>IF(A197="","",INT((DAY(A197)-1)/7)+1)</f>
        <v/>
      </c>
      <c r="C197" s="9" t="n"/>
      <c r="D197" s="9" t="n"/>
      <c r="E197" s="9" t="n"/>
      <c r="F197" s="9" t="n"/>
      <c r="G197" s="9" t="n"/>
      <c r="H197" s="9" t="n"/>
      <c r="I197" s="9" t="n"/>
      <c r="J197" s="3" t="n"/>
      <c r="K197" s="9" t="n"/>
    </row>
    <row r="198">
      <c r="A198" s="4" t="n"/>
      <c r="B198" s="9">
        <f>IF(A198="","",INT((DAY(A198)-1)/7)+1)</f>
        <v/>
      </c>
      <c r="C198" s="9" t="n"/>
      <c r="D198" s="9" t="n"/>
      <c r="E198" s="9" t="n"/>
      <c r="F198" s="9" t="n"/>
      <c r="G198" s="9" t="n"/>
      <c r="H198" s="9" t="n"/>
      <c r="I198" s="9" t="n"/>
      <c r="J198" s="3" t="n"/>
      <c r="K198" s="9" t="n"/>
    </row>
    <row r="199">
      <c r="A199" s="4" t="n"/>
      <c r="B199" s="9">
        <f>IF(A199="","",INT((DAY(A199)-1)/7)+1)</f>
        <v/>
      </c>
      <c r="C199" s="9" t="n"/>
      <c r="D199" s="9" t="n"/>
      <c r="E199" s="9" t="n"/>
      <c r="F199" s="9" t="n"/>
      <c r="G199" s="9" t="n"/>
      <c r="H199" s="9" t="n"/>
      <c r="I199" s="9" t="n"/>
      <c r="J199" s="3" t="n"/>
      <c r="K199" s="9" t="n"/>
    </row>
    <row r="200">
      <c r="A200" s="4" t="n"/>
      <c r="B200" s="9">
        <f>IF(A200="","",INT((DAY(A200)-1)/7)+1)</f>
        <v/>
      </c>
      <c r="C200" s="9" t="n"/>
      <c r="D200" s="9" t="n"/>
      <c r="E200" s="9" t="n"/>
      <c r="F200" s="9" t="n"/>
      <c r="G200" s="9" t="n"/>
      <c r="H200" s="9" t="n"/>
      <c r="I200" s="9" t="n"/>
      <c r="J200" s="3" t="n"/>
      <c r="K200" s="9" t="n"/>
    </row>
    <row r="201">
      <c r="A201" s="4" t="n"/>
      <c r="B201" s="9">
        <f>IF(A201="","",INT((DAY(A201)-1)/7)+1)</f>
        <v/>
      </c>
      <c r="C201" s="9" t="n"/>
      <c r="D201" s="9" t="n"/>
      <c r="E201" s="9" t="n"/>
      <c r="F201" s="9" t="n"/>
      <c r="G201" s="9" t="n"/>
      <c r="H201" s="9" t="n"/>
      <c r="I201" s="9" t="n"/>
      <c r="J201" s="3" t="n"/>
      <c r="K201" s="9" t="n"/>
    </row>
    <row r="202">
      <c r="A202" s="4" t="n"/>
      <c r="B202" s="9">
        <f>IF(A202="","",INT((DAY(A202)-1)/7)+1)</f>
        <v/>
      </c>
      <c r="C202" s="9" t="n"/>
      <c r="D202" s="9" t="n"/>
      <c r="E202" s="9" t="n"/>
      <c r="F202" s="9" t="n"/>
      <c r="G202" s="9" t="n"/>
      <c r="H202" s="9" t="n"/>
      <c r="I202" s="9" t="n"/>
      <c r="J202" s="3" t="n"/>
      <c r="K202" s="9" t="n"/>
    </row>
    <row r="203">
      <c r="A203" s="4" t="n"/>
      <c r="B203" s="9">
        <f>IF(A203="","",INT((DAY(A203)-1)/7)+1)</f>
        <v/>
      </c>
      <c r="C203" s="9" t="n"/>
      <c r="D203" s="9" t="n"/>
      <c r="E203" s="9" t="n"/>
      <c r="F203" s="9" t="n"/>
      <c r="G203" s="9" t="n"/>
      <c r="H203" s="9" t="n"/>
      <c r="I203" s="9" t="n"/>
      <c r="J203" s="3" t="n"/>
      <c r="K203" s="9" t="n"/>
    </row>
    <row r="204">
      <c r="A204" s="4" t="n"/>
      <c r="B204" s="9">
        <f>IF(A204="","",INT((DAY(A204)-1)/7)+1)</f>
        <v/>
      </c>
      <c r="C204" s="9" t="n"/>
      <c r="D204" s="9" t="n"/>
      <c r="E204" s="9" t="n"/>
      <c r="F204" s="9" t="n"/>
      <c r="G204" s="9" t="n"/>
      <c r="H204" s="9" t="n"/>
      <c r="I204" s="9" t="n"/>
      <c r="J204" s="3" t="n"/>
      <c r="K204" s="9" t="n"/>
    </row>
    <row r="205">
      <c r="A205" s="4" t="n"/>
      <c r="B205" s="9">
        <f>IF(A205="","",INT((DAY(A205)-1)/7)+1)</f>
        <v/>
      </c>
      <c r="C205" s="9" t="n"/>
      <c r="D205" s="9" t="n"/>
      <c r="E205" s="9" t="n"/>
      <c r="F205" s="9" t="n"/>
      <c r="G205" s="9" t="n"/>
      <c r="H205" s="9" t="n"/>
      <c r="I205" s="9" t="n"/>
      <c r="J205" s="3" t="n"/>
      <c r="K205" s="9" t="n"/>
    </row>
    <row r="206">
      <c r="A206" s="4" t="n"/>
      <c r="B206" s="9">
        <f>IF(A206="","",INT((DAY(A206)-1)/7)+1)</f>
        <v/>
      </c>
      <c r="C206" s="9" t="n"/>
      <c r="D206" s="9" t="n"/>
      <c r="E206" s="9" t="n"/>
      <c r="F206" s="9" t="n"/>
      <c r="G206" s="9" t="n"/>
      <c r="H206" s="9" t="n"/>
      <c r="I206" s="9" t="n"/>
      <c r="J206" s="3" t="n"/>
      <c r="K206" s="9" t="n"/>
    </row>
    <row r="207">
      <c r="A207" s="4" t="n"/>
      <c r="B207" s="9">
        <f>IF(A207="","",INT((DAY(A207)-1)/7)+1)</f>
        <v/>
      </c>
      <c r="C207" s="9" t="n"/>
      <c r="D207" s="9" t="n"/>
      <c r="E207" s="9" t="n"/>
      <c r="F207" s="9" t="n"/>
      <c r="G207" s="9" t="n"/>
      <c r="H207" s="9" t="n"/>
      <c r="I207" s="9" t="n"/>
      <c r="J207" s="3" t="n"/>
      <c r="K207" s="9" t="n"/>
    </row>
    <row r="208">
      <c r="A208" s="4" t="n"/>
      <c r="B208" s="9">
        <f>IF(A208="","",INT((DAY(A208)-1)/7)+1)</f>
        <v/>
      </c>
      <c r="C208" s="9" t="n"/>
      <c r="D208" s="9" t="n"/>
      <c r="E208" s="9" t="n"/>
      <c r="F208" s="9" t="n"/>
      <c r="G208" s="9" t="n"/>
      <c r="H208" s="9" t="n"/>
      <c r="I208" s="9" t="n"/>
      <c r="J208" s="3" t="n"/>
      <c r="K208" s="9" t="n"/>
    </row>
    <row r="209">
      <c r="A209" s="4" t="n"/>
      <c r="B209" s="9">
        <f>IF(A209="","",INT((DAY(A209)-1)/7)+1)</f>
        <v/>
      </c>
      <c r="C209" s="9" t="n"/>
      <c r="D209" s="9" t="n"/>
      <c r="E209" s="9" t="n"/>
      <c r="F209" s="9" t="n"/>
      <c r="G209" s="9" t="n"/>
      <c r="H209" s="9" t="n"/>
      <c r="I209" s="9" t="n"/>
      <c r="J209" s="3" t="n"/>
      <c r="K209" s="9" t="n"/>
    </row>
    <row r="210">
      <c r="A210" s="4" t="n"/>
      <c r="B210" s="9">
        <f>IF(A210="","",INT((DAY(A210)-1)/7)+1)</f>
        <v/>
      </c>
      <c r="C210" s="9" t="n"/>
      <c r="D210" s="9" t="n"/>
      <c r="E210" s="9" t="n"/>
      <c r="F210" s="9" t="n"/>
      <c r="G210" s="9" t="n"/>
      <c r="H210" s="9" t="n"/>
      <c r="I210" s="9" t="n"/>
      <c r="J210" s="3" t="n"/>
      <c r="K210" s="9" t="n"/>
    </row>
    <row r="211">
      <c r="A211" s="4" t="n"/>
      <c r="B211" s="9">
        <f>IF(A211="","",INT((DAY(A211)-1)/7)+1)</f>
        <v/>
      </c>
      <c r="C211" s="9" t="n"/>
      <c r="D211" s="9" t="n"/>
      <c r="E211" s="9" t="n"/>
      <c r="F211" s="9" t="n"/>
      <c r="G211" s="9" t="n"/>
      <c r="H211" s="9" t="n"/>
      <c r="I211" s="9" t="n"/>
      <c r="J211" s="3" t="n"/>
      <c r="K211" s="9" t="n"/>
    </row>
    <row r="212">
      <c r="A212" s="4" t="n"/>
      <c r="B212" s="9">
        <f>IF(A212="","",INT((DAY(A212)-1)/7)+1)</f>
        <v/>
      </c>
      <c r="C212" s="9" t="n"/>
      <c r="D212" s="9" t="n"/>
      <c r="E212" s="9" t="n"/>
      <c r="F212" s="9" t="n"/>
      <c r="G212" s="9" t="n"/>
      <c r="H212" s="9" t="n"/>
      <c r="I212" s="9" t="n"/>
      <c r="J212" s="3" t="n"/>
      <c r="K212" s="9" t="n"/>
    </row>
    <row r="213">
      <c r="A213" s="4" t="n"/>
      <c r="B213" s="9">
        <f>IF(A213="","",INT((DAY(A213)-1)/7)+1)</f>
        <v/>
      </c>
      <c r="C213" s="9" t="n"/>
      <c r="D213" s="9" t="n"/>
      <c r="E213" s="9" t="n"/>
      <c r="F213" s="9" t="n"/>
      <c r="G213" s="9" t="n"/>
      <c r="H213" s="9" t="n"/>
      <c r="I213" s="9" t="n"/>
      <c r="J213" s="3" t="n"/>
      <c r="K213" s="9" t="n"/>
    </row>
    <row r="214">
      <c r="A214" s="4" t="n"/>
      <c r="B214" s="9">
        <f>IF(A214="","",INT((DAY(A214)-1)/7)+1)</f>
        <v/>
      </c>
      <c r="C214" s="9" t="n"/>
      <c r="D214" s="9" t="n"/>
      <c r="E214" s="9" t="n"/>
      <c r="F214" s="9" t="n"/>
      <c r="G214" s="9" t="n"/>
      <c r="H214" s="9" t="n"/>
      <c r="I214" s="9" t="n"/>
      <c r="J214" s="3" t="n"/>
      <c r="K214" s="9" t="n"/>
    </row>
    <row r="215">
      <c r="A215" s="4" t="n"/>
      <c r="B215" s="9">
        <f>IF(A215="","",INT((DAY(A215)-1)/7)+1)</f>
        <v/>
      </c>
      <c r="C215" s="9" t="n"/>
      <c r="D215" s="9" t="n"/>
      <c r="E215" s="9" t="n"/>
      <c r="F215" s="9" t="n"/>
      <c r="G215" s="9" t="n"/>
      <c r="H215" s="9" t="n"/>
      <c r="I215" s="9" t="n"/>
      <c r="J215" s="3" t="n"/>
      <c r="K215" s="9" t="n"/>
    </row>
    <row r="216">
      <c r="A216" s="4" t="n"/>
      <c r="B216" s="9">
        <f>IF(A216="","",INT((DAY(A216)-1)/7)+1)</f>
        <v/>
      </c>
      <c r="C216" s="9" t="n"/>
      <c r="D216" s="9" t="n"/>
      <c r="E216" s="9" t="n"/>
      <c r="F216" s="9" t="n"/>
      <c r="G216" s="9" t="n"/>
      <c r="H216" s="9" t="n"/>
      <c r="I216" s="9" t="n"/>
      <c r="J216" s="3" t="n"/>
      <c r="K216" s="9" t="n"/>
    </row>
    <row r="217">
      <c r="A217" s="4" t="n"/>
      <c r="B217" s="9">
        <f>IF(A217="","",INT((DAY(A217)-1)/7)+1)</f>
        <v/>
      </c>
      <c r="C217" s="9" t="n"/>
      <c r="D217" s="9" t="n"/>
      <c r="E217" s="9" t="n"/>
      <c r="F217" s="9" t="n"/>
      <c r="G217" s="9" t="n"/>
      <c r="H217" s="9" t="n"/>
      <c r="I217" s="9" t="n"/>
      <c r="J217" s="3" t="n"/>
      <c r="K217" s="9" t="n"/>
    </row>
    <row r="218">
      <c r="A218" s="4" t="n"/>
      <c r="B218" s="9">
        <f>IF(A218="","",INT((DAY(A218)-1)/7)+1)</f>
        <v/>
      </c>
      <c r="C218" s="9" t="n"/>
      <c r="D218" s="9" t="n"/>
      <c r="E218" s="9" t="n"/>
      <c r="F218" s="9" t="n"/>
      <c r="G218" s="9" t="n"/>
      <c r="H218" s="9" t="n"/>
      <c r="I218" s="9" t="n"/>
      <c r="J218" s="3" t="n"/>
      <c r="K218" s="9" t="n"/>
    </row>
    <row r="219">
      <c r="A219" s="4" t="n"/>
      <c r="B219" s="9">
        <f>IF(A219="","",INT((DAY(A219)-1)/7)+1)</f>
        <v/>
      </c>
      <c r="C219" s="9" t="n"/>
      <c r="D219" s="9" t="n"/>
      <c r="E219" s="9" t="n"/>
      <c r="F219" s="9" t="n"/>
      <c r="G219" s="9" t="n"/>
      <c r="H219" s="9" t="n"/>
      <c r="I219" s="9" t="n"/>
      <c r="J219" s="3" t="n"/>
      <c r="K219" s="9" t="n"/>
    </row>
    <row r="220">
      <c r="A220" s="4" t="n"/>
      <c r="B220" s="9">
        <f>IF(A220="","",INT((DAY(A220)-1)/7)+1)</f>
        <v/>
      </c>
      <c r="C220" s="9" t="n"/>
      <c r="D220" s="9" t="n"/>
      <c r="E220" s="9" t="n"/>
      <c r="F220" s="9" t="n"/>
      <c r="G220" s="9" t="n"/>
      <c r="H220" s="9" t="n"/>
      <c r="I220" s="9" t="n"/>
      <c r="J220" s="3" t="n"/>
      <c r="K220" s="9" t="n"/>
    </row>
    <row r="221">
      <c r="A221" s="4" t="n"/>
      <c r="B221" s="9">
        <f>IF(A221="","",INT((DAY(A221)-1)/7)+1)</f>
        <v/>
      </c>
      <c r="C221" s="9" t="n"/>
      <c r="D221" s="9" t="n"/>
      <c r="E221" s="9" t="n"/>
      <c r="F221" s="9" t="n"/>
      <c r="G221" s="9" t="n"/>
      <c r="H221" s="9" t="n"/>
      <c r="I221" s="9" t="n"/>
      <c r="J221" s="3" t="n"/>
      <c r="K221" s="9" t="n"/>
    </row>
    <row r="222">
      <c r="A222" s="4" t="n"/>
      <c r="B222" s="9">
        <f>IF(A222="","",INT((DAY(A222)-1)/7)+1)</f>
        <v/>
      </c>
      <c r="C222" s="9" t="n"/>
      <c r="D222" s="9" t="n"/>
      <c r="E222" s="9" t="n"/>
      <c r="F222" s="9" t="n"/>
      <c r="G222" s="9" t="n"/>
      <c r="H222" s="9" t="n"/>
      <c r="I222" s="9" t="n"/>
      <c r="J222" s="3" t="n"/>
      <c r="K222" s="9" t="n"/>
    </row>
    <row r="223">
      <c r="A223" s="4" t="n"/>
      <c r="B223" s="9">
        <f>IF(A223="","",INT((DAY(A223)-1)/7)+1)</f>
        <v/>
      </c>
      <c r="C223" s="9" t="n"/>
      <c r="D223" s="9" t="n"/>
      <c r="E223" s="9" t="n"/>
      <c r="F223" s="9" t="n"/>
      <c r="G223" s="9" t="n"/>
      <c r="H223" s="9" t="n"/>
      <c r="I223" s="9" t="n"/>
      <c r="J223" s="3" t="n"/>
      <c r="K223" s="9" t="n"/>
    </row>
    <row r="224">
      <c r="A224" s="4" t="n"/>
      <c r="B224" s="9">
        <f>IF(A224="","",INT((DAY(A224)-1)/7)+1)</f>
        <v/>
      </c>
      <c r="C224" s="9" t="n"/>
      <c r="D224" s="9" t="n"/>
      <c r="E224" s="9" t="n"/>
      <c r="F224" s="9" t="n"/>
      <c r="G224" s="9" t="n"/>
      <c r="H224" s="9" t="n"/>
      <c r="I224" s="9" t="n"/>
      <c r="J224" s="3" t="n"/>
      <c r="K224" s="9" t="n"/>
    </row>
    <row r="225">
      <c r="A225" s="4" t="n"/>
      <c r="B225" s="9">
        <f>IF(A225="","",INT((DAY(A225)-1)/7)+1)</f>
        <v/>
      </c>
      <c r="C225" s="9" t="n"/>
      <c r="D225" s="9" t="n"/>
      <c r="E225" s="9" t="n"/>
      <c r="F225" s="9" t="n"/>
      <c r="G225" s="9" t="n"/>
      <c r="H225" s="9" t="n"/>
      <c r="I225" s="9" t="n"/>
      <c r="J225" s="3" t="n"/>
      <c r="K225" s="9" t="n"/>
    </row>
    <row r="226">
      <c r="A226" s="4" t="n"/>
      <c r="B226" s="9">
        <f>IF(A226="","",INT((DAY(A226)-1)/7)+1)</f>
        <v/>
      </c>
      <c r="C226" s="9" t="n"/>
      <c r="D226" s="9" t="n"/>
      <c r="E226" s="9" t="n"/>
      <c r="F226" s="9" t="n"/>
      <c r="G226" s="9" t="n"/>
      <c r="H226" s="9" t="n"/>
      <c r="I226" s="9" t="n"/>
      <c r="J226" s="3" t="n"/>
      <c r="K226" s="9" t="n"/>
    </row>
    <row r="227">
      <c r="A227" s="4" t="n"/>
      <c r="B227" s="9">
        <f>IF(A227="","",INT((DAY(A227)-1)/7)+1)</f>
        <v/>
      </c>
      <c r="C227" s="9" t="n"/>
      <c r="D227" s="9" t="n"/>
      <c r="E227" s="9" t="n"/>
      <c r="F227" s="9" t="n"/>
      <c r="G227" s="9" t="n"/>
      <c r="H227" s="9" t="n"/>
      <c r="I227" s="9" t="n"/>
      <c r="J227" s="3" t="n"/>
      <c r="K227" s="9" t="n"/>
    </row>
    <row r="228">
      <c r="A228" s="4" t="n"/>
      <c r="B228" s="9">
        <f>IF(A228="","",INT((DAY(A228)-1)/7)+1)</f>
        <v/>
      </c>
      <c r="C228" s="9" t="n"/>
      <c r="D228" s="9" t="n"/>
      <c r="E228" s="9" t="n"/>
      <c r="F228" s="9" t="n"/>
      <c r="G228" s="9" t="n"/>
      <c r="H228" s="9" t="n"/>
      <c r="I228" s="9" t="n"/>
      <c r="J228" s="3" t="n"/>
      <c r="K228" s="9" t="n"/>
    </row>
    <row r="229">
      <c r="A229" s="4" t="n"/>
      <c r="B229" s="9">
        <f>IF(A229="","",INT((DAY(A229)-1)/7)+1)</f>
        <v/>
      </c>
      <c r="C229" s="9" t="n"/>
      <c r="D229" s="9" t="n"/>
      <c r="E229" s="9" t="n"/>
      <c r="F229" s="9" t="n"/>
      <c r="G229" s="9" t="n"/>
      <c r="H229" s="9" t="n"/>
      <c r="I229" s="9" t="n"/>
      <c r="J229" s="3" t="n"/>
      <c r="K229" s="9" t="n"/>
    </row>
    <row r="230">
      <c r="A230" s="4" t="n"/>
      <c r="B230" s="9">
        <f>IF(A230="","",INT((DAY(A230)-1)/7)+1)</f>
        <v/>
      </c>
      <c r="C230" s="9" t="n"/>
      <c r="D230" s="9" t="n"/>
      <c r="E230" s="9" t="n"/>
      <c r="F230" s="9" t="n"/>
      <c r="G230" s="9" t="n"/>
      <c r="H230" s="9" t="n"/>
      <c r="I230" s="9" t="n"/>
      <c r="J230" s="3" t="n"/>
      <c r="K230" s="9" t="n"/>
    </row>
    <row r="231">
      <c r="A231" s="4" t="n"/>
      <c r="B231" s="9">
        <f>IF(A231="","",INT((DAY(A231)-1)/7)+1)</f>
        <v/>
      </c>
      <c r="C231" s="9" t="n"/>
      <c r="D231" s="9" t="n"/>
      <c r="E231" s="9" t="n"/>
      <c r="F231" s="9" t="n"/>
      <c r="G231" s="9" t="n"/>
      <c r="H231" s="9" t="n"/>
      <c r="I231" s="9" t="n"/>
      <c r="J231" s="3" t="n"/>
      <c r="K231" s="9" t="n"/>
    </row>
    <row r="232">
      <c r="A232" s="4" t="n"/>
      <c r="B232" s="9">
        <f>IF(A232="","",INT((DAY(A232)-1)/7)+1)</f>
        <v/>
      </c>
      <c r="C232" s="9" t="n"/>
      <c r="D232" s="9" t="n"/>
      <c r="E232" s="9" t="n"/>
      <c r="F232" s="9" t="n"/>
      <c r="G232" s="9" t="n"/>
      <c r="H232" s="9" t="n"/>
      <c r="I232" s="9" t="n"/>
      <c r="J232" s="3" t="n"/>
      <c r="K232" s="9" t="n"/>
    </row>
    <row r="233">
      <c r="A233" s="4" t="n"/>
      <c r="B233" s="9">
        <f>IF(A233="","",INT((DAY(A233)-1)/7)+1)</f>
        <v/>
      </c>
      <c r="C233" s="9" t="n"/>
      <c r="D233" s="9" t="n"/>
      <c r="E233" s="9" t="n"/>
      <c r="F233" s="9" t="n"/>
      <c r="G233" s="9" t="n"/>
      <c r="H233" s="9" t="n"/>
      <c r="I233" s="9" t="n"/>
      <c r="J233" s="3" t="n"/>
      <c r="K233" s="9" t="n"/>
    </row>
    <row r="234">
      <c r="A234" s="4" t="n"/>
      <c r="B234" s="9">
        <f>IF(A234="","",INT((DAY(A234)-1)/7)+1)</f>
        <v/>
      </c>
      <c r="C234" s="9" t="n"/>
      <c r="D234" s="9" t="n"/>
      <c r="E234" s="9" t="n"/>
      <c r="F234" s="9" t="n"/>
      <c r="G234" s="9" t="n"/>
      <c r="H234" s="9" t="n"/>
      <c r="I234" s="9" t="n"/>
      <c r="J234" s="3" t="n"/>
      <c r="K234" s="9" t="n"/>
    </row>
    <row r="235">
      <c r="A235" s="4" t="n"/>
      <c r="B235" s="9">
        <f>IF(A235="","",INT((DAY(A235)-1)/7)+1)</f>
        <v/>
      </c>
      <c r="C235" s="9" t="n"/>
      <c r="D235" s="9" t="n"/>
      <c r="E235" s="9" t="n"/>
      <c r="F235" s="9" t="n"/>
      <c r="G235" s="9" t="n"/>
      <c r="H235" s="9" t="n"/>
      <c r="I235" s="9" t="n"/>
      <c r="J235" s="3" t="n"/>
      <c r="K235" s="9" t="n"/>
    </row>
    <row r="236">
      <c r="A236" s="4" t="n"/>
      <c r="B236" s="9">
        <f>IF(A236="","",INT((DAY(A236)-1)/7)+1)</f>
        <v/>
      </c>
      <c r="C236" s="9" t="n"/>
      <c r="D236" s="9" t="n"/>
      <c r="E236" s="9" t="n"/>
      <c r="F236" s="9" t="n"/>
      <c r="G236" s="9" t="n"/>
      <c r="H236" s="9" t="n"/>
      <c r="I236" s="9" t="n"/>
      <c r="J236" s="3" t="n"/>
      <c r="K236" s="9" t="n"/>
    </row>
    <row r="237">
      <c r="A237" s="4" t="n"/>
      <c r="B237" s="9">
        <f>IF(A237="","",INT((DAY(A237)-1)/7)+1)</f>
        <v/>
      </c>
      <c r="C237" s="9" t="n"/>
      <c r="D237" s="9" t="n"/>
      <c r="E237" s="9" t="n"/>
      <c r="F237" s="9" t="n"/>
      <c r="G237" s="9" t="n"/>
      <c r="H237" s="9" t="n"/>
      <c r="I237" s="9" t="n"/>
      <c r="J237" s="3" t="n"/>
      <c r="K237" s="9" t="n"/>
    </row>
    <row r="238">
      <c r="A238" s="4" t="n"/>
      <c r="B238" s="9">
        <f>IF(A238="","",INT((DAY(A238)-1)/7)+1)</f>
        <v/>
      </c>
      <c r="C238" s="9" t="n"/>
      <c r="D238" s="9" t="n"/>
      <c r="E238" s="9" t="n"/>
      <c r="F238" s="9" t="n"/>
      <c r="G238" s="9" t="n"/>
      <c r="H238" s="9" t="n"/>
      <c r="I238" s="9" t="n"/>
      <c r="J238" s="3" t="n"/>
      <c r="K238" s="9" t="n"/>
    </row>
    <row r="239">
      <c r="A239" s="4" t="n"/>
      <c r="B239" s="9">
        <f>IF(A239="","",INT((DAY(A239)-1)/7)+1)</f>
        <v/>
      </c>
      <c r="C239" s="9" t="n"/>
      <c r="D239" s="9" t="n"/>
      <c r="E239" s="9" t="n"/>
      <c r="F239" s="9" t="n"/>
      <c r="G239" s="9" t="n"/>
      <c r="H239" s="9" t="n"/>
      <c r="I239" s="9" t="n"/>
      <c r="J239" s="3" t="n"/>
      <c r="K239" s="9" t="n"/>
    </row>
    <row r="240">
      <c r="A240" s="4" t="n"/>
      <c r="B240" s="9">
        <f>IF(A240="","",INT((DAY(A240)-1)/7)+1)</f>
        <v/>
      </c>
      <c r="C240" s="9" t="n"/>
      <c r="D240" s="9" t="n"/>
      <c r="E240" s="9" t="n"/>
      <c r="F240" s="9" t="n"/>
      <c r="G240" s="9" t="n"/>
      <c r="H240" s="9" t="n"/>
      <c r="I240" s="9" t="n"/>
      <c r="J240" s="3" t="n"/>
      <c r="K240" s="9" t="n"/>
    </row>
    <row r="241">
      <c r="A241" s="4" t="n"/>
      <c r="B241" s="9">
        <f>IF(A241="","",INT((DAY(A241)-1)/7)+1)</f>
        <v/>
      </c>
      <c r="C241" s="9" t="n"/>
      <c r="D241" s="9" t="n"/>
      <c r="E241" s="9" t="n"/>
      <c r="F241" s="9" t="n"/>
      <c r="G241" s="9" t="n"/>
      <c r="H241" s="9" t="n"/>
      <c r="I241" s="9" t="n"/>
      <c r="J241" s="3" t="n"/>
      <c r="K241" s="9" t="n"/>
    </row>
    <row r="242">
      <c r="A242" s="4" t="n"/>
      <c r="B242" s="9">
        <f>IF(A242="","",INT((DAY(A242)-1)/7)+1)</f>
        <v/>
      </c>
      <c r="C242" s="9" t="n"/>
      <c r="D242" s="9" t="n"/>
      <c r="E242" s="9" t="n"/>
      <c r="F242" s="9" t="n"/>
      <c r="G242" s="9" t="n"/>
      <c r="H242" s="9" t="n"/>
      <c r="I242" s="9" t="n"/>
      <c r="J242" s="3" t="n"/>
      <c r="K242" s="9" t="n"/>
    </row>
    <row r="243">
      <c r="A243" s="4" t="n"/>
      <c r="B243" s="9">
        <f>IF(A243="","",INT((DAY(A243)-1)/7)+1)</f>
        <v/>
      </c>
      <c r="C243" s="9" t="n"/>
      <c r="D243" s="9" t="n"/>
      <c r="E243" s="9" t="n"/>
      <c r="F243" s="9" t="n"/>
      <c r="G243" s="9" t="n"/>
      <c r="H243" s="9" t="n"/>
      <c r="I243" s="9" t="n"/>
      <c r="J243" s="3" t="n"/>
      <c r="K243" s="9" t="n"/>
    </row>
    <row r="244">
      <c r="A244" s="4" t="n"/>
      <c r="B244" s="9">
        <f>IF(A244="","",INT((DAY(A244)-1)/7)+1)</f>
        <v/>
      </c>
      <c r="C244" s="9" t="n"/>
      <c r="D244" s="9" t="n"/>
      <c r="E244" s="9" t="n"/>
      <c r="F244" s="9" t="n"/>
      <c r="G244" s="9" t="n"/>
      <c r="H244" s="9" t="n"/>
      <c r="I244" s="9" t="n"/>
      <c r="J244" s="3" t="n"/>
      <c r="K244" s="9" t="n"/>
    </row>
    <row r="245">
      <c r="A245" s="4" t="n"/>
      <c r="B245" s="9">
        <f>IF(A245="","",INT((DAY(A245)-1)/7)+1)</f>
        <v/>
      </c>
      <c r="C245" s="9" t="n"/>
      <c r="D245" s="9" t="n"/>
      <c r="E245" s="9" t="n"/>
      <c r="F245" s="9" t="n"/>
      <c r="G245" s="9" t="n"/>
      <c r="H245" s="9" t="n"/>
      <c r="I245" s="9" t="n"/>
      <c r="J245" s="3" t="n"/>
      <c r="K245" s="9" t="n"/>
    </row>
    <row r="246">
      <c r="A246" s="4" t="n"/>
      <c r="B246" s="9">
        <f>IF(A246="","",INT((DAY(A246)-1)/7)+1)</f>
        <v/>
      </c>
      <c r="C246" s="9" t="n"/>
      <c r="D246" s="9" t="n"/>
      <c r="E246" s="9" t="n"/>
      <c r="F246" s="9" t="n"/>
      <c r="G246" s="9" t="n"/>
      <c r="H246" s="9" t="n"/>
      <c r="I246" s="9" t="n"/>
      <c r="J246" s="3" t="n"/>
      <c r="K246" s="9" t="n"/>
    </row>
    <row r="247">
      <c r="A247" s="4" t="n"/>
      <c r="B247" s="9">
        <f>IF(A247="","",INT((DAY(A247)-1)/7)+1)</f>
        <v/>
      </c>
      <c r="C247" s="9" t="n"/>
      <c r="D247" s="9" t="n"/>
      <c r="E247" s="9" t="n"/>
      <c r="F247" s="9" t="n"/>
      <c r="G247" s="9" t="n"/>
      <c r="H247" s="9" t="n"/>
      <c r="I247" s="9" t="n"/>
      <c r="J247" s="3" t="n"/>
      <c r="K247" s="9" t="n"/>
    </row>
    <row r="248">
      <c r="A248" s="4" t="n"/>
      <c r="B248" s="9">
        <f>IF(A248="","",INT((DAY(A248)-1)/7)+1)</f>
        <v/>
      </c>
      <c r="C248" s="9" t="n"/>
      <c r="D248" s="9" t="n"/>
      <c r="E248" s="9" t="n"/>
      <c r="F248" s="9" t="n"/>
      <c r="G248" s="9" t="n"/>
      <c r="H248" s="9" t="n"/>
      <c r="I248" s="9" t="n"/>
      <c r="J248" s="3" t="n"/>
      <c r="K248" s="9" t="n"/>
    </row>
    <row r="249">
      <c r="A249" s="4" t="n"/>
      <c r="B249" s="9">
        <f>IF(A249="","",INT((DAY(A249)-1)/7)+1)</f>
        <v/>
      </c>
      <c r="C249" s="9" t="n"/>
      <c r="D249" s="9" t="n"/>
      <c r="E249" s="9" t="n"/>
      <c r="F249" s="9" t="n"/>
      <c r="G249" s="9" t="n"/>
      <c r="H249" s="9" t="n"/>
      <c r="I249" s="9" t="n"/>
      <c r="J249" s="3" t="n"/>
      <c r="K249" s="9" t="n"/>
    </row>
    <row r="250">
      <c r="A250" s="4" t="n"/>
      <c r="B250" s="9">
        <f>IF(A250="","",INT((DAY(A250)-1)/7)+1)</f>
        <v/>
      </c>
      <c r="C250" s="9" t="n"/>
      <c r="D250" s="9" t="n"/>
      <c r="E250" s="9" t="n"/>
      <c r="F250" s="9" t="n"/>
      <c r="G250" s="9" t="n"/>
      <c r="H250" s="9" t="n"/>
      <c r="I250" s="9" t="n"/>
      <c r="J250" s="3" t="n"/>
      <c r="K250" s="9" t="n"/>
    </row>
    <row r="251">
      <c r="A251" s="4" t="n"/>
      <c r="B251" s="9">
        <f>IF(A251="","",INT((DAY(A251)-1)/7)+1)</f>
        <v/>
      </c>
      <c r="C251" s="9" t="n"/>
      <c r="D251" s="9" t="n"/>
      <c r="E251" s="9" t="n"/>
      <c r="F251" s="9" t="n"/>
      <c r="G251" s="9" t="n"/>
      <c r="H251" s="9" t="n"/>
      <c r="I251" s="9" t="n"/>
      <c r="J251" s="3" t="n"/>
      <c r="K251" s="9" t="n"/>
    </row>
    <row r="252">
      <c r="A252" s="4" t="n"/>
      <c r="B252" s="9">
        <f>IF(A252="","",INT((DAY(A252)-1)/7)+1)</f>
        <v/>
      </c>
      <c r="C252" s="9" t="n"/>
      <c r="D252" s="9" t="n"/>
      <c r="E252" s="9" t="n"/>
      <c r="F252" s="9" t="n"/>
      <c r="G252" s="9" t="n"/>
      <c r="H252" s="9" t="n"/>
      <c r="I252" s="9" t="n"/>
      <c r="J252" s="3" t="n"/>
      <c r="K252" s="9" t="n"/>
    </row>
    <row r="253">
      <c r="A253" s="4" t="n"/>
      <c r="B253" s="9">
        <f>IF(A253="","",INT((DAY(A253)-1)/7)+1)</f>
        <v/>
      </c>
      <c r="C253" s="9" t="n"/>
      <c r="D253" s="9" t="n"/>
      <c r="E253" s="9" t="n"/>
      <c r="F253" s="9" t="n"/>
      <c r="G253" s="9" t="n"/>
      <c r="H253" s="9" t="n"/>
      <c r="I253" s="9" t="n"/>
      <c r="J253" s="3" t="n"/>
      <c r="K253" s="9" t="n"/>
    </row>
    <row r="254">
      <c r="A254" s="4" t="n"/>
      <c r="B254" s="9">
        <f>IF(A254="","",INT((DAY(A254)-1)/7)+1)</f>
        <v/>
      </c>
      <c r="C254" s="9" t="n"/>
      <c r="D254" s="9" t="n"/>
      <c r="E254" s="9" t="n"/>
      <c r="F254" s="9" t="n"/>
      <c r="G254" s="9" t="n"/>
      <c r="H254" s="9" t="n"/>
      <c r="I254" s="9" t="n"/>
      <c r="J254" s="3" t="n"/>
      <c r="K254" s="9" t="n"/>
    </row>
    <row r="255">
      <c r="A255" s="4" t="n"/>
      <c r="B255" s="9">
        <f>IF(A255="","",INT((DAY(A255)-1)/7)+1)</f>
        <v/>
      </c>
      <c r="C255" s="9" t="n"/>
      <c r="D255" s="9" t="n"/>
      <c r="E255" s="9" t="n"/>
      <c r="F255" s="9" t="n"/>
      <c r="G255" s="9" t="n"/>
      <c r="H255" s="9" t="n"/>
      <c r="I255" s="9" t="n"/>
      <c r="J255" s="3" t="n"/>
      <c r="K255" s="9" t="n"/>
    </row>
    <row r="256">
      <c r="A256" s="4" t="n"/>
      <c r="B256" s="9">
        <f>IF(A256="","",INT((DAY(A256)-1)/7)+1)</f>
        <v/>
      </c>
      <c r="C256" s="9" t="n"/>
      <c r="D256" s="9" t="n"/>
      <c r="E256" s="9" t="n"/>
      <c r="F256" s="9" t="n"/>
      <c r="G256" s="9" t="n"/>
      <c r="H256" s="9" t="n"/>
      <c r="I256" s="9" t="n"/>
      <c r="J256" s="3" t="n"/>
      <c r="K256" s="9" t="n"/>
    </row>
    <row r="257">
      <c r="A257" s="4" t="n"/>
      <c r="B257" s="9">
        <f>IF(A257="","",INT((DAY(A257)-1)/7)+1)</f>
        <v/>
      </c>
      <c r="C257" s="9" t="n"/>
      <c r="D257" s="9" t="n"/>
      <c r="E257" s="9" t="n"/>
      <c r="F257" s="9" t="n"/>
      <c r="G257" s="9" t="n"/>
      <c r="H257" s="9" t="n"/>
      <c r="I257" s="9" t="n"/>
      <c r="J257" s="3" t="n"/>
      <c r="K257" s="9" t="n"/>
    </row>
    <row r="258">
      <c r="A258" s="4" t="n"/>
      <c r="B258" s="9">
        <f>IF(A258="","",INT((DAY(A258)-1)/7)+1)</f>
        <v/>
      </c>
      <c r="C258" s="9" t="n"/>
      <c r="D258" s="9" t="n"/>
      <c r="E258" s="9" t="n"/>
      <c r="F258" s="9" t="n"/>
      <c r="G258" s="9" t="n"/>
      <c r="H258" s="9" t="n"/>
      <c r="I258" s="9" t="n"/>
      <c r="J258" s="3" t="n"/>
      <c r="K258" s="9" t="n"/>
    </row>
    <row r="259">
      <c r="A259" s="4" t="n"/>
      <c r="B259" s="9">
        <f>IF(A259="","",INT((DAY(A259)-1)/7)+1)</f>
        <v/>
      </c>
      <c r="C259" s="9" t="n"/>
      <c r="D259" s="9" t="n"/>
      <c r="E259" s="9" t="n"/>
      <c r="F259" s="9" t="n"/>
      <c r="G259" s="9" t="n"/>
      <c r="H259" s="9" t="n"/>
      <c r="I259" s="9" t="n"/>
      <c r="J259" s="3" t="n"/>
      <c r="K259" s="9" t="n"/>
    </row>
    <row r="260">
      <c r="A260" s="4" t="n"/>
      <c r="B260" s="9">
        <f>IF(A260="","",INT((DAY(A260)-1)/7)+1)</f>
        <v/>
      </c>
      <c r="C260" s="9" t="n"/>
      <c r="D260" s="9" t="n"/>
      <c r="E260" s="9" t="n"/>
      <c r="F260" s="9" t="n"/>
      <c r="G260" s="9" t="n"/>
      <c r="H260" s="9" t="n"/>
      <c r="I260" s="9" t="n"/>
      <c r="J260" s="3" t="n"/>
      <c r="K260" s="9" t="n"/>
    </row>
    <row r="261">
      <c r="A261" s="4" t="n"/>
      <c r="B261" s="9">
        <f>IF(A261="","",INT((DAY(A261)-1)/7)+1)</f>
        <v/>
      </c>
      <c r="C261" s="9" t="n"/>
      <c r="D261" s="9" t="n"/>
      <c r="E261" s="9" t="n"/>
      <c r="F261" s="9" t="n"/>
      <c r="G261" s="9" t="n"/>
      <c r="H261" s="9" t="n"/>
      <c r="I261" s="9" t="n"/>
      <c r="J261" s="3" t="n"/>
      <c r="K261" s="9" t="n"/>
    </row>
    <row r="262">
      <c r="A262" s="4" t="n"/>
      <c r="B262" s="9">
        <f>IF(A262="","",INT((DAY(A262)-1)/7)+1)</f>
        <v/>
      </c>
      <c r="C262" s="9" t="n"/>
      <c r="D262" s="9" t="n"/>
      <c r="E262" s="9" t="n"/>
      <c r="F262" s="9" t="n"/>
      <c r="G262" s="9" t="n"/>
      <c r="H262" s="9" t="n"/>
      <c r="I262" s="9" t="n"/>
      <c r="J262" s="3" t="n"/>
      <c r="K262" s="9" t="n"/>
    </row>
    <row r="263">
      <c r="A263" s="4" t="n"/>
      <c r="B263" s="9">
        <f>IF(A263="","",INT((DAY(A263)-1)/7)+1)</f>
        <v/>
      </c>
      <c r="C263" s="9" t="n"/>
      <c r="D263" s="9" t="n"/>
      <c r="E263" s="9" t="n"/>
      <c r="F263" s="9" t="n"/>
      <c r="G263" s="9" t="n"/>
      <c r="H263" s="9" t="n"/>
      <c r="I263" s="9" t="n"/>
      <c r="J263" s="3" t="n"/>
      <c r="K263" s="9" t="n"/>
    </row>
    <row r="264">
      <c r="A264" s="4" t="n"/>
      <c r="B264" s="9">
        <f>IF(A264="","",INT((DAY(A264)-1)/7)+1)</f>
        <v/>
      </c>
      <c r="C264" s="9" t="n"/>
      <c r="D264" s="9" t="n"/>
      <c r="E264" s="9" t="n"/>
      <c r="F264" s="9" t="n"/>
      <c r="G264" s="9" t="n"/>
      <c r="H264" s="9" t="n"/>
      <c r="I264" s="9" t="n"/>
      <c r="J264" s="3" t="n"/>
      <c r="K264" s="9" t="n"/>
    </row>
    <row r="265">
      <c r="A265" s="4" t="n"/>
      <c r="B265" s="9">
        <f>IF(A265="","",INT((DAY(A265)-1)/7)+1)</f>
        <v/>
      </c>
      <c r="C265" s="9" t="n"/>
      <c r="D265" s="9" t="n"/>
      <c r="E265" s="9" t="n"/>
      <c r="F265" s="9" t="n"/>
      <c r="G265" s="9" t="n"/>
      <c r="H265" s="9" t="n"/>
      <c r="I265" s="9" t="n"/>
      <c r="J265" s="3" t="n"/>
      <c r="K265" s="9" t="n"/>
    </row>
    <row r="266">
      <c r="A266" s="4" t="n"/>
      <c r="B266" s="9">
        <f>IF(A266="","",INT((DAY(A266)-1)/7)+1)</f>
        <v/>
      </c>
      <c r="C266" s="9" t="n"/>
      <c r="D266" s="9" t="n"/>
      <c r="E266" s="9" t="n"/>
      <c r="F266" s="9" t="n"/>
      <c r="G266" s="9" t="n"/>
      <c r="H266" s="9" t="n"/>
      <c r="I266" s="9" t="n"/>
      <c r="J266" s="3" t="n"/>
      <c r="K266" s="9" t="n"/>
    </row>
    <row r="267">
      <c r="A267" s="4" t="n"/>
      <c r="B267" s="9">
        <f>IF(A267="","",INT((DAY(A267)-1)/7)+1)</f>
        <v/>
      </c>
      <c r="C267" s="9" t="n"/>
      <c r="D267" s="9" t="n"/>
      <c r="E267" s="9" t="n"/>
      <c r="F267" s="9" t="n"/>
      <c r="G267" s="9" t="n"/>
      <c r="H267" s="9" t="n"/>
      <c r="I267" s="9" t="n"/>
      <c r="J267" s="3" t="n"/>
      <c r="K267" s="9" t="n"/>
    </row>
    <row r="268">
      <c r="A268" s="4" t="n"/>
      <c r="B268" s="9">
        <f>IF(A268="","",INT((DAY(A268)-1)/7)+1)</f>
        <v/>
      </c>
      <c r="C268" s="9" t="n"/>
      <c r="D268" s="9" t="n"/>
      <c r="E268" s="9" t="n"/>
      <c r="F268" s="9" t="n"/>
      <c r="G268" s="9" t="n"/>
      <c r="H268" s="9" t="n"/>
      <c r="I268" s="9" t="n"/>
      <c r="J268" s="3" t="n"/>
      <c r="K268" s="9" t="n"/>
    </row>
    <row r="269">
      <c r="A269" s="4" t="n"/>
      <c r="B269" s="9">
        <f>IF(A269="","",INT((DAY(A269)-1)/7)+1)</f>
        <v/>
      </c>
      <c r="C269" s="9" t="n"/>
      <c r="D269" s="9" t="n"/>
      <c r="E269" s="9" t="n"/>
      <c r="F269" s="9" t="n"/>
      <c r="G269" s="9" t="n"/>
      <c r="H269" s="9" t="n"/>
      <c r="I269" s="9" t="n"/>
      <c r="J269" s="3" t="n"/>
      <c r="K269" s="9" t="n"/>
    </row>
    <row r="270">
      <c r="A270" s="4" t="n"/>
      <c r="B270" s="9">
        <f>IF(A270="","",INT((DAY(A270)-1)/7)+1)</f>
        <v/>
      </c>
      <c r="C270" s="9" t="n"/>
      <c r="D270" s="9" t="n"/>
      <c r="E270" s="9" t="n"/>
      <c r="F270" s="9" t="n"/>
      <c r="G270" s="9" t="n"/>
      <c r="H270" s="9" t="n"/>
      <c r="I270" s="9" t="n"/>
      <c r="J270" s="3" t="n"/>
      <c r="K270" s="9" t="n"/>
    </row>
    <row r="271">
      <c r="A271" s="4" t="n"/>
      <c r="B271" s="9">
        <f>IF(A271="","",INT((DAY(A271)-1)/7)+1)</f>
        <v/>
      </c>
      <c r="C271" s="9" t="n"/>
      <c r="D271" s="9" t="n"/>
      <c r="E271" s="9" t="n"/>
      <c r="F271" s="9" t="n"/>
      <c r="G271" s="9" t="n"/>
      <c r="H271" s="9" t="n"/>
      <c r="I271" s="9" t="n"/>
      <c r="J271" s="3" t="n"/>
      <c r="K271" s="9" t="n"/>
    </row>
    <row r="272">
      <c r="A272" s="4" t="n"/>
      <c r="B272" s="9">
        <f>IF(A272="","",INT((DAY(A272)-1)/7)+1)</f>
        <v/>
      </c>
      <c r="C272" s="9" t="n"/>
      <c r="D272" s="9" t="n"/>
      <c r="E272" s="9" t="n"/>
      <c r="F272" s="9" t="n"/>
      <c r="G272" s="9" t="n"/>
      <c r="H272" s="9" t="n"/>
      <c r="I272" s="9" t="n"/>
      <c r="J272" s="3" t="n"/>
      <c r="K272" s="9" t="n"/>
    </row>
    <row r="273">
      <c r="A273" s="4" t="n"/>
      <c r="B273" s="9">
        <f>IF(A273="","",INT((DAY(A273)-1)/7)+1)</f>
        <v/>
      </c>
      <c r="C273" s="9" t="n"/>
      <c r="D273" s="9" t="n"/>
      <c r="E273" s="9" t="n"/>
      <c r="F273" s="9" t="n"/>
      <c r="G273" s="9" t="n"/>
      <c r="H273" s="9" t="n"/>
      <c r="I273" s="9" t="n"/>
      <c r="J273" s="3" t="n"/>
      <c r="K273" s="9" t="n"/>
    </row>
    <row r="274">
      <c r="A274" s="4" t="n"/>
      <c r="B274" s="9">
        <f>IF(A274="","",INT((DAY(A274)-1)/7)+1)</f>
        <v/>
      </c>
      <c r="C274" s="9" t="n"/>
      <c r="D274" s="9" t="n"/>
      <c r="E274" s="9" t="n"/>
      <c r="F274" s="9" t="n"/>
      <c r="G274" s="9" t="n"/>
      <c r="H274" s="9" t="n"/>
      <c r="I274" s="9" t="n"/>
      <c r="J274" s="3" t="n"/>
      <c r="K274" s="9" t="n"/>
    </row>
    <row r="275">
      <c r="A275" s="4" t="n"/>
      <c r="B275" s="9">
        <f>IF(A275="","",INT((DAY(A275)-1)/7)+1)</f>
        <v/>
      </c>
      <c r="C275" s="9" t="n"/>
      <c r="D275" s="9" t="n"/>
      <c r="E275" s="9" t="n"/>
      <c r="F275" s="9" t="n"/>
      <c r="G275" s="9" t="n"/>
      <c r="H275" s="9" t="n"/>
      <c r="I275" s="9" t="n"/>
      <c r="J275" s="3" t="n"/>
      <c r="K275" s="9" t="n"/>
    </row>
    <row r="276">
      <c r="A276" s="4" t="n"/>
      <c r="B276" s="9">
        <f>IF(A276="","",INT((DAY(A276)-1)/7)+1)</f>
        <v/>
      </c>
      <c r="C276" s="9" t="n"/>
      <c r="D276" s="9" t="n"/>
      <c r="E276" s="9" t="n"/>
      <c r="F276" s="9" t="n"/>
      <c r="G276" s="9" t="n"/>
      <c r="H276" s="9" t="n"/>
      <c r="I276" s="9" t="n"/>
      <c r="J276" s="3" t="n"/>
      <c r="K276" s="9" t="n"/>
    </row>
    <row r="277">
      <c r="A277" s="4" t="n"/>
      <c r="B277" s="9">
        <f>IF(A277="","",INT((DAY(A277)-1)/7)+1)</f>
        <v/>
      </c>
      <c r="C277" s="9" t="n"/>
      <c r="D277" s="9" t="n"/>
      <c r="E277" s="9" t="n"/>
      <c r="F277" s="9" t="n"/>
      <c r="G277" s="9" t="n"/>
      <c r="H277" s="9" t="n"/>
      <c r="I277" s="9" t="n"/>
      <c r="J277" s="3" t="n"/>
      <c r="K277" s="9" t="n"/>
    </row>
    <row r="278">
      <c r="A278" s="4" t="n"/>
      <c r="B278" s="9">
        <f>IF(A278="","",INT((DAY(A278)-1)/7)+1)</f>
        <v/>
      </c>
      <c r="C278" s="9" t="n"/>
      <c r="D278" s="9" t="n"/>
      <c r="E278" s="9" t="n"/>
      <c r="F278" s="9" t="n"/>
      <c r="G278" s="9" t="n"/>
      <c r="H278" s="9" t="n"/>
      <c r="I278" s="9" t="n"/>
      <c r="J278" s="3" t="n"/>
      <c r="K278" s="9" t="n"/>
    </row>
    <row r="279">
      <c r="A279" s="4" t="n"/>
      <c r="B279" s="9">
        <f>IF(A279="","",INT((DAY(A279)-1)/7)+1)</f>
        <v/>
      </c>
      <c r="C279" s="9" t="n"/>
      <c r="D279" s="9" t="n"/>
      <c r="E279" s="9" t="n"/>
      <c r="F279" s="9" t="n"/>
      <c r="G279" s="9" t="n"/>
      <c r="H279" s="9" t="n"/>
      <c r="I279" s="9" t="n"/>
      <c r="J279" s="3" t="n"/>
      <c r="K279" s="9" t="n"/>
    </row>
    <row r="280">
      <c r="A280" s="4" t="n"/>
      <c r="B280" s="9">
        <f>IF(A280="","",INT((DAY(A280)-1)/7)+1)</f>
        <v/>
      </c>
      <c r="C280" s="9" t="n"/>
      <c r="D280" s="9" t="n"/>
      <c r="E280" s="9" t="n"/>
      <c r="F280" s="9" t="n"/>
      <c r="G280" s="9" t="n"/>
      <c r="H280" s="9" t="n"/>
      <c r="I280" s="9" t="n"/>
      <c r="J280" s="3" t="n"/>
      <c r="K280" s="9" t="n"/>
    </row>
    <row r="281">
      <c r="A281" s="4" t="n"/>
      <c r="B281" s="9">
        <f>IF(A281="","",INT((DAY(A281)-1)/7)+1)</f>
        <v/>
      </c>
      <c r="C281" s="9" t="n"/>
      <c r="D281" s="9" t="n"/>
      <c r="E281" s="9" t="n"/>
      <c r="F281" s="9" t="n"/>
      <c r="G281" s="9" t="n"/>
      <c r="H281" s="9" t="n"/>
      <c r="I281" s="9" t="n"/>
      <c r="J281" s="3" t="n"/>
      <c r="K281" s="9" t="n"/>
    </row>
    <row r="282">
      <c r="A282" s="4" t="n"/>
      <c r="B282" s="9">
        <f>IF(A282="","",INT((DAY(A282)-1)/7)+1)</f>
        <v/>
      </c>
      <c r="C282" s="9" t="n"/>
      <c r="D282" s="9" t="n"/>
      <c r="E282" s="9" t="n"/>
      <c r="F282" s="9" t="n"/>
      <c r="G282" s="9" t="n"/>
      <c r="H282" s="9" t="n"/>
      <c r="I282" s="9" t="n"/>
      <c r="J282" s="3" t="n"/>
      <c r="K282" s="9" t="n"/>
    </row>
    <row r="283">
      <c r="A283" s="4" t="n"/>
      <c r="B283" s="9">
        <f>IF(A283="","",INT((DAY(A283)-1)/7)+1)</f>
        <v/>
      </c>
      <c r="C283" s="9" t="n"/>
      <c r="D283" s="9" t="n"/>
      <c r="E283" s="9" t="n"/>
      <c r="F283" s="9" t="n"/>
      <c r="G283" s="9" t="n"/>
      <c r="H283" s="9" t="n"/>
      <c r="I283" s="9" t="n"/>
      <c r="J283" s="3" t="n"/>
      <c r="K283" s="9" t="n"/>
    </row>
    <row r="284">
      <c r="A284" s="4" t="n"/>
      <c r="B284" s="9">
        <f>IF(A284="","",INT((DAY(A284)-1)/7)+1)</f>
        <v/>
      </c>
      <c r="C284" s="9" t="n"/>
      <c r="D284" s="9" t="n"/>
      <c r="E284" s="9" t="n"/>
      <c r="F284" s="9" t="n"/>
      <c r="G284" s="9" t="n"/>
      <c r="H284" s="9" t="n"/>
      <c r="I284" s="9" t="n"/>
      <c r="J284" s="3" t="n"/>
      <c r="K284" s="9" t="n"/>
    </row>
    <row r="285">
      <c r="A285" s="4" t="n"/>
      <c r="B285" s="9">
        <f>IF(A285="","",INT((DAY(A285)-1)/7)+1)</f>
        <v/>
      </c>
      <c r="C285" s="9" t="n"/>
      <c r="D285" s="9" t="n"/>
      <c r="E285" s="9" t="n"/>
      <c r="F285" s="9" t="n"/>
      <c r="G285" s="9" t="n"/>
      <c r="H285" s="9" t="n"/>
      <c r="I285" s="9" t="n"/>
      <c r="J285" s="3" t="n"/>
      <c r="K285" s="9" t="n"/>
    </row>
    <row r="286">
      <c r="A286" s="4" t="n"/>
      <c r="B286" s="9">
        <f>IF(A286="","",INT((DAY(A286)-1)/7)+1)</f>
        <v/>
      </c>
      <c r="C286" s="9" t="n"/>
      <c r="D286" s="9" t="n"/>
      <c r="E286" s="9" t="n"/>
      <c r="F286" s="9" t="n"/>
      <c r="G286" s="9" t="n"/>
      <c r="H286" s="9" t="n"/>
      <c r="I286" s="9" t="n"/>
      <c r="J286" s="3" t="n"/>
      <c r="K286" s="9" t="n"/>
    </row>
    <row r="287">
      <c r="A287" s="4" t="n"/>
      <c r="B287" s="9">
        <f>IF(A287="","",INT((DAY(A287)-1)/7)+1)</f>
        <v/>
      </c>
      <c r="C287" s="9" t="n"/>
      <c r="D287" s="9" t="n"/>
      <c r="E287" s="9" t="n"/>
      <c r="F287" s="9" t="n"/>
      <c r="G287" s="9" t="n"/>
      <c r="H287" s="9" t="n"/>
      <c r="I287" s="9" t="n"/>
      <c r="J287" s="3" t="n"/>
      <c r="K287" s="9" t="n"/>
    </row>
    <row r="288">
      <c r="A288" s="4" t="n"/>
      <c r="B288" s="9">
        <f>IF(A288="","",INT((DAY(A288)-1)/7)+1)</f>
        <v/>
      </c>
      <c r="C288" s="9" t="n"/>
      <c r="D288" s="9" t="n"/>
      <c r="E288" s="9" t="n"/>
      <c r="F288" s="9" t="n"/>
      <c r="G288" s="9" t="n"/>
      <c r="H288" s="9" t="n"/>
      <c r="I288" s="9" t="n"/>
      <c r="J288" s="3" t="n"/>
      <c r="K288" s="9" t="n"/>
    </row>
    <row r="289">
      <c r="A289" s="4" t="n"/>
      <c r="B289" s="9">
        <f>IF(A289="","",INT((DAY(A289)-1)/7)+1)</f>
        <v/>
      </c>
      <c r="C289" s="9" t="n"/>
      <c r="D289" s="9" t="n"/>
      <c r="E289" s="9" t="n"/>
      <c r="F289" s="9" t="n"/>
      <c r="G289" s="9" t="n"/>
      <c r="H289" s="9" t="n"/>
      <c r="I289" s="9" t="n"/>
      <c r="J289" s="3" t="n"/>
      <c r="K289" s="9" t="n"/>
    </row>
    <row r="290">
      <c r="A290" s="4" t="n"/>
      <c r="B290" s="9">
        <f>IF(A290="","",INT((DAY(A290)-1)/7)+1)</f>
        <v/>
      </c>
      <c r="C290" s="9" t="n"/>
      <c r="D290" s="9" t="n"/>
      <c r="E290" s="9" t="n"/>
      <c r="F290" s="9" t="n"/>
      <c r="G290" s="9" t="n"/>
      <c r="H290" s="9" t="n"/>
      <c r="I290" s="9" t="n"/>
      <c r="J290" s="3" t="n"/>
      <c r="K290" s="9" t="n"/>
    </row>
    <row r="291">
      <c r="A291" s="4" t="n"/>
      <c r="B291" s="9">
        <f>IF(A291="","",INT((DAY(A291)-1)/7)+1)</f>
        <v/>
      </c>
      <c r="C291" s="9" t="n"/>
      <c r="D291" s="9" t="n"/>
      <c r="E291" s="9" t="n"/>
      <c r="F291" s="9" t="n"/>
      <c r="G291" s="9" t="n"/>
      <c r="H291" s="9" t="n"/>
      <c r="I291" s="9" t="n"/>
      <c r="J291" s="3" t="n"/>
      <c r="K291" s="9" t="n"/>
    </row>
    <row r="292">
      <c r="A292" s="4" t="n"/>
      <c r="B292" s="9">
        <f>IF(A292="","",INT((DAY(A292)-1)/7)+1)</f>
        <v/>
      </c>
      <c r="C292" s="9" t="n"/>
      <c r="D292" s="9" t="n"/>
      <c r="E292" s="9" t="n"/>
      <c r="F292" s="9" t="n"/>
      <c r="G292" s="9" t="n"/>
      <c r="H292" s="9" t="n"/>
      <c r="I292" s="9" t="n"/>
      <c r="J292" s="3" t="n"/>
      <c r="K292" s="9" t="n"/>
    </row>
    <row r="293">
      <c r="A293" s="4" t="n"/>
      <c r="B293" s="9">
        <f>IF(A293="","",INT((DAY(A293)-1)/7)+1)</f>
        <v/>
      </c>
      <c r="C293" s="9" t="n"/>
      <c r="D293" s="9" t="n"/>
      <c r="E293" s="9" t="n"/>
      <c r="F293" s="9" t="n"/>
      <c r="G293" s="9" t="n"/>
      <c r="H293" s="9" t="n"/>
      <c r="I293" s="9" t="n"/>
      <c r="J293" s="3" t="n"/>
      <c r="K293" s="9" t="n"/>
    </row>
    <row r="294">
      <c r="A294" s="4" t="n"/>
      <c r="B294" s="9">
        <f>IF(A294="","",INT((DAY(A294)-1)/7)+1)</f>
        <v/>
      </c>
      <c r="C294" s="9" t="n"/>
      <c r="D294" s="9" t="n"/>
      <c r="E294" s="9" t="n"/>
      <c r="F294" s="9" t="n"/>
      <c r="G294" s="9" t="n"/>
      <c r="H294" s="9" t="n"/>
      <c r="I294" s="9" t="n"/>
      <c r="J294" s="3" t="n"/>
      <c r="K294" s="9" t="n"/>
    </row>
    <row r="295">
      <c r="A295" s="4" t="n"/>
      <c r="B295" s="9">
        <f>IF(A295="","",INT((DAY(A295)-1)/7)+1)</f>
        <v/>
      </c>
      <c r="C295" s="9" t="n"/>
      <c r="D295" s="9" t="n"/>
      <c r="E295" s="9" t="n"/>
      <c r="F295" s="9" t="n"/>
      <c r="G295" s="9" t="n"/>
      <c r="H295" s="9" t="n"/>
      <c r="I295" s="9" t="n"/>
      <c r="J295" s="3" t="n"/>
      <c r="K295" s="9" t="n"/>
    </row>
    <row r="296">
      <c r="A296" s="4" t="n"/>
      <c r="B296" s="9">
        <f>IF(A296="","",INT((DAY(A296)-1)/7)+1)</f>
        <v/>
      </c>
      <c r="C296" s="9" t="n"/>
      <c r="D296" s="9" t="n"/>
      <c r="E296" s="9" t="n"/>
      <c r="F296" s="9" t="n"/>
      <c r="G296" s="9" t="n"/>
      <c r="H296" s="9" t="n"/>
      <c r="I296" s="9" t="n"/>
      <c r="J296" s="3" t="n"/>
      <c r="K296" s="9" t="n"/>
    </row>
    <row r="297">
      <c r="A297" s="4" t="n"/>
      <c r="B297" s="9">
        <f>IF(A297="","",INT((DAY(A297)-1)/7)+1)</f>
        <v/>
      </c>
      <c r="C297" s="9" t="n"/>
      <c r="D297" s="9" t="n"/>
      <c r="E297" s="9" t="n"/>
      <c r="F297" s="9" t="n"/>
      <c r="G297" s="9" t="n"/>
      <c r="H297" s="9" t="n"/>
      <c r="I297" s="9" t="n"/>
      <c r="J297" s="3" t="n"/>
      <c r="K297" s="9" t="n"/>
    </row>
    <row r="298">
      <c r="A298" s="4" t="n"/>
      <c r="B298" s="9">
        <f>IF(A298="","",INT((DAY(A298)-1)/7)+1)</f>
        <v/>
      </c>
      <c r="C298" s="9" t="n"/>
      <c r="D298" s="9" t="n"/>
      <c r="E298" s="9" t="n"/>
      <c r="F298" s="9" t="n"/>
      <c r="G298" s="9" t="n"/>
      <c r="H298" s="9" t="n"/>
      <c r="I298" s="9" t="n"/>
      <c r="J298" s="3" t="n"/>
      <c r="K298" s="9" t="n"/>
    </row>
    <row r="299">
      <c r="A299" s="4" t="n"/>
      <c r="B299" s="9">
        <f>IF(A299="","",INT((DAY(A299)-1)/7)+1)</f>
        <v/>
      </c>
      <c r="C299" s="9" t="n"/>
      <c r="D299" s="9" t="n"/>
      <c r="E299" s="9" t="n"/>
      <c r="F299" s="9" t="n"/>
      <c r="G299" s="9" t="n"/>
      <c r="H299" s="9" t="n"/>
      <c r="I299" s="9" t="n"/>
      <c r="J299" s="3" t="n"/>
      <c r="K299" s="9" t="n"/>
    </row>
    <row r="300">
      <c r="A300" s="4" t="n"/>
      <c r="B300" s="9">
        <f>IF(A300="","",INT((DAY(A300)-1)/7)+1)</f>
        <v/>
      </c>
      <c r="C300" s="9" t="n"/>
      <c r="D300" s="9" t="n"/>
      <c r="E300" s="9" t="n"/>
      <c r="F300" s="9" t="n"/>
      <c r="G300" s="9" t="n"/>
      <c r="H300" s="9" t="n"/>
      <c r="I300" s="9" t="n"/>
      <c r="J300" s="3" t="n"/>
      <c r="K300" s="9" t="n"/>
    </row>
    <row r="301">
      <c r="A301" s="4" t="n"/>
      <c r="B301" s="9">
        <f>IF(A301="","",INT((DAY(A301)-1)/7)+1)</f>
        <v/>
      </c>
      <c r="C301" s="9" t="n"/>
      <c r="D301" s="9" t="n"/>
      <c r="E301" s="9" t="n"/>
      <c r="F301" s="9" t="n"/>
      <c r="G301" s="9" t="n"/>
      <c r="H301" s="9" t="n"/>
      <c r="I301" s="9" t="n"/>
      <c r="J301" s="3" t="n"/>
      <c r="K301" s="9" t="n"/>
    </row>
    <row r="302">
      <c r="A302" s="4" t="n"/>
      <c r="B302" s="9">
        <f>IF(A302="","",INT((DAY(A302)-1)/7)+1)</f>
        <v/>
      </c>
      <c r="C302" s="9" t="n"/>
      <c r="D302" s="9" t="n"/>
      <c r="E302" s="9" t="n"/>
      <c r="F302" s="9" t="n"/>
      <c r="G302" s="9" t="n"/>
      <c r="H302" s="9" t="n"/>
      <c r="I302" s="9" t="n"/>
      <c r="J302" s="3" t="n"/>
      <c r="K302" s="9" t="n"/>
    </row>
    <row r="303">
      <c r="A303" s="4" t="n"/>
      <c r="B303" s="9">
        <f>IF(A303="","",INT((DAY(A303)-1)/7)+1)</f>
        <v/>
      </c>
      <c r="C303" s="9" t="n"/>
      <c r="D303" s="9" t="n"/>
      <c r="E303" s="9" t="n"/>
      <c r="F303" s="9" t="n"/>
      <c r="G303" s="9" t="n"/>
      <c r="H303" s="9" t="n"/>
      <c r="I303" s="9" t="n"/>
      <c r="J303" s="3" t="n"/>
      <c r="K303" s="9" t="n"/>
    </row>
    <row r="304">
      <c r="A304" s="4" t="n"/>
      <c r="B304" s="9">
        <f>IF(A304="","",INT((DAY(A304)-1)/7)+1)</f>
        <v/>
      </c>
      <c r="C304" s="9" t="n"/>
      <c r="D304" s="9" t="n"/>
      <c r="E304" s="9" t="n"/>
      <c r="F304" s="9" t="n"/>
      <c r="G304" s="9" t="n"/>
      <c r="H304" s="9" t="n"/>
      <c r="I304" s="9" t="n"/>
      <c r="J304" s="3" t="n"/>
      <c r="K304" s="9" t="n"/>
    </row>
    <row r="305">
      <c r="A305" s="4" t="n"/>
      <c r="B305" s="9">
        <f>IF(A305="","",INT((DAY(A305)-1)/7)+1)</f>
        <v/>
      </c>
      <c r="C305" s="9" t="n"/>
      <c r="D305" s="9" t="n"/>
      <c r="E305" s="9" t="n"/>
      <c r="F305" s="9" t="n"/>
      <c r="G305" s="9" t="n"/>
      <c r="H305" s="9" t="n"/>
      <c r="I305" s="9" t="n"/>
      <c r="J305" s="3" t="n"/>
      <c r="K305" s="9" t="n"/>
    </row>
    <row r="306">
      <c r="A306" s="4" t="n"/>
      <c r="B306" s="9">
        <f>IF(A306="","",INT((DAY(A306)-1)/7)+1)</f>
        <v/>
      </c>
      <c r="C306" s="9" t="n"/>
      <c r="D306" s="9" t="n"/>
      <c r="E306" s="9" t="n"/>
      <c r="F306" s="9" t="n"/>
      <c r="G306" s="9" t="n"/>
      <c r="H306" s="9" t="n"/>
      <c r="I306" s="9" t="n"/>
      <c r="J306" s="3" t="n"/>
      <c r="K306" s="9" t="n"/>
    </row>
    <row r="307">
      <c r="A307" s="4" t="n"/>
      <c r="B307" s="9">
        <f>IF(A307="","",INT((DAY(A307)-1)/7)+1)</f>
        <v/>
      </c>
      <c r="C307" s="9" t="n"/>
      <c r="D307" s="9" t="n"/>
      <c r="E307" s="9" t="n"/>
      <c r="F307" s="9" t="n"/>
      <c r="G307" s="9" t="n"/>
      <c r="H307" s="9" t="n"/>
      <c r="I307" s="9" t="n"/>
      <c r="J307" s="3" t="n"/>
      <c r="K307" s="9" t="n"/>
    </row>
    <row r="308">
      <c r="A308" s="4" t="n"/>
      <c r="B308" s="9">
        <f>IF(A308="","",INT((DAY(A308)-1)/7)+1)</f>
        <v/>
      </c>
      <c r="C308" s="9" t="n"/>
      <c r="D308" s="9" t="n"/>
      <c r="E308" s="9" t="n"/>
      <c r="F308" s="9" t="n"/>
      <c r="G308" s="9" t="n"/>
      <c r="H308" s="9" t="n"/>
      <c r="I308" s="9" t="n"/>
      <c r="J308" s="3" t="n"/>
      <c r="K308" s="9" t="n"/>
    </row>
    <row r="309">
      <c r="A309" s="4" t="n"/>
      <c r="B309" s="9">
        <f>IF(A309="","",INT((DAY(A309)-1)/7)+1)</f>
        <v/>
      </c>
      <c r="C309" s="9" t="n"/>
      <c r="D309" s="9" t="n"/>
      <c r="E309" s="9" t="n"/>
      <c r="F309" s="9" t="n"/>
      <c r="G309" s="9" t="n"/>
      <c r="H309" s="9" t="n"/>
      <c r="I309" s="9" t="n"/>
      <c r="J309" s="3" t="n"/>
      <c r="K309" s="9" t="n"/>
    </row>
    <row r="310">
      <c r="A310" s="4" t="n"/>
      <c r="B310" s="9">
        <f>IF(A310="","",INT((DAY(A310)-1)/7)+1)</f>
        <v/>
      </c>
      <c r="C310" s="9" t="n"/>
      <c r="D310" s="9" t="n"/>
      <c r="E310" s="9" t="n"/>
      <c r="F310" s="9" t="n"/>
      <c r="G310" s="9" t="n"/>
      <c r="H310" s="9" t="n"/>
      <c r="I310" s="9" t="n"/>
      <c r="J310" s="3" t="n"/>
      <c r="K310" s="9" t="n"/>
    </row>
    <row r="311">
      <c r="A311" s="4" t="n"/>
      <c r="B311" s="9">
        <f>IF(A311="","",INT((DAY(A311)-1)/7)+1)</f>
        <v/>
      </c>
      <c r="C311" s="9" t="n"/>
      <c r="D311" s="9" t="n"/>
      <c r="E311" s="9" t="n"/>
      <c r="F311" s="9" t="n"/>
      <c r="G311" s="9" t="n"/>
      <c r="H311" s="9" t="n"/>
      <c r="I311" s="9" t="n"/>
      <c r="J311" s="3" t="n"/>
      <c r="K311" s="9" t="n"/>
    </row>
    <row r="312">
      <c r="A312" s="4" t="n"/>
      <c r="B312" s="9">
        <f>IF(A312="","",INT((DAY(A312)-1)/7)+1)</f>
        <v/>
      </c>
      <c r="C312" s="9" t="n"/>
      <c r="D312" s="9" t="n"/>
      <c r="E312" s="9" t="n"/>
      <c r="F312" s="9" t="n"/>
      <c r="G312" s="9" t="n"/>
      <c r="H312" s="9" t="n"/>
      <c r="I312" s="9" t="n"/>
      <c r="J312" s="3" t="n"/>
      <c r="K312" s="9" t="n"/>
    </row>
    <row r="313">
      <c r="A313" s="4" t="n"/>
      <c r="B313" s="9">
        <f>IF(A313="","",INT((DAY(A313)-1)/7)+1)</f>
        <v/>
      </c>
      <c r="C313" s="9" t="n"/>
      <c r="D313" s="9" t="n"/>
      <c r="E313" s="9" t="n"/>
      <c r="F313" s="9" t="n"/>
      <c r="G313" s="9" t="n"/>
      <c r="H313" s="9" t="n"/>
      <c r="I313" s="9" t="n"/>
      <c r="J313" s="3" t="n"/>
      <c r="K313" s="9" t="n"/>
    </row>
    <row r="314">
      <c r="A314" s="4" t="n"/>
      <c r="B314" s="9">
        <f>IF(A314="","",INT((DAY(A314)-1)/7)+1)</f>
        <v/>
      </c>
      <c r="C314" s="9" t="n"/>
      <c r="D314" s="9" t="n"/>
      <c r="E314" s="9" t="n"/>
      <c r="F314" s="9" t="n"/>
      <c r="G314" s="9" t="n"/>
      <c r="H314" s="9" t="n"/>
      <c r="I314" s="9" t="n"/>
      <c r="J314" s="3" t="n"/>
      <c r="K314" s="9" t="n"/>
    </row>
    <row r="315">
      <c r="A315" s="4" t="n"/>
      <c r="B315" s="9">
        <f>IF(A315="","",INT((DAY(A315)-1)/7)+1)</f>
        <v/>
      </c>
      <c r="C315" s="9" t="n"/>
      <c r="D315" s="9" t="n"/>
      <c r="E315" s="9" t="n"/>
      <c r="F315" s="9" t="n"/>
      <c r="G315" s="9" t="n"/>
      <c r="H315" s="9" t="n"/>
      <c r="I315" s="9" t="n"/>
      <c r="J315" s="3" t="n"/>
      <c r="K315" s="9" t="n"/>
    </row>
    <row r="316">
      <c r="A316" s="4" t="n"/>
      <c r="B316" s="9">
        <f>IF(A316="","",INT((DAY(A316)-1)/7)+1)</f>
        <v/>
      </c>
      <c r="C316" s="9" t="n"/>
      <c r="D316" s="9" t="n"/>
      <c r="E316" s="9" t="n"/>
      <c r="F316" s="9" t="n"/>
      <c r="G316" s="9" t="n"/>
      <c r="H316" s="9" t="n"/>
      <c r="I316" s="9" t="n"/>
      <c r="J316" s="3" t="n"/>
      <c r="K316" s="9" t="n"/>
    </row>
    <row r="317">
      <c r="A317" s="4" t="n"/>
      <c r="B317" s="9">
        <f>IF(A317="","",INT((DAY(A317)-1)/7)+1)</f>
        <v/>
      </c>
      <c r="C317" s="9" t="n"/>
      <c r="D317" s="9" t="n"/>
      <c r="E317" s="9" t="n"/>
      <c r="F317" s="9" t="n"/>
      <c r="G317" s="9" t="n"/>
      <c r="H317" s="9" t="n"/>
      <c r="I317" s="9" t="n"/>
      <c r="J317" s="3" t="n"/>
      <c r="K317" s="9" t="n"/>
    </row>
    <row r="318">
      <c r="A318" s="4" t="n"/>
      <c r="B318" s="9">
        <f>IF(A318="","",INT((DAY(A318)-1)/7)+1)</f>
        <v/>
      </c>
      <c r="C318" s="9" t="n"/>
      <c r="D318" s="9" t="n"/>
      <c r="E318" s="9" t="n"/>
      <c r="F318" s="9" t="n"/>
      <c r="G318" s="9" t="n"/>
      <c r="H318" s="9" t="n"/>
      <c r="I318" s="9" t="n"/>
      <c r="J318" s="3" t="n"/>
      <c r="K318" s="9" t="n"/>
    </row>
    <row r="319">
      <c r="A319" s="4" t="n"/>
      <c r="B319" s="9">
        <f>IF(A319="","",INT((DAY(A319)-1)/7)+1)</f>
        <v/>
      </c>
      <c r="C319" s="9" t="n"/>
      <c r="D319" s="9" t="n"/>
      <c r="E319" s="9" t="n"/>
      <c r="F319" s="9" t="n"/>
      <c r="G319" s="9" t="n"/>
      <c r="H319" s="9" t="n"/>
      <c r="I319" s="9" t="n"/>
      <c r="J319" s="3" t="n"/>
      <c r="K319" s="9" t="n"/>
    </row>
    <row r="320">
      <c r="A320" s="4" t="n"/>
      <c r="B320" s="9">
        <f>IF(A320="","",INT((DAY(A320)-1)/7)+1)</f>
        <v/>
      </c>
      <c r="C320" s="9" t="n"/>
      <c r="D320" s="9" t="n"/>
      <c r="E320" s="9" t="n"/>
      <c r="F320" s="9" t="n"/>
      <c r="G320" s="9" t="n"/>
      <c r="H320" s="9" t="n"/>
      <c r="I320" s="9" t="n"/>
      <c r="J320" s="3" t="n"/>
      <c r="K320" s="9" t="n"/>
    </row>
    <row r="321">
      <c r="A321" s="4" t="n"/>
      <c r="B321" s="9">
        <f>IF(A321="","",INT((DAY(A321)-1)/7)+1)</f>
        <v/>
      </c>
      <c r="C321" s="9" t="n"/>
      <c r="D321" s="9" t="n"/>
      <c r="E321" s="9" t="n"/>
      <c r="F321" s="9" t="n"/>
      <c r="G321" s="9" t="n"/>
      <c r="H321" s="9" t="n"/>
      <c r="I321" s="9" t="n"/>
      <c r="J321" s="3" t="n"/>
      <c r="K321" s="9" t="n"/>
    </row>
    <row r="322">
      <c r="A322" s="4" t="n"/>
      <c r="B322" s="9">
        <f>IF(A322="","",INT((DAY(A322)-1)/7)+1)</f>
        <v/>
      </c>
      <c r="C322" s="9" t="n"/>
      <c r="D322" s="9" t="n"/>
      <c r="E322" s="9" t="n"/>
      <c r="F322" s="9" t="n"/>
      <c r="G322" s="9" t="n"/>
      <c r="H322" s="9" t="n"/>
      <c r="I322" s="9" t="n"/>
      <c r="J322" s="3" t="n"/>
      <c r="K322" s="9" t="n"/>
    </row>
    <row r="323">
      <c r="A323" s="4" t="n"/>
      <c r="B323" s="9">
        <f>IF(A323="","",INT((DAY(A323)-1)/7)+1)</f>
        <v/>
      </c>
      <c r="C323" s="9" t="n"/>
      <c r="D323" s="9" t="n"/>
      <c r="E323" s="9" t="n"/>
      <c r="F323" s="9" t="n"/>
      <c r="G323" s="9" t="n"/>
      <c r="H323" s="9" t="n"/>
      <c r="I323" s="9" t="n"/>
      <c r="J323" s="3" t="n"/>
      <c r="K323" s="9" t="n"/>
    </row>
    <row r="324">
      <c r="A324" s="4" t="n"/>
      <c r="B324" s="9">
        <f>IF(A324="","",INT((DAY(A324)-1)/7)+1)</f>
        <v/>
      </c>
      <c r="C324" s="9" t="n"/>
      <c r="D324" s="9" t="n"/>
      <c r="E324" s="9" t="n"/>
      <c r="F324" s="9" t="n"/>
      <c r="G324" s="9" t="n"/>
      <c r="H324" s="9" t="n"/>
      <c r="I324" s="9" t="n"/>
      <c r="J324" s="3" t="n"/>
      <c r="K324" s="9" t="n"/>
    </row>
    <row r="325">
      <c r="A325" s="4" t="n"/>
      <c r="B325" s="9">
        <f>IF(A325="","",INT((DAY(A325)-1)/7)+1)</f>
        <v/>
      </c>
      <c r="C325" s="9" t="n"/>
      <c r="D325" s="9" t="n"/>
      <c r="E325" s="9" t="n"/>
      <c r="F325" s="9" t="n"/>
      <c r="G325" s="9" t="n"/>
      <c r="H325" s="9" t="n"/>
      <c r="I325" s="9" t="n"/>
      <c r="J325" s="3" t="n"/>
      <c r="K325" s="9" t="n"/>
    </row>
    <row r="326">
      <c r="A326" s="4" t="n"/>
      <c r="B326" s="9">
        <f>IF(A326="","",INT((DAY(A326)-1)/7)+1)</f>
        <v/>
      </c>
      <c r="C326" s="9" t="n"/>
      <c r="D326" s="9" t="n"/>
      <c r="E326" s="9" t="n"/>
      <c r="F326" s="9" t="n"/>
      <c r="G326" s="9" t="n"/>
      <c r="H326" s="9" t="n"/>
      <c r="I326" s="9" t="n"/>
      <c r="J326" s="3" t="n"/>
      <c r="K326" s="9" t="n"/>
    </row>
    <row r="327">
      <c r="A327" s="4" t="n"/>
      <c r="B327" s="9">
        <f>IF(A327="","",INT((DAY(A327)-1)/7)+1)</f>
        <v/>
      </c>
      <c r="C327" s="9" t="n"/>
      <c r="D327" s="9" t="n"/>
      <c r="E327" s="9" t="n"/>
      <c r="F327" s="9" t="n"/>
      <c r="G327" s="9" t="n"/>
      <c r="H327" s="9" t="n"/>
      <c r="I327" s="9" t="n"/>
      <c r="J327" s="3" t="n"/>
      <c r="K327" s="9" t="n"/>
    </row>
    <row r="328">
      <c r="A328" s="4" t="n"/>
      <c r="B328" s="9">
        <f>IF(A328="","",INT((DAY(A328)-1)/7)+1)</f>
        <v/>
      </c>
      <c r="C328" s="9" t="n"/>
      <c r="D328" s="9" t="n"/>
      <c r="E328" s="9" t="n"/>
      <c r="F328" s="9" t="n"/>
      <c r="G328" s="9" t="n"/>
      <c r="H328" s="9" t="n"/>
      <c r="I328" s="9" t="n"/>
      <c r="J328" s="3" t="n"/>
      <c r="K328" s="9" t="n"/>
    </row>
    <row r="329">
      <c r="A329" s="4" t="n"/>
      <c r="B329" s="9">
        <f>IF(A329="","",INT((DAY(A329)-1)/7)+1)</f>
        <v/>
      </c>
      <c r="C329" s="9" t="n"/>
      <c r="D329" s="9" t="n"/>
      <c r="E329" s="9" t="n"/>
      <c r="F329" s="9" t="n"/>
      <c r="G329" s="9" t="n"/>
      <c r="H329" s="9" t="n"/>
      <c r="I329" s="9" t="n"/>
      <c r="J329" s="3" t="n"/>
      <c r="K329" s="9" t="n"/>
    </row>
    <row r="330">
      <c r="A330" s="4" t="n"/>
      <c r="B330" s="9">
        <f>IF(A330="","",INT((DAY(A330)-1)/7)+1)</f>
        <v/>
      </c>
      <c r="C330" s="9" t="n"/>
      <c r="D330" s="9" t="n"/>
      <c r="E330" s="9" t="n"/>
      <c r="F330" s="9" t="n"/>
      <c r="G330" s="9" t="n"/>
      <c r="H330" s="9" t="n"/>
      <c r="I330" s="9" t="n"/>
      <c r="J330" s="3" t="n"/>
      <c r="K330" s="9" t="n"/>
    </row>
    <row r="331">
      <c r="A331" s="4" t="n"/>
      <c r="B331" s="9">
        <f>IF(A331="","",INT((DAY(A331)-1)/7)+1)</f>
        <v/>
      </c>
      <c r="C331" s="9" t="n"/>
      <c r="D331" s="9" t="n"/>
      <c r="E331" s="9" t="n"/>
      <c r="F331" s="9" t="n"/>
      <c r="G331" s="9" t="n"/>
      <c r="H331" s="9" t="n"/>
      <c r="I331" s="9" t="n"/>
      <c r="J331" s="3" t="n"/>
      <c r="K331" s="9" t="n"/>
    </row>
    <row r="332">
      <c r="A332" s="4" t="n"/>
      <c r="B332" s="9">
        <f>IF(A332="","",INT((DAY(A332)-1)/7)+1)</f>
        <v/>
      </c>
      <c r="C332" s="9" t="n"/>
      <c r="D332" s="9" t="n"/>
      <c r="E332" s="9" t="n"/>
      <c r="F332" s="9" t="n"/>
      <c r="G332" s="9" t="n"/>
      <c r="H332" s="9" t="n"/>
      <c r="I332" s="9" t="n"/>
      <c r="J332" s="3" t="n"/>
      <c r="K332" s="9" t="n"/>
    </row>
    <row r="333">
      <c r="A333" s="4" t="n"/>
      <c r="B333" s="9">
        <f>IF(A333="","",INT((DAY(A333)-1)/7)+1)</f>
        <v/>
      </c>
      <c r="C333" s="9" t="n"/>
      <c r="D333" s="9" t="n"/>
      <c r="E333" s="9" t="n"/>
      <c r="F333" s="9" t="n"/>
      <c r="G333" s="9" t="n"/>
      <c r="H333" s="9" t="n"/>
      <c r="I333" s="9" t="n"/>
      <c r="J333" s="3" t="n"/>
      <c r="K333" s="9" t="n"/>
    </row>
    <row r="334">
      <c r="A334" s="4" t="n"/>
      <c r="B334" s="9">
        <f>IF(A334="","",INT((DAY(A334)-1)/7)+1)</f>
        <v/>
      </c>
      <c r="C334" s="9" t="n"/>
      <c r="D334" s="9" t="n"/>
      <c r="E334" s="9" t="n"/>
      <c r="F334" s="9" t="n"/>
      <c r="G334" s="9" t="n"/>
      <c r="H334" s="9" t="n"/>
      <c r="I334" s="9" t="n"/>
      <c r="J334" s="3" t="n"/>
      <c r="K334" s="9" t="n"/>
    </row>
    <row r="335">
      <c r="A335" s="4" t="n"/>
      <c r="B335" s="9">
        <f>IF(A335="","",INT((DAY(A335)-1)/7)+1)</f>
        <v/>
      </c>
      <c r="C335" s="9" t="n"/>
      <c r="D335" s="9" t="n"/>
      <c r="E335" s="9" t="n"/>
      <c r="F335" s="9" t="n"/>
      <c r="G335" s="9" t="n"/>
      <c r="H335" s="9" t="n"/>
      <c r="I335" s="9" t="n"/>
      <c r="J335" s="3" t="n"/>
      <c r="K335" s="9" t="n"/>
    </row>
    <row r="336">
      <c r="A336" s="4" t="n"/>
      <c r="B336" s="9">
        <f>IF(A336="","",INT((DAY(A336)-1)/7)+1)</f>
        <v/>
      </c>
      <c r="C336" s="9" t="n"/>
      <c r="D336" s="9" t="n"/>
      <c r="E336" s="9" t="n"/>
      <c r="F336" s="9" t="n"/>
      <c r="G336" s="9" t="n"/>
      <c r="H336" s="9" t="n"/>
      <c r="I336" s="9" t="n"/>
      <c r="J336" s="3" t="n"/>
      <c r="K336" s="9" t="n"/>
    </row>
    <row r="337">
      <c r="A337" s="4" t="n"/>
      <c r="B337" s="9">
        <f>IF(A337="","",INT((DAY(A337)-1)/7)+1)</f>
        <v/>
      </c>
      <c r="C337" s="9" t="n"/>
      <c r="D337" s="9" t="n"/>
      <c r="E337" s="9" t="n"/>
      <c r="F337" s="9" t="n"/>
      <c r="G337" s="9" t="n"/>
      <c r="H337" s="9" t="n"/>
      <c r="I337" s="9" t="n"/>
      <c r="J337" s="3" t="n"/>
      <c r="K337" s="9" t="n"/>
    </row>
    <row r="338">
      <c r="A338" s="4" t="n"/>
      <c r="B338" s="9">
        <f>IF(A338="","",INT((DAY(A338)-1)/7)+1)</f>
        <v/>
      </c>
      <c r="C338" s="9" t="n"/>
      <c r="D338" s="9" t="n"/>
      <c r="E338" s="9" t="n"/>
      <c r="F338" s="9" t="n"/>
      <c r="G338" s="9" t="n"/>
      <c r="H338" s="9" t="n"/>
      <c r="I338" s="9" t="n"/>
      <c r="J338" s="3" t="n"/>
      <c r="K338" s="9" t="n"/>
    </row>
    <row r="339">
      <c r="A339" s="4" t="n"/>
      <c r="B339" s="9">
        <f>IF(A339="","",INT((DAY(A339)-1)/7)+1)</f>
        <v/>
      </c>
      <c r="C339" s="9" t="n"/>
      <c r="D339" s="9" t="n"/>
      <c r="E339" s="9" t="n"/>
      <c r="F339" s="9" t="n"/>
      <c r="G339" s="9" t="n"/>
      <c r="H339" s="9" t="n"/>
      <c r="I339" s="9" t="n"/>
      <c r="J339" s="3" t="n"/>
      <c r="K339" s="9" t="n"/>
    </row>
    <row r="340">
      <c r="A340" s="4" t="n"/>
      <c r="B340" s="9">
        <f>IF(A340="","",INT((DAY(A340)-1)/7)+1)</f>
        <v/>
      </c>
      <c r="C340" s="9" t="n"/>
      <c r="D340" s="9" t="n"/>
      <c r="E340" s="9" t="n"/>
      <c r="F340" s="9" t="n"/>
      <c r="G340" s="9" t="n"/>
      <c r="H340" s="9" t="n"/>
      <c r="I340" s="9" t="n"/>
      <c r="J340" s="3" t="n"/>
      <c r="K340" s="9" t="n"/>
    </row>
    <row r="341">
      <c r="A341" s="4" t="n"/>
      <c r="B341" s="9">
        <f>IF(A341="","",INT((DAY(A341)-1)/7)+1)</f>
        <v/>
      </c>
      <c r="C341" s="9" t="n"/>
      <c r="D341" s="9" t="n"/>
      <c r="E341" s="9" t="n"/>
      <c r="F341" s="9" t="n"/>
      <c r="G341" s="9" t="n"/>
      <c r="H341" s="9" t="n"/>
      <c r="I341" s="9" t="n"/>
      <c r="J341" s="3" t="n"/>
      <c r="K341" s="9" t="n"/>
    </row>
    <row r="342">
      <c r="A342" s="4" t="n"/>
      <c r="B342" s="9">
        <f>IF(A342="","",INT((DAY(A342)-1)/7)+1)</f>
        <v/>
      </c>
      <c r="C342" s="9" t="n"/>
      <c r="D342" s="9" t="n"/>
      <c r="E342" s="9" t="n"/>
      <c r="F342" s="9" t="n"/>
      <c r="G342" s="9" t="n"/>
      <c r="H342" s="9" t="n"/>
      <c r="I342" s="9" t="n"/>
      <c r="J342" s="3" t="n"/>
      <c r="K342" s="9" t="n"/>
    </row>
    <row r="343">
      <c r="A343" s="4" t="n"/>
      <c r="B343" s="9">
        <f>IF(A343="","",INT((DAY(A343)-1)/7)+1)</f>
        <v/>
      </c>
      <c r="C343" s="9" t="n"/>
      <c r="D343" s="9" t="n"/>
      <c r="E343" s="9" t="n"/>
      <c r="F343" s="9" t="n"/>
      <c r="G343" s="9" t="n"/>
      <c r="H343" s="9" t="n"/>
      <c r="I343" s="9" t="n"/>
      <c r="J343" s="3" t="n"/>
      <c r="K343" s="9" t="n"/>
    </row>
    <row r="344">
      <c r="A344" s="4" t="n"/>
      <c r="B344" s="9">
        <f>IF(A344="","",INT((DAY(A344)-1)/7)+1)</f>
        <v/>
      </c>
      <c r="C344" s="9" t="n"/>
      <c r="D344" s="9" t="n"/>
      <c r="E344" s="9" t="n"/>
      <c r="F344" s="9" t="n"/>
      <c r="G344" s="9" t="n"/>
      <c r="H344" s="9" t="n"/>
      <c r="I344" s="9" t="n"/>
      <c r="J344" s="3" t="n"/>
      <c r="K344" s="9" t="n"/>
    </row>
    <row r="345">
      <c r="A345" s="4" t="n"/>
      <c r="B345" s="9">
        <f>IF(A345="","",INT((DAY(A345)-1)/7)+1)</f>
        <v/>
      </c>
      <c r="C345" s="9" t="n"/>
      <c r="D345" s="9" t="n"/>
      <c r="E345" s="9" t="n"/>
      <c r="F345" s="9" t="n"/>
      <c r="G345" s="9" t="n"/>
      <c r="H345" s="9" t="n"/>
      <c r="I345" s="9" t="n"/>
      <c r="J345" s="3" t="n"/>
      <c r="K345" s="9" t="n"/>
    </row>
    <row r="346">
      <c r="A346" s="4" t="n"/>
      <c r="B346" s="9">
        <f>IF(A346="","",INT((DAY(A346)-1)/7)+1)</f>
        <v/>
      </c>
      <c r="C346" s="9" t="n"/>
      <c r="D346" s="9" t="n"/>
      <c r="E346" s="9" t="n"/>
      <c r="F346" s="9" t="n"/>
      <c r="G346" s="9" t="n"/>
      <c r="H346" s="9" t="n"/>
      <c r="I346" s="9" t="n"/>
      <c r="J346" s="3" t="n"/>
      <c r="K346" s="9" t="n"/>
    </row>
    <row r="347">
      <c r="A347" s="4" t="n"/>
      <c r="B347" s="9">
        <f>IF(A347="","",INT((DAY(A347)-1)/7)+1)</f>
        <v/>
      </c>
      <c r="C347" s="9" t="n"/>
      <c r="D347" s="9" t="n"/>
      <c r="E347" s="9" t="n"/>
      <c r="F347" s="9" t="n"/>
      <c r="G347" s="9" t="n"/>
      <c r="H347" s="9" t="n"/>
      <c r="I347" s="9" t="n"/>
      <c r="J347" s="3" t="n"/>
      <c r="K347" s="9" t="n"/>
    </row>
    <row r="348">
      <c r="A348" s="4" t="n"/>
      <c r="B348" s="9">
        <f>IF(A348="","",INT((DAY(A348)-1)/7)+1)</f>
        <v/>
      </c>
      <c r="C348" s="9" t="n"/>
      <c r="D348" s="9" t="n"/>
      <c r="E348" s="9" t="n"/>
      <c r="F348" s="9" t="n"/>
      <c r="G348" s="9" t="n"/>
      <c r="H348" s="9" t="n"/>
      <c r="I348" s="9" t="n"/>
      <c r="J348" s="3" t="n"/>
      <c r="K348" s="9" t="n"/>
    </row>
    <row r="349">
      <c r="A349" s="4" t="n"/>
      <c r="B349" s="9">
        <f>IF(A349="","",INT((DAY(A349)-1)/7)+1)</f>
        <v/>
      </c>
      <c r="C349" s="9" t="n"/>
      <c r="D349" s="9" t="n"/>
      <c r="E349" s="9" t="n"/>
      <c r="F349" s="9" t="n"/>
      <c r="G349" s="9" t="n"/>
      <c r="H349" s="9" t="n"/>
      <c r="I349" s="9" t="n"/>
      <c r="J349" s="3" t="n"/>
      <c r="K349" s="9" t="n"/>
    </row>
    <row r="350">
      <c r="A350" s="4" t="n"/>
      <c r="B350" s="9">
        <f>IF(A350="","",INT((DAY(A350)-1)/7)+1)</f>
        <v/>
      </c>
      <c r="C350" s="9" t="n"/>
      <c r="D350" s="9" t="n"/>
      <c r="E350" s="9" t="n"/>
      <c r="F350" s="9" t="n"/>
      <c r="G350" s="9" t="n"/>
      <c r="H350" s="9" t="n"/>
      <c r="I350" s="9" t="n"/>
      <c r="J350" s="3" t="n"/>
      <c r="K350" s="9" t="n"/>
    </row>
    <row r="351">
      <c r="A351" s="4" t="n"/>
      <c r="B351" s="9">
        <f>IF(A351="","",INT((DAY(A351)-1)/7)+1)</f>
        <v/>
      </c>
      <c r="C351" s="9" t="n"/>
      <c r="D351" s="9" t="n"/>
      <c r="E351" s="9" t="n"/>
      <c r="F351" s="9" t="n"/>
      <c r="G351" s="9" t="n"/>
      <c r="H351" s="9" t="n"/>
      <c r="I351" s="9" t="n"/>
      <c r="J351" s="3" t="n"/>
      <c r="K351" s="9" t="n"/>
    </row>
    <row r="352">
      <c r="A352" s="4" t="n"/>
      <c r="B352" s="9">
        <f>IF(A352="","",INT((DAY(A352)-1)/7)+1)</f>
        <v/>
      </c>
      <c r="C352" s="9" t="n"/>
      <c r="D352" s="9" t="n"/>
      <c r="E352" s="9" t="n"/>
      <c r="F352" s="9" t="n"/>
      <c r="G352" s="9" t="n"/>
      <c r="H352" s="9" t="n"/>
      <c r="I352" s="9" t="n"/>
      <c r="J352" s="3" t="n"/>
      <c r="K352" s="9" t="n"/>
    </row>
    <row r="353">
      <c r="A353" s="4" t="n"/>
      <c r="B353" s="9">
        <f>IF(A353="","",INT((DAY(A353)-1)/7)+1)</f>
        <v/>
      </c>
      <c r="C353" s="9" t="n"/>
      <c r="D353" s="9" t="n"/>
      <c r="E353" s="9" t="n"/>
      <c r="F353" s="9" t="n"/>
      <c r="G353" s="9" t="n"/>
      <c r="H353" s="9" t="n"/>
      <c r="I353" s="9" t="n"/>
      <c r="J353" s="3" t="n"/>
      <c r="K353" s="9" t="n"/>
    </row>
    <row r="354">
      <c r="A354" s="4" t="n"/>
      <c r="B354" s="9">
        <f>IF(A354="","",INT((DAY(A354)-1)/7)+1)</f>
        <v/>
      </c>
      <c r="C354" s="9" t="n"/>
      <c r="D354" s="9" t="n"/>
      <c r="E354" s="9" t="n"/>
      <c r="F354" s="9" t="n"/>
      <c r="G354" s="9" t="n"/>
      <c r="H354" s="9" t="n"/>
      <c r="I354" s="9" t="n"/>
      <c r="J354" s="3" t="n"/>
      <c r="K354" s="9" t="n"/>
    </row>
    <row r="355">
      <c r="A355" s="4" t="n"/>
      <c r="B355" s="9">
        <f>IF(A355="","",INT((DAY(A355)-1)/7)+1)</f>
        <v/>
      </c>
      <c r="C355" s="9" t="n"/>
      <c r="D355" s="9" t="n"/>
      <c r="E355" s="9" t="n"/>
      <c r="F355" s="9" t="n"/>
      <c r="G355" s="9" t="n"/>
      <c r="H355" s="9" t="n"/>
      <c r="I355" s="9" t="n"/>
      <c r="J355" s="3" t="n"/>
      <c r="K355" s="9" t="n"/>
    </row>
    <row r="356">
      <c r="A356" s="4" t="n"/>
      <c r="B356" s="9">
        <f>IF(A356="","",INT((DAY(A356)-1)/7)+1)</f>
        <v/>
      </c>
      <c r="C356" s="9" t="n"/>
      <c r="D356" s="9" t="n"/>
      <c r="E356" s="9" t="n"/>
      <c r="F356" s="9" t="n"/>
      <c r="G356" s="9" t="n"/>
      <c r="H356" s="9" t="n"/>
      <c r="I356" s="9" t="n"/>
      <c r="J356" s="3" t="n"/>
      <c r="K356" s="9" t="n"/>
    </row>
    <row r="357">
      <c r="A357" s="4" t="n"/>
      <c r="B357" s="9">
        <f>IF(A357="","",INT((DAY(A357)-1)/7)+1)</f>
        <v/>
      </c>
      <c r="C357" s="9" t="n"/>
      <c r="D357" s="9" t="n"/>
      <c r="E357" s="9" t="n"/>
      <c r="F357" s="9" t="n"/>
      <c r="G357" s="9" t="n"/>
      <c r="H357" s="9" t="n"/>
      <c r="I357" s="9" t="n"/>
      <c r="J357" s="3" t="n"/>
      <c r="K357" s="9" t="n"/>
    </row>
    <row r="358">
      <c r="A358" s="4" t="n"/>
      <c r="B358" s="9">
        <f>IF(A358="","",INT((DAY(A358)-1)/7)+1)</f>
        <v/>
      </c>
      <c r="C358" s="9" t="n"/>
      <c r="D358" s="9" t="n"/>
      <c r="E358" s="9" t="n"/>
      <c r="F358" s="9" t="n"/>
      <c r="G358" s="9" t="n"/>
      <c r="H358" s="9" t="n"/>
      <c r="I358" s="9" t="n"/>
      <c r="J358" s="3" t="n"/>
      <c r="K358" s="9" t="n"/>
    </row>
    <row r="359">
      <c r="A359" s="4" t="n"/>
      <c r="B359" s="9">
        <f>IF(A359="","",INT((DAY(A359)-1)/7)+1)</f>
        <v/>
      </c>
      <c r="C359" s="9" t="n"/>
      <c r="D359" s="9" t="n"/>
      <c r="E359" s="9" t="n"/>
      <c r="F359" s="9" t="n"/>
      <c r="G359" s="9" t="n"/>
      <c r="H359" s="9" t="n"/>
      <c r="I359" s="9" t="n"/>
      <c r="J359" s="3" t="n"/>
      <c r="K359" s="9" t="n"/>
    </row>
    <row r="360">
      <c r="A360" s="4" t="n"/>
      <c r="B360" s="9">
        <f>IF(A360="","",INT((DAY(A360)-1)/7)+1)</f>
        <v/>
      </c>
      <c r="C360" s="9" t="n"/>
      <c r="D360" s="9" t="n"/>
      <c r="E360" s="9" t="n"/>
      <c r="F360" s="9" t="n"/>
      <c r="G360" s="9" t="n"/>
      <c r="H360" s="9" t="n"/>
      <c r="I360" s="9" t="n"/>
      <c r="J360" s="3" t="n"/>
      <c r="K360" s="9" t="n"/>
    </row>
    <row r="361">
      <c r="A361" s="4" t="n"/>
      <c r="B361" s="9">
        <f>IF(A361="","",INT((DAY(A361)-1)/7)+1)</f>
        <v/>
      </c>
      <c r="C361" s="9" t="n"/>
      <c r="D361" s="9" t="n"/>
      <c r="E361" s="9" t="n"/>
      <c r="F361" s="9" t="n"/>
      <c r="G361" s="9" t="n"/>
      <c r="H361" s="9" t="n"/>
      <c r="I361" s="9" t="n"/>
      <c r="J361" s="3" t="n"/>
      <c r="K361" s="9" t="n"/>
    </row>
    <row r="362">
      <c r="A362" s="4" t="n"/>
      <c r="B362" s="9">
        <f>IF(A362="","",INT((DAY(A362)-1)/7)+1)</f>
        <v/>
      </c>
      <c r="C362" s="9" t="n"/>
      <c r="D362" s="9" t="n"/>
      <c r="E362" s="9" t="n"/>
      <c r="F362" s="9" t="n"/>
      <c r="G362" s="9" t="n"/>
      <c r="H362" s="9" t="n"/>
      <c r="I362" s="9" t="n"/>
      <c r="J362" s="3" t="n"/>
      <c r="K362" s="9" t="n"/>
    </row>
    <row r="363">
      <c r="A363" s="4" t="n"/>
      <c r="B363" s="9">
        <f>IF(A363="","",INT((DAY(A363)-1)/7)+1)</f>
        <v/>
      </c>
      <c r="C363" s="9" t="n"/>
      <c r="D363" s="9" t="n"/>
      <c r="E363" s="9" t="n"/>
      <c r="F363" s="9" t="n"/>
      <c r="G363" s="9" t="n"/>
      <c r="H363" s="9" t="n"/>
      <c r="I363" s="9" t="n"/>
      <c r="J363" s="3" t="n"/>
      <c r="K363" s="9" t="n"/>
    </row>
    <row r="364">
      <c r="A364" s="4" t="n"/>
      <c r="B364" s="9">
        <f>IF(A364="","",INT((DAY(A364)-1)/7)+1)</f>
        <v/>
      </c>
      <c r="C364" s="9" t="n"/>
      <c r="D364" s="9" t="n"/>
      <c r="E364" s="9" t="n"/>
      <c r="F364" s="9" t="n"/>
      <c r="G364" s="9" t="n"/>
      <c r="H364" s="9" t="n"/>
      <c r="I364" s="9" t="n"/>
      <c r="J364" s="3" t="n"/>
      <c r="K364" s="9" t="n"/>
    </row>
    <row r="365">
      <c r="A365" s="4" t="n"/>
      <c r="B365" s="9">
        <f>IF(A365="","",INT((DAY(A365)-1)/7)+1)</f>
        <v/>
      </c>
      <c r="C365" s="9" t="n"/>
      <c r="D365" s="9" t="n"/>
      <c r="E365" s="9" t="n"/>
      <c r="F365" s="9" t="n"/>
      <c r="G365" s="9" t="n"/>
      <c r="H365" s="9" t="n"/>
      <c r="I365" s="9" t="n"/>
      <c r="J365" s="3" t="n"/>
      <c r="K365" s="9" t="n"/>
    </row>
    <row r="366">
      <c r="A366" s="4" t="n"/>
      <c r="B366" s="9">
        <f>IF(A366="","",INT((DAY(A366)-1)/7)+1)</f>
        <v/>
      </c>
      <c r="C366" s="9" t="n"/>
      <c r="D366" s="9" t="n"/>
      <c r="E366" s="9" t="n"/>
      <c r="F366" s="9" t="n"/>
      <c r="G366" s="9" t="n"/>
      <c r="H366" s="9" t="n"/>
      <c r="I366" s="9" t="n"/>
      <c r="J366" s="3" t="n"/>
      <c r="K366" s="9" t="n"/>
    </row>
    <row r="367">
      <c r="A367" s="4" t="n"/>
      <c r="B367" s="9">
        <f>IF(A367="","",INT((DAY(A367)-1)/7)+1)</f>
        <v/>
      </c>
      <c r="C367" s="9" t="n"/>
      <c r="D367" s="9" t="n"/>
      <c r="E367" s="9" t="n"/>
      <c r="F367" s="9" t="n"/>
      <c r="G367" s="9" t="n"/>
      <c r="H367" s="9" t="n"/>
      <c r="I367" s="9" t="n"/>
      <c r="J367" s="3" t="n"/>
      <c r="K367" s="9" t="n"/>
    </row>
    <row r="368">
      <c r="A368" s="4" t="n"/>
      <c r="B368" s="9">
        <f>IF(A368="","",INT((DAY(A368)-1)/7)+1)</f>
        <v/>
      </c>
      <c r="C368" s="9" t="n"/>
      <c r="D368" s="9" t="n"/>
      <c r="E368" s="9" t="n"/>
      <c r="F368" s="9" t="n"/>
      <c r="G368" s="9" t="n"/>
      <c r="H368" s="9" t="n"/>
      <c r="I368" s="9" t="n"/>
      <c r="J368" s="3" t="n"/>
      <c r="K368" s="9" t="n"/>
    </row>
    <row r="369">
      <c r="A369" s="4" t="n"/>
      <c r="B369" s="9">
        <f>IF(A369="","",INT((DAY(A369)-1)/7)+1)</f>
        <v/>
      </c>
      <c r="C369" s="9" t="n"/>
      <c r="D369" s="9" t="n"/>
      <c r="E369" s="9" t="n"/>
      <c r="F369" s="9" t="n"/>
      <c r="G369" s="9" t="n"/>
      <c r="H369" s="9" t="n"/>
      <c r="I369" s="9" t="n"/>
      <c r="J369" s="3" t="n"/>
      <c r="K369" s="9" t="n"/>
    </row>
    <row r="370">
      <c r="A370" s="4" t="n"/>
      <c r="B370" s="9">
        <f>IF(A370="","",INT((DAY(A370)-1)/7)+1)</f>
        <v/>
      </c>
      <c r="C370" s="9" t="n"/>
      <c r="D370" s="9" t="n"/>
      <c r="E370" s="9" t="n"/>
      <c r="F370" s="9" t="n"/>
      <c r="G370" s="9" t="n"/>
      <c r="H370" s="9" t="n"/>
      <c r="I370" s="9" t="n"/>
      <c r="J370" s="3" t="n"/>
      <c r="K370" s="9" t="n"/>
    </row>
    <row r="371">
      <c r="A371" s="4" t="n"/>
      <c r="B371" s="9">
        <f>IF(A371="","",INT((DAY(A371)-1)/7)+1)</f>
        <v/>
      </c>
      <c r="C371" s="9" t="n"/>
      <c r="D371" s="9" t="n"/>
      <c r="E371" s="9" t="n"/>
      <c r="F371" s="9" t="n"/>
      <c r="G371" s="9" t="n"/>
      <c r="H371" s="9" t="n"/>
      <c r="I371" s="9" t="n"/>
      <c r="J371" s="3" t="n"/>
      <c r="K371" s="9" t="n"/>
    </row>
    <row r="372">
      <c r="A372" s="4" t="n"/>
      <c r="B372" s="9">
        <f>IF(A372="","",INT((DAY(A372)-1)/7)+1)</f>
        <v/>
      </c>
      <c r="C372" s="9" t="n"/>
      <c r="D372" s="9" t="n"/>
      <c r="E372" s="9" t="n"/>
      <c r="F372" s="9" t="n"/>
      <c r="G372" s="9" t="n"/>
      <c r="H372" s="9" t="n"/>
      <c r="I372" s="9" t="n"/>
      <c r="J372" s="3" t="n"/>
      <c r="K372" s="9" t="n"/>
    </row>
    <row r="373">
      <c r="A373" s="4" t="n"/>
      <c r="B373" s="9">
        <f>IF(A373="","",INT((DAY(A373)-1)/7)+1)</f>
        <v/>
      </c>
      <c r="C373" s="9" t="n"/>
      <c r="D373" s="9" t="n"/>
      <c r="E373" s="9" t="n"/>
      <c r="F373" s="9" t="n"/>
      <c r="G373" s="9" t="n"/>
      <c r="H373" s="9" t="n"/>
      <c r="I373" s="9" t="n"/>
      <c r="J373" s="3" t="n"/>
      <c r="K373" s="9" t="n"/>
    </row>
    <row r="374">
      <c r="A374" s="4" t="n"/>
      <c r="B374" s="9">
        <f>IF(A374="","",INT((DAY(A374)-1)/7)+1)</f>
        <v/>
      </c>
      <c r="C374" s="9" t="n"/>
      <c r="D374" s="9" t="n"/>
      <c r="E374" s="9" t="n"/>
      <c r="F374" s="9" t="n"/>
      <c r="G374" s="9" t="n"/>
      <c r="H374" s="9" t="n"/>
      <c r="I374" s="9" t="n"/>
      <c r="J374" s="3" t="n"/>
      <c r="K374" s="9" t="n"/>
    </row>
    <row r="375">
      <c r="A375" s="4" t="n"/>
      <c r="B375" s="9">
        <f>IF(A375="","",INT((DAY(A375)-1)/7)+1)</f>
        <v/>
      </c>
      <c r="C375" s="9" t="n"/>
      <c r="D375" s="9" t="n"/>
      <c r="E375" s="9" t="n"/>
      <c r="F375" s="9" t="n"/>
      <c r="G375" s="9" t="n"/>
      <c r="H375" s="9" t="n"/>
      <c r="I375" s="9" t="n"/>
      <c r="J375" s="3" t="n"/>
      <c r="K375" s="9" t="n"/>
    </row>
    <row r="376">
      <c r="A376" s="4" t="n"/>
      <c r="B376" s="9">
        <f>IF(A376="","",INT((DAY(A376)-1)/7)+1)</f>
        <v/>
      </c>
      <c r="C376" s="9" t="n"/>
      <c r="D376" s="9" t="n"/>
      <c r="E376" s="9" t="n"/>
      <c r="F376" s="9" t="n"/>
      <c r="G376" s="9" t="n"/>
      <c r="H376" s="9" t="n"/>
      <c r="I376" s="9" t="n"/>
      <c r="J376" s="3" t="n"/>
      <c r="K376" s="9" t="n"/>
    </row>
    <row r="377">
      <c r="A377" s="4" t="n"/>
      <c r="B377" s="9">
        <f>IF(A377="","",INT((DAY(A377)-1)/7)+1)</f>
        <v/>
      </c>
      <c r="C377" s="9" t="n"/>
      <c r="D377" s="9" t="n"/>
      <c r="E377" s="9" t="n"/>
      <c r="F377" s="9" t="n"/>
      <c r="G377" s="9" t="n"/>
      <c r="H377" s="9" t="n"/>
      <c r="I377" s="9" t="n"/>
      <c r="J377" s="3" t="n"/>
      <c r="K377" s="9" t="n"/>
    </row>
    <row r="378">
      <c r="A378" s="4" t="n"/>
      <c r="B378" s="9">
        <f>IF(A378="","",INT((DAY(A378)-1)/7)+1)</f>
        <v/>
      </c>
      <c r="C378" s="9" t="n"/>
      <c r="D378" s="9" t="n"/>
      <c r="E378" s="9" t="n"/>
      <c r="F378" s="9" t="n"/>
      <c r="G378" s="9" t="n"/>
      <c r="H378" s="9" t="n"/>
      <c r="I378" s="9" t="n"/>
      <c r="J378" s="3" t="n"/>
      <c r="K378" s="9" t="n"/>
    </row>
    <row r="379">
      <c r="A379" s="4" t="n"/>
      <c r="B379" s="9">
        <f>IF(A379="","",INT((DAY(A379)-1)/7)+1)</f>
        <v/>
      </c>
      <c r="C379" s="9" t="n"/>
      <c r="D379" s="9" t="n"/>
      <c r="E379" s="9" t="n"/>
      <c r="F379" s="9" t="n"/>
      <c r="G379" s="9" t="n"/>
      <c r="H379" s="9" t="n"/>
      <c r="I379" s="9" t="n"/>
      <c r="J379" s="3" t="n"/>
      <c r="K379" s="9" t="n"/>
    </row>
    <row r="380">
      <c r="A380" s="4" t="n"/>
      <c r="B380" s="9">
        <f>IF(A380="","",INT((DAY(A380)-1)/7)+1)</f>
        <v/>
      </c>
      <c r="C380" s="9" t="n"/>
      <c r="D380" s="9" t="n"/>
      <c r="E380" s="9" t="n"/>
      <c r="F380" s="9" t="n"/>
      <c r="G380" s="9" t="n"/>
      <c r="H380" s="9" t="n"/>
      <c r="I380" s="9" t="n"/>
      <c r="J380" s="3" t="n"/>
      <c r="K380" s="9" t="n"/>
    </row>
    <row r="381">
      <c r="A381" s="4" t="n"/>
      <c r="B381" s="9">
        <f>IF(A381="","",INT((DAY(A381)-1)/7)+1)</f>
        <v/>
      </c>
      <c r="C381" s="9" t="n"/>
      <c r="D381" s="9" t="n"/>
      <c r="E381" s="9" t="n"/>
      <c r="F381" s="9" t="n"/>
      <c r="G381" s="9" t="n"/>
      <c r="H381" s="9" t="n"/>
      <c r="I381" s="9" t="n"/>
      <c r="J381" s="3" t="n"/>
      <c r="K381" s="9" t="n"/>
    </row>
    <row r="382">
      <c r="A382" s="4" t="n"/>
      <c r="B382" s="9">
        <f>IF(A382="","",INT((DAY(A382)-1)/7)+1)</f>
        <v/>
      </c>
      <c r="C382" s="9" t="n"/>
      <c r="D382" s="9" t="n"/>
      <c r="E382" s="9" t="n"/>
      <c r="F382" s="9" t="n"/>
      <c r="G382" s="9" t="n"/>
      <c r="H382" s="9" t="n"/>
      <c r="I382" s="9" t="n"/>
      <c r="J382" s="3" t="n"/>
      <c r="K382" s="9" t="n"/>
    </row>
    <row r="383">
      <c r="A383" s="4" t="n"/>
      <c r="B383" s="9">
        <f>IF(A383="","",INT((DAY(A383)-1)/7)+1)</f>
        <v/>
      </c>
      <c r="C383" s="9" t="n"/>
      <c r="D383" s="9" t="n"/>
      <c r="E383" s="9" t="n"/>
      <c r="F383" s="9" t="n"/>
      <c r="G383" s="9" t="n"/>
      <c r="H383" s="9" t="n"/>
      <c r="I383" s="9" t="n"/>
      <c r="J383" s="3" t="n"/>
      <c r="K383" s="9" t="n"/>
    </row>
    <row r="384">
      <c r="A384" s="4" t="n"/>
      <c r="B384" s="9">
        <f>IF(A384="","",INT((DAY(A384)-1)/7)+1)</f>
        <v/>
      </c>
      <c r="C384" s="9" t="n"/>
      <c r="D384" s="9" t="n"/>
      <c r="E384" s="9" t="n"/>
      <c r="F384" s="9" t="n"/>
      <c r="G384" s="9" t="n"/>
      <c r="H384" s="9" t="n"/>
      <c r="I384" s="9" t="n"/>
      <c r="J384" s="3" t="n"/>
      <c r="K384" s="9" t="n"/>
    </row>
    <row r="385">
      <c r="A385" s="4" t="n"/>
      <c r="B385" s="9">
        <f>IF(A385="","",INT((DAY(A385)-1)/7)+1)</f>
        <v/>
      </c>
      <c r="C385" s="9" t="n"/>
      <c r="D385" s="9" t="n"/>
      <c r="E385" s="9" t="n"/>
      <c r="F385" s="9" t="n"/>
      <c r="G385" s="9" t="n"/>
      <c r="H385" s="9" t="n"/>
      <c r="I385" s="9" t="n"/>
      <c r="J385" s="3" t="n"/>
      <c r="K385" s="9" t="n"/>
    </row>
    <row r="386">
      <c r="A386" s="4" t="n"/>
      <c r="B386" s="9">
        <f>IF(A386="","",INT((DAY(A386)-1)/7)+1)</f>
        <v/>
      </c>
      <c r="C386" s="9" t="n"/>
      <c r="D386" s="9" t="n"/>
      <c r="E386" s="9" t="n"/>
      <c r="F386" s="9" t="n"/>
      <c r="G386" s="9" t="n"/>
      <c r="H386" s="9" t="n"/>
      <c r="I386" s="9" t="n"/>
      <c r="J386" s="3" t="n"/>
      <c r="K386" s="9" t="n"/>
    </row>
    <row r="387">
      <c r="A387" s="4" t="n"/>
      <c r="B387" s="9">
        <f>IF(A387="","",INT((DAY(A387)-1)/7)+1)</f>
        <v/>
      </c>
      <c r="C387" s="9" t="n"/>
      <c r="D387" s="9" t="n"/>
      <c r="E387" s="9" t="n"/>
      <c r="F387" s="9" t="n"/>
      <c r="G387" s="9" t="n"/>
      <c r="H387" s="9" t="n"/>
      <c r="I387" s="9" t="n"/>
      <c r="J387" s="3" t="n"/>
      <c r="K387" s="9" t="n"/>
    </row>
    <row r="388">
      <c r="A388" s="4" t="n"/>
      <c r="B388" s="9">
        <f>IF(A388="","",INT((DAY(A388)-1)/7)+1)</f>
        <v/>
      </c>
      <c r="C388" s="9" t="n"/>
      <c r="D388" s="9" t="n"/>
      <c r="E388" s="9" t="n"/>
      <c r="F388" s="9" t="n"/>
      <c r="G388" s="9" t="n"/>
      <c r="H388" s="9" t="n"/>
      <c r="I388" s="9" t="n"/>
      <c r="J388" s="3" t="n"/>
      <c r="K388" s="9" t="n"/>
    </row>
    <row r="389">
      <c r="A389" s="4" t="n"/>
      <c r="B389" s="9">
        <f>IF(A389="","",INT((DAY(A389)-1)/7)+1)</f>
        <v/>
      </c>
      <c r="C389" s="9" t="n"/>
      <c r="D389" s="9" t="n"/>
      <c r="E389" s="9" t="n"/>
      <c r="F389" s="9" t="n"/>
      <c r="G389" s="9" t="n"/>
      <c r="H389" s="9" t="n"/>
      <c r="I389" s="9" t="n"/>
      <c r="J389" s="3" t="n"/>
      <c r="K389" s="9" t="n"/>
    </row>
    <row r="390">
      <c r="A390" s="4" t="n"/>
      <c r="B390" s="9">
        <f>IF(A390="","",INT((DAY(A390)-1)/7)+1)</f>
        <v/>
      </c>
      <c r="C390" s="9" t="n"/>
      <c r="D390" s="9" t="n"/>
      <c r="E390" s="9" t="n"/>
      <c r="F390" s="9" t="n"/>
      <c r="G390" s="9" t="n"/>
      <c r="H390" s="9" t="n"/>
      <c r="I390" s="9" t="n"/>
      <c r="J390" s="3" t="n"/>
      <c r="K390" s="9" t="n"/>
    </row>
    <row r="391">
      <c r="A391" s="4" t="n"/>
      <c r="B391" s="9">
        <f>IF(A391="","",INT((DAY(A391)-1)/7)+1)</f>
        <v/>
      </c>
      <c r="C391" s="9" t="n"/>
      <c r="D391" s="9" t="n"/>
      <c r="E391" s="9" t="n"/>
      <c r="F391" s="9" t="n"/>
      <c r="G391" s="9" t="n"/>
      <c r="H391" s="9" t="n"/>
      <c r="I391" s="9" t="n"/>
      <c r="J391" s="3" t="n"/>
      <c r="K391" s="9" t="n"/>
    </row>
    <row r="392">
      <c r="A392" s="4" t="n"/>
      <c r="B392" s="9">
        <f>IF(A392="","",INT((DAY(A392)-1)/7)+1)</f>
        <v/>
      </c>
      <c r="C392" s="9" t="n"/>
      <c r="D392" s="9" t="n"/>
      <c r="E392" s="9" t="n"/>
      <c r="F392" s="9" t="n"/>
      <c r="G392" s="9" t="n"/>
      <c r="H392" s="9" t="n"/>
      <c r="I392" s="9" t="n"/>
      <c r="J392" s="3" t="n"/>
      <c r="K392" s="9" t="n"/>
    </row>
    <row r="393">
      <c r="A393" s="4" t="n"/>
      <c r="B393" s="9">
        <f>IF(A393="","",INT((DAY(A393)-1)/7)+1)</f>
        <v/>
      </c>
      <c r="C393" s="9" t="n"/>
      <c r="D393" s="9" t="n"/>
      <c r="E393" s="9" t="n"/>
      <c r="F393" s="9" t="n"/>
      <c r="G393" s="9" t="n"/>
      <c r="H393" s="9" t="n"/>
      <c r="I393" s="9" t="n"/>
      <c r="J393" s="3" t="n"/>
      <c r="K393" s="9" t="n"/>
    </row>
    <row r="394">
      <c r="A394" s="4" t="n"/>
      <c r="B394" s="9">
        <f>IF(A394="","",INT((DAY(A394)-1)/7)+1)</f>
        <v/>
      </c>
      <c r="C394" s="9" t="n"/>
      <c r="D394" s="9" t="n"/>
      <c r="E394" s="9" t="n"/>
      <c r="F394" s="9" t="n"/>
      <c r="G394" s="9" t="n"/>
      <c r="H394" s="9" t="n"/>
      <c r="I394" s="9" t="n"/>
      <c r="J394" s="3" t="n"/>
      <c r="K394" s="9" t="n"/>
    </row>
    <row r="395">
      <c r="A395" s="4" t="n"/>
      <c r="B395" s="9">
        <f>IF(A395="","",INT((DAY(A395)-1)/7)+1)</f>
        <v/>
      </c>
      <c r="C395" s="9" t="n"/>
      <c r="D395" s="9" t="n"/>
      <c r="E395" s="9" t="n"/>
      <c r="F395" s="9" t="n"/>
      <c r="G395" s="9" t="n"/>
      <c r="H395" s="9" t="n"/>
      <c r="I395" s="9" t="n"/>
      <c r="J395" s="3" t="n"/>
      <c r="K395" s="9" t="n"/>
    </row>
    <row r="396">
      <c r="A396" s="4" t="n"/>
      <c r="B396" s="9">
        <f>IF(A396="","",INT((DAY(A396)-1)/7)+1)</f>
        <v/>
      </c>
      <c r="C396" s="9" t="n"/>
      <c r="D396" s="9" t="n"/>
      <c r="E396" s="9" t="n"/>
      <c r="F396" s="9" t="n"/>
      <c r="G396" s="9" t="n"/>
      <c r="H396" s="9" t="n"/>
      <c r="I396" s="9" t="n"/>
      <c r="J396" s="3" t="n"/>
      <c r="K396" s="9" t="n"/>
    </row>
    <row r="397">
      <c r="A397" s="4" t="n"/>
      <c r="B397" s="9">
        <f>IF(A397="","",INT((DAY(A397)-1)/7)+1)</f>
        <v/>
      </c>
      <c r="C397" s="9" t="n"/>
      <c r="D397" s="9" t="n"/>
      <c r="E397" s="9" t="n"/>
      <c r="F397" s="9" t="n"/>
      <c r="G397" s="9" t="n"/>
      <c r="H397" s="9" t="n"/>
      <c r="I397" s="9" t="n"/>
      <c r="J397" s="3" t="n"/>
      <c r="K397" s="9" t="n"/>
    </row>
    <row r="398">
      <c r="A398" s="4" t="n"/>
      <c r="B398" s="9">
        <f>IF(A398="","",INT((DAY(A398)-1)/7)+1)</f>
        <v/>
      </c>
      <c r="C398" s="9" t="n"/>
      <c r="D398" s="9" t="n"/>
      <c r="E398" s="9" t="n"/>
      <c r="F398" s="9" t="n"/>
      <c r="G398" s="9" t="n"/>
      <c r="H398" s="9" t="n"/>
      <c r="I398" s="9" t="n"/>
      <c r="J398" s="3" t="n"/>
      <c r="K398" s="9" t="n"/>
    </row>
    <row r="399">
      <c r="A399" s="4" t="n"/>
      <c r="B399" s="9">
        <f>IF(A399="","",INT((DAY(A399)-1)/7)+1)</f>
        <v/>
      </c>
      <c r="C399" s="9" t="n"/>
      <c r="D399" s="9" t="n"/>
      <c r="E399" s="9" t="n"/>
      <c r="F399" s="9" t="n"/>
      <c r="G399" s="9" t="n"/>
      <c r="H399" s="9" t="n"/>
      <c r="I399" s="9" t="n"/>
      <c r="J399" s="3" t="n"/>
      <c r="K399" s="9" t="n"/>
    </row>
    <row r="400">
      <c r="A400" s="4" t="n"/>
      <c r="B400" s="9">
        <f>IF(A400="","",INT((DAY(A400)-1)/7)+1)</f>
        <v/>
      </c>
      <c r="C400" s="9" t="n"/>
      <c r="D400" s="9" t="n"/>
      <c r="E400" s="9" t="n"/>
      <c r="F400" s="9" t="n"/>
      <c r="G400" s="9" t="n"/>
      <c r="H400" s="9" t="n"/>
      <c r="I400" s="9" t="n"/>
      <c r="J400" s="3" t="n"/>
      <c r="K400" s="9" t="n"/>
    </row>
    <row r="401">
      <c r="A401" s="4" t="n"/>
      <c r="B401" s="9">
        <f>IF(A401="","",INT((DAY(A401)-1)/7)+1)</f>
        <v/>
      </c>
      <c r="C401" s="9" t="n"/>
      <c r="D401" s="9" t="n"/>
      <c r="E401" s="9" t="n"/>
      <c r="F401" s="9" t="n"/>
      <c r="G401" s="9" t="n"/>
      <c r="H401" s="9" t="n"/>
      <c r="I401" s="9" t="n"/>
      <c r="J401" s="3" t="n"/>
      <c r="K401" s="9" t="n"/>
    </row>
    <row r="402">
      <c r="A402" s="4" t="n"/>
      <c r="B402" s="9">
        <f>IF(A402="","",INT((DAY(A402)-1)/7)+1)</f>
        <v/>
      </c>
      <c r="C402" s="9" t="n"/>
      <c r="D402" s="9" t="n"/>
      <c r="E402" s="9" t="n"/>
      <c r="F402" s="9" t="n"/>
      <c r="G402" s="9" t="n"/>
      <c r="H402" s="9" t="n"/>
      <c r="I402" s="9" t="n"/>
      <c r="J402" s="3" t="n"/>
      <c r="K402" s="9" t="n"/>
    </row>
    <row r="403">
      <c r="A403" s="4" t="n"/>
      <c r="B403" s="9">
        <f>IF(A403="","",INT((DAY(A403)-1)/7)+1)</f>
        <v/>
      </c>
      <c r="C403" s="9" t="n"/>
      <c r="D403" s="9" t="n"/>
      <c r="E403" s="9" t="n"/>
      <c r="F403" s="9" t="n"/>
      <c r="G403" s="9" t="n"/>
      <c r="H403" s="9" t="n"/>
      <c r="I403" s="9" t="n"/>
      <c r="J403" s="3" t="n"/>
      <c r="K403" s="9" t="n"/>
    </row>
    <row r="404">
      <c r="A404" s="4" t="n"/>
      <c r="B404" s="9">
        <f>IF(A404="","",INT((DAY(A404)-1)/7)+1)</f>
        <v/>
      </c>
      <c r="C404" s="9" t="n"/>
      <c r="D404" s="9" t="n"/>
      <c r="E404" s="9" t="n"/>
      <c r="F404" s="9" t="n"/>
      <c r="G404" s="9" t="n"/>
      <c r="H404" s="9" t="n"/>
      <c r="I404" s="9" t="n"/>
      <c r="J404" s="3" t="n"/>
      <c r="K404" s="9" t="n"/>
    </row>
    <row r="405">
      <c r="A405" s="4" t="n"/>
      <c r="B405" s="9">
        <f>IF(A405="","",INT((DAY(A405)-1)/7)+1)</f>
        <v/>
      </c>
      <c r="C405" s="9" t="n"/>
      <c r="D405" s="9" t="n"/>
      <c r="E405" s="9" t="n"/>
      <c r="F405" s="9" t="n"/>
      <c r="G405" s="9" t="n"/>
      <c r="H405" s="9" t="n"/>
      <c r="I405" s="9" t="n"/>
      <c r="J405" s="3" t="n"/>
      <c r="K405" s="9" t="n"/>
    </row>
    <row r="406">
      <c r="A406" s="4" t="n"/>
      <c r="B406" s="9">
        <f>IF(A406="","",INT((DAY(A406)-1)/7)+1)</f>
        <v/>
      </c>
      <c r="C406" s="9" t="n"/>
      <c r="D406" s="9" t="n"/>
      <c r="E406" s="9" t="n"/>
      <c r="F406" s="9" t="n"/>
      <c r="G406" s="9" t="n"/>
      <c r="H406" s="9" t="n"/>
      <c r="I406" s="9" t="n"/>
      <c r="J406" s="3" t="n"/>
      <c r="K406" s="9" t="n"/>
    </row>
    <row r="407">
      <c r="A407" s="4" t="n"/>
      <c r="B407" s="9">
        <f>IF(A407="","",INT((DAY(A407)-1)/7)+1)</f>
        <v/>
      </c>
      <c r="C407" s="9" t="n"/>
      <c r="D407" s="9" t="n"/>
      <c r="E407" s="9" t="n"/>
      <c r="F407" s="9" t="n"/>
      <c r="G407" s="9" t="n"/>
      <c r="H407" s="9" t="n"/>
      <c r="I407" s="9" t="n"/>
      <c r="J407" s="3" t="n"/>
      <c r="K407" s="9" t="n"/>
    </row>
    <row r="408">
      <c r="A408" s="4" t="n"/>
      <c r="B408" s="9">
        <f>IF(A408="","",INT((DAY(A408)-1)/7)+1)</f>
        <v/>
      </c>
      <c r="C408" s="9" t="n"/>
      <c r="D408" s="9" t="n"/>
      <c r="E408" s="9" t="n"/>
      <c r="F408" s="9" t="n"/>
      <c r="G408" s="9" t="n"/>
      <c r="H408" s="9" t="n"/>
      <c r="I408" s="9" t="n"/>
      <c r="J408" s="3" t="n"/>
      <c r="K408" s="9" t="n"/>
    </row>
    <row r="409">
      <c r="A409" s="4" t="n"/>
      <c r="B409" s="9">
        <f>IF(A409="","",INT((DAY(A409)-1)/7)+1)</f>
        <v/>
      </c>
      <c r="C409" s="9" t="n"/>
      <c r="D409" s="9" t="n"/>
      <c r="E409" s="9" t="n"/>
      <c r="F409" s="9" t="n"/>
      <c r="G409" s="9" t="n"/>
      <c r="H409" s="9" t="n"/>
      <c r="I409" s="9" t="n"/>
      <c r="J409" s="3" t="n"/>
      <c r="K409" s="9" t="n"/>
    </row>
    <row r="410">
      <c r="A410" s="4" t="n"/>
      <c r="B410" s="9">
        <f>IF(A410="","",INT((DAY(A410)-1)/7)+1)</f>
        <v/>
      </c>
      <c r="C410" s="9" t="n"/>
      <c r="D410" s="9" t="n"/>
      <c r="E410" s="9" t="n"/>
      <c r="F410" s="9" t="n"/>
      <c r="G410" s="9" t="n"/>
      <c r="H410" s="9" t="n"/>
      <c r="I410" s="9" t="n"/>
      <c r="J410" s="3" t="n"/>
      <c r="K410" s="9" t="n"/>
    </row>
    <row r="411">
      <c r="A411" s="4" t="n"/>
      <c r="B411" s="9">
        <f>IF(A411="","",INT((DAY(A411)-1)/7)+1)</f>
        <v/>
      </c>
      <c r="C411" s="9" t="n"/>
      <c r="D411" s="9" t="n"/>
      <c r="E411" s="9" t="n"/>
      <c r="F411" s="9" t="n"/>
      <c r="G411" s="9" t="n"/>
      <c r="H411" s="9" t="n"/>
      <c r="I411" s="9" t="n"/>
      <c r="J411" s="3" t="n"/>
      <c r="K411" s="9" t="n"/>
    </row>
    <row r="412">
      <c r="A412" s="4" t="n"/>
      <c r="B412" s="9">
        <f>IF(A412="","",INT((DAY(A412)-1)/7)+1)</f>
        <v/>
      </c>
      <c r="C412" s="9" t="n"/>
      <c r="D412" s="9" t="n"/>
      <c r="E412" s="9" t="n"/>
      <c r="F412" s="9" t="n"/>
      <c r="G412" s="9" t="n"/>
      <c r="H412" s="9" t="n"/>
      <c r="I412" s="9" t="n"/>
      <c r="J412" s="3" t="n"/>
      <c r="K412" s="9" t="n"/>
    </row>
    <row r="413">
      <c r="A413" s="4" t="n"/>
      <c r="B413" s="9">
        <f>IF(A413="","",INT((DAY(A413)-1)/7)+1)</f>
        <v/>
      </c>
      <c r="C413" s="9" t="n"/>
      <c r="D413" s="9" t="n"/>
      <c r="E413" s="9" t="n"/>
      <c r="F413" s="9" t="n"/>
      <c r="G413" s="9" t="n"/>
      <c r="H413" s="9" t="n"/>
      <c r="I413" s="9" t="n"/>
      <c r="J413" s="3" t="n"/>
      <c r="K413" s="9" t="n"/>
    </row>
    <row r="414">
      <c r="A414" s="4" t="n"/>
      <c r="B414" s="9">
        <f>IF(A414="","",INT((DAY(A414)-1)/7)+1)</f>
        <v/>
      </c>
      <c r="C414" s="9" t="n"/>
      <c r="D414" s="9" t="n"/>
      <c r="E414" s="9" t="n"/>
      <c r="F414" s="9" t="n"/>
      <c r="G414" s="9" t="n"/>
      <c r="H414" s="9" t="n"/>
      <c r="I414" s="9" t="n"/>
      <c r="J414" s="3" t="n"/>
      <c r="K414" s="9" t="n"/>
    </row>
    <row r="415">
      <c r="A415" s="4" t="n"/>
      <c r="B415" s="9">
        <f>IF(A415="","",INT((DAY(A415)-1)/7)+1)</f>
        <v/>
      </c>
      <c r="C415" s="9" t="n"/>
      <c r="D415" s="9" t="n"/>
      <c r="E415" s="9" t="n"/>
      <c r="F415" s="9" t="n"/>
      <c r="G415" s="9" t="n"/>
      <c r="H415" s="9" t="n"/>
      <c r="I415" s="9" t="n"/>
      <c r="J415" s="3" t="n"/>
      <c r="K415" s="9" t="n"/>
    </row>
    <row r="416">
      <c r="A416" s="4" t="n"/>
      <c r="B416" s="9">
        <f>IF(A416="","",INT((DAY(A416)-1)/7)+1)</f>
        <v/>
      </c>
      <c r="C416" s="9" t="n"/>
      <c r="D416" s="9" t="n"/>
      <c r="E416" s="9" t="n"/>
      <c r="F416" s="9" t="n"/>
      <c r="G416" s="9" t="n"/>
      <c r="H416" s="9" t="n"/>
      <c r="I416" s="9" t="n"/>
      <c r="J416" s="3" t="n"/>
      <c r="K416" s="9" t="n"/>
    </row>
    <row r="417">
      <c r="A417" s="4" t="n"/>
      <c r="B417" s="9">
        <f>IF(A417="","",INT((DAY(A417)-1)/7)+1)</f>
        <v/>
      </c>
      <c r="C417" s="9" t="n"/>
      <c r="D417" s="9" t="n"/>
      <c r="E417" s="9" t="n"/>
      <c r="F417" s="9" t="n"/>
      <c r="G417" s="9" t="n"/>
      <c r="H417" s="9" t="n"/>
      <c r="I417" s="9" t="n"/>
      <c r="J417" s="3" t="n"/>
      <c r="K417" s="9" t="n"/>
    </row>
    <row r="418">
      <c r="A418" s="4" t="n"/>
      <c r="B418" s="9">
        <f>IF(A418="","",INT((DAY(A418)-1)/7)+1)</f>
        <v/>
      </c>
      <c r="C418" s="9" t="n"/>
      <c r="D418" s="9" t="n"/>
      <c r="E418" s="9" t="n"/>
      <c r="F418" s="9" t="n"/>
      <c r="G418" s="9" t="n"/>
      <c r="H418" s="9" t="n"/>
      <c r="I418" s="9" t="n"/>
      <c r="J418" s="3" t="n"/>
      <c r="K418" s="9" t="n"/>
    </row>
    <row r="419">
      <c r="A419" s="4" t="n"/>
      <c r="B419" s="9">
        <f>IF(A419="","",INT((DAY(A419)-1)/7)+1)</f>
        <v/>
      </c>
      <c r="C419" s="9" t="n"/>
      <c r="D419" s="9" t="n"/>
      <c r="E419" s="9" t="n"/>
      <c r="F419" s="9" t="n"/>
      <c r="G419" s="9" t="n"/>
      <c r="H419" s="9" t="n"/>
      <c r="I419" s="9" t="n"/>
      <c r="J419" s="3" t="n"/>
      <c r="K419" s="9" t="n"/>
    </row>
    <row r="420">
      <c r="A420" s="4" t="n"/>
      <c r="B420" s="9">
        <f>IF(A420="","",INT((DAY(A420)-1)/7)+1)</f>
        <v/>
      </c>
      <c r="C420" s="9" t="n"/>
      <c r="D420" s="9" t="n"/>
      <c r="E420" s="9" t="n"/>
      <c r="F420" s="9" t="n"/>
      <c r="G420" s="9" t="n"/>
      <c r="H420" s="9" t="n"/>
      <c r="I420" s="9" t="n"/>
      <c r="J420" s="3" t="n"/>
      <c r="K420" s="9" t="n"/>
    </row>
    <row r="421">
      <c r="A421" s="4" t="n"/>
      <c r="B421" s="9">
        <f>IF(A421="","",INT((DAY(A421)-1)/7)+1)</f>
        <v/>
      </c>
      <c r="C421" s="9" t="n"/>
      <c r="D421" s="9" t="n"/>
      <c r="E421" s="9" t="n"/>
      <c r="F421" s="9" t="n"/>
      <c r="G421" s="9" t="n"/>
      <c r="H421" s="9" t="n"/>
      <c r="I421" s="9" t="n"/>
      <c r="J421" s="3" t="n"/>
      <c r="K421" s="9" t="n"/>
    </row>
    <row r="422">
      <c r="A422" s="4" t="n"/>
      <c r="B422" s="9">
        <f>IF(A422="","",INT((DAY(A422)-1)/7)+1)</f>
        <v/>
      </c>
      <c r="C422" s="9" t="n"/>
      <c r="D422" s="9" t="n"/>
      <c r="E422" s="9" t="n"/>
      <c r="F422" s="9" t="n"/>
      <c r="G422" s="9" t="n"/>
      <c r="H422" s="9" t="n"/>
      <c r="I422" s="9" t="n"/>
      <c r="J422" s="3" t="n"/>
      <c r="K422" s="9" t="n"/>
    </row>
    <row r="423">
      <c r="A423" s="4" t="n"/>
      <c r="B423" s="9">
        <f>IF(A423="","",INT((DAY(A423)-1)/7)+1)</f>
        <v/>
      </c>
      <c r="C423" s="9" t="n"/>
      <c r="D423" s="9" t="n"/>
      <c r="E423" s="9" t="n"/>
      <c r="F423" s="9" t="n"/>
      <c r="G423" s="9" t="n"/>
      <c r="H423" s="9" t="n"/>
      <c r="I423" s="9" t="n"/>
      <c r="J423" s="3" t="n"/>
      <c r="K423" s="9" t="n"/>
    </row>
    <row r="424">
      <c r="A424" s="4" t="n"/>
      <c r="B424" s="9">
        <f>IF(A424="","",INT((DAY(A424)-1)/7)+1)</f>
        <v/>
      </c>
      <c r="C424" s="9" t="n"/>
      <c r="D424" s="9" t="n"/>
      <c r="E424" s="9" t="n"/>
      <c r="F424" s="9" t="n"/>
      <c r="G424" s="9" t="n"/>
      <c r="H424" s="9" t="n"/>
      <c r="I424" s="9" t="n"/>
      <c r="J424" s="3" t="n"/>
      <c r="K424" s="9" t="n"/>
    </row>
    <row r="425">
      <c r="A425" s="4" t="n"/>
      <c r="B425" s="9">
        <f>IF(A425="","",INT((DAY(A425)-1)/7)+1)</f>
        <v/>
      </c>
      <c r="C425" s="9" t="n"/>
      <c r="D425" s="9" t="n"/>
      <c r="E425" s="9" t="n"/>
      <c r="F425" s="9" t="n"/>
      <c r="G425" s="9" t="n"/>
      <c r="H425" s="9" t="n"/>
      <c r="I425" s="9" t="n"/>
      <c r="J425" s="3" t="n"/>
      <c r="K425" s="9" t="n"/>
    </row>
    <row r="426">
      <c r="A426" s="4" t="n"/>
      <c r="B426" s="9">
        <f>IF(A426="","",INT((DAY(A426)-1)/7)+1)</f>
        <v/>
      </c>
      <c r="C426" s="9" t="n"/>
      <c r="D426" s="9" t="n"/>
      <c r="E426" s="9" t="n"/>
      <c r="F426" s="9" t="n"/>
      <c r="G426" s="9" t="n"/>
      <c r="H426" s="9" t="n"/>
      <c r="I426" s="9" t="n"/>
      <c r="J426" s="3" t="n"/>
      <c r="K426" s="9" t="n"/>
    </row>
    <row r="427">
      <c r="A427" s="4" t="n"/>
      <c r="B427" s="9">
        <f>IF(A427="","",INT((DAY(A427)-1)/7)+1)</f>
        <v/>
      </c>
      <c r="C427" s="9" t="n"/>
      <c r="D427" s="9" t="n"/>
      <c r="E427" s="9" t="n"/>
      <c r="F427" s="9" t="n"/>
      <c r="G427" s="9" t="n"/>
      <c r="H427" s="9" t="n"/>
      <c r="I427" s="9" t="n"/>
      <c r="J427" s="3" t="n"/>
      <c r="K427" s="9" t="n"/>
    </row>
    <row r="428">
      <c r="A428" s="4" t="n"/>
      <c r="B428" s="9">
        <f>IF(A428="","",INT((DAY(A428)-1)/7)+1)</f>
        <v/>
      </c>
      <c r="C428" s="9" t="n"/>
      <c r="D428" s="9" t="n"/>
      <c r="E428" s="9" t="n"/>
      <c r="F428" s="9" t="n"/>
      <c r="G428" s="9" t="n"/>
      <c r="H428" s="9" t="n"/>
      <c r="I428" s="9" t="n"/>
      <c r="J428" s="3" t="n"/>
      <c r="K428" s="9" t="n"/>
    </row>
    <row r="429">
      <c r="A429" s="4" t="n"/>
      <c r="B429" s="9">
        <f>IF(A429="","",INT((DAY(A429)-1)/7)+1)</f>
        <v/>
      </c>
      <c r="C429" s="9" t="n"/>
      <c r="D429" s="9" t="n"/>
      <c r="E429" s="9" t="n"/>
      <c r="F429" s="9" t="n"/>
      <c r="G429" s="9" t="n"/>
      <c r="H429" s="9" t="n"/>
      <c r="I429" s="9" t="n"/>
      <c r="J429" s="3" t="n"/>
      <c r="K429" s="9" t="n"/>
    </row>
    <row r="430">
      <c r="A430" s="4" t="n"/>
      <c r="B430" s="9">
        <f>IF(A430="","",INT((DAY(A430)-1)/7)+1)</f>
        <v/>
      </c>
      <c r="C430" s="9" t="n"/>
      <c r="D430" s="9" t="n"/>
      <c r="E430" s="9" t="n"/>
      <c r="F430" s="9" t="n"/>
      <c r="G430" s="9" t="n"/>
      <c r="H430" s="9" t="n"/>
      <c r="I430" s="9" t="n"/>
      <c r="J430" s="3" t="n"/>
      <c r="K430" s="9" t="n"/>
    </row>
    <row r="431">
      <c r="A431" s="4" t="n"/>
      <c r="B431" s="9">
        <f>IF(A431="","",INT((DAY(A431)-1)/7)+1)</f>
        <v/>
      </c>
      <c r="C431" s="9" t="n"/>
      <c r="D431" s="9" t="n"/>
      <c r="E431" s="9" t="n"/>
      <c r="F431" s="9" t="n"/>
      <c r="G431" s="9" t="n"/>
      <c r="H431" s="9" t="n"/>
      <c r="I431" s="9" t="n"/>
      <c r="J431" s="3" t="n"/>
      <c r="K431" s="9" t="n"/>
    </row>
    <row r="432">
      <c r="A432" s="4" t="n"/>
      <c r="B432" s="9">
        <f>IF(A432="","",INT((DAY(A432)-1)/7)+1)</f>
        <v/>
      </c>
      <c r="C432" s="9" t="n"/>
      <c r="D432" s="9" t="n"/>
      <c r="E432" s="9" t="n"/>
      <c r="F432" s="9" t="n"/>
      <c r="G432" s="9" t="n"/>
      <c r="H432" s="9" t="n"/>
      <c r="I432" s="9" t="n"/>
      <c r="J432" s="3" t="n"/>
      <c r="K432" s="9" t="n"/>
    </row>
    <row r="433">
      <c r="A433" s="4" t="n"/>
      <c r="B433" s="9">
        <f>IF(A433="","",INT((DAY(A433)-1)/7)+1)</f>
        <v/>
      </c>
      <c r="C433" s="9" t="n"/>
      <c r="D433" s="9" t="n"/>
      <c r="E433" s="9" t="n"/>
      <c r="F433" s="9" t="n"/>
      <c r="G433" s="9" t="n"/>
      <c r="H433" s="9" t="n"/>
      <c r="I433" s="9" t="n"/>
      <c r="J433" s="3" t="n"/>
      <c r="K433" s="9" t="n"/>
    </row>
    <row r="434">
      <c r="A434" s="4" t="n"/>
      <c r="B434" s="9">
        <f>IF(A434="","",INT((DAY(A434)-1)/7)+1)</f>
        <v/>
      </c>
      <c r="C434" s="9" t="n"/>
      <c r="D434" s="9" t="n"/>
      <c r="E434" s="9" t="n"/>
      <c r="F434" s="9" t="n"/>
      <c r="G434" s="9" t="n"/>
      <c r="H434" s="9" t="n"/>
      <c r="I434" s="9" t="n"/>
      <c r="J434" s="3" t="n"/>
      <c r="K434" s="9" t="n"/>
    </row>
    <row r="435">
      <c r="A435" s="4" t="n"/>
      <c r="B435" s="9">
        <f>IF(A435="","",INT((DAY(A435)-1)/7)+1)</f>
        <v/>
      </c>
      <c r="C435" s="9" t="n"/>
      <c r="D435" s="9" t="n"/>
      <c r="E435" s="9" t="n"/>
      <c r="F435" s="9" t="n"/>
      <c r="G435" s="9" t="n"/>
      <c r="H435" s="9" t="n"/>
      <c r="I435" s="9" t="n"/>
      <c r="J435" s="3" t="n"/>
      <c r="K435" s="9" t="n"/>
    </row>
    <row r="436">
      <c r="A436" s="4" t="n"/>
      <c r="B436" s="9">
        <f>IF(A436="","",INT((DAY(A436)-1)/7)+1)</f>
        <v/>
      </c>
      <c r="C436" s="9" t="n"/>
      <c r="D436" s="9" t="n"/>
      <c r="E436" s="9" t="n"/>
      <c r="F436" s="9" t="n"/>
      <c r="G436" s="9" t="n"/>
      <c r="H436" s="9" t="n"/>
      <c r="I436" s="9" t="n"/>
      <c r="J436" s="3" t="n"/>
      <c r="K436" s="9" t="n"/>
    </row>
    <row r="437">
      <c r="A437" s="4" t="n"/>
      <c r="B437" s="9">
        <f>IF(A437="","",INT((DAY(A437)-1)/7)+1)</f>
        <v/>
      </c>
      <c r="C437" s="9" t="n"/>
      <c r="D437" s="9" t="n"/>
      <c r="E437" s="9" t="n"/>
      <c r="F437" s="9" t="n"/>
      <c r="G437" s="9" t="n"/>
      <c r="H437" s="9" t="n"/>
      <c r="I437" s="9" t="n"/>
      <c r="J437" s="3" t="n"/>
      <c r="K437" s="9" t="n"/>
    </row>
    <row r="438">
      <c r="A438" s="4" t="n"/>
      <c r="B438" s="9">
        <f>IF(A438="","",INT((DAY(A438)-1)/7)+1)</f>
        <v/>
      </c>
      <c r="C438" s="9" t="n"/>
      <c r="D438" s="9" t="n"/>
      <c r="E438" s="9" t="n"/>
      <c r="F438" s="9" t="n"/>
      <c r="G438" s="9" t="n"/>
      <c r="H438" s="9" t="n"/>
      <c r="I438" s="9" t="n"/>
      <c r="J438" s="3" t="n"/>
      <c r="K438" s="9" t="n"/>
    </row>
    <row r="439">
      <c r="A439" s="4" t="n"/>
      <c r="B439" s="9">
        <f>IF(A439="","",INT((DAY(A439)-1)/7)+1)</f>
        <v/>
      </c>
      <c r="C439" s="9" t="n"/>
      <c r="D439" s="9" t="n"/>
      <c r="E439" s="9" t="n"/>
      <c r="F439" s="9" t="n"/>
      <c r="G439" s="9" t="n"/>
      <c r="H439" s="9" t="n"/>
      <c r="I439" s="9" t="n"/>
      <c r="J439" s="3" t="n"/>
      <c r="K439" s="9" t="n"/>
    </row>
    <row r="440">
      <c r="A440" s="4" t="n"/>
      <c r="B440" s="9">
        <f>IF(A440="","",INT((DAY(A440)-1)/7)+1)</f>
        <v/>
      </c>
      <c r="C440" s="9" t="n"/>
      <c r="D440" s="9" t="n"/>
      <c r="E440" s="9" t="n"/>
      <c r="F440" s="9" t="n"/>
      <c r="G440" s="9" t="n"/>
      <c r="H440" s="9" t="n"/>
      <c r="I440" s="9" t="n"/>
      <c r="J440" s="3" t="n"/>
      <c r="K440" s="9" t="n"/>
    </row>
    <row r="441">
      <c r="A441" s="4" t="n"/>
      <c r="B441" s="9">
        <f>IF(A441="","",INT((DAY(A441)-1)/7)+1)</f>
        <v/>
      </c>
      <c r="C441" s="9" t="n"/>
      <c r="D441" s="9" t="n"/>
      <c r="E441" s="9" t="n"/>
      <c r="F441" s="9" t="n"/>
      <c r="G441" s="9" t="n"/>
      <c r="H441" s="9" t="n"/>
      <c r="I441" s="9" t="n"/>
      <c r="J441" s="3" t="n"/>
      <c r="K441" s="9" t="n"/>
    </row>
    <row r="442">
      <c r="A442" s="4" t="n"/>
      <c r="B442" s="9">
        <f>IF(A442="","",INT((DAY(A442)-1)/7)+1)</f>
        <v/>
      </c>
      <c r="C442" s="9" t="n"/>
      <c r="D442" s="9" t="n"/>
      <c r="E442" s="9" t="n"/>
      <c r="F442" s="9" t="n"/>
      <c r="G442" s="9" t="n"/>
      <c r="H442" s="9" t="n"/>
      <c r="I442" s="9" t="n"/>
      <c r="J442" s="3" t="n"/>
      <c r="K442" s="9" t="n"/>
    </row>
    <row r="443">
      <c r="A443" s="4" t="n"/>
      <c r="B443" s="9">
        <f>IF(A443="","",INT((DAY(A443)-1)/7)+1)</f>
        <v/>
      </c>
      <c r="C443" s="9" t="n"/>
      <c r="D443" s="9" t="n"/>
      <c r="E443" s="9" t="n"/>
      <c r="F443" s="9" t="n"/>
      <c r="G443" s="9" t="n"/>
      <c r="H443" s="9" t="n"/>
      <c r="I443" s="9" t="n"/>
      <c r="J443" s="3" t="n"/>
      <c r="K443" s="9" t="n"/>
    </row>
    <row r="444">
      <c r="A444" s="4" t="n"/>
      <c r="B444" s="9">
        <f>IF(A444="","",INT((DAY(A444)-1)/7)+1)</f>
        <v/>
      </c>
      <c r="C444" s="9" t="n"/>
      <c r="D444" s="9" t="n"/>
      <c r="E444" s="9" t="n"/>
      <c r="F444" s="9" t="n"/>
      <c r="G444" s="9" t="n"/>
      <c r="H444" s="9" t="n"/>
      <c r="I444" s="9" t="n"/>
      <c r="J444" s="3" t="n"/>
      <c r="K444" s="9" t="n"/>
    </row>
    <row r="445">
      <c r="A445" s="4" t="n"/>
      <c r="B445" s="9">
        <f>IF(A445="","",INT((DAY(A445)-1)/7)+1)</f>
        <v/>
      </c>
      <c r="C445" s="9" t="n"/>
      <c r="D445" s="9" t="n"/>
      <c r="E445" s="9" t="n"/>
      <c r="F445" s="9" t="n"/>
      <c r="G445" s="9" t="n"/>
      <c r="H445" s="9" t="n"/>
      <c r="I445" s="9" t="n"/>
      <c r="J445" s="3" t="n"/>
      <c r="K445" s="9" t="n"/>
    </row>
    <row r="446">
      <c r="A446" s="4" t="n"/>
      <c r="B446" s="9">
        <f>IF(A446="","",INT((DAY(A446)-1)/7)+1)</f>
        <v/>
      </c>
      <c r="C446" s="9" t="n"/>
      <c r="D446" s="9" t="n"/>
      <c r="E446" s="9" t="n"/>
      <c r="F446" s="9" t="n"/>
      <c r="G446" s="9" t="n"/>
      <c r="H446" s="9" t="n"/>
      <c r="I446" s="9" t="n"/>
      <c r="J446" s="3" t="n"/>
      <c r="K446" s="9" t="n"/>
    </row>
    <row r="447">
      <c r="A447" s="4" t="n"/>
      <c r="B447" s="9">
        <f>IF(A447="","",INT((DAY(A447)-1)/7)+1)</f>
        <v/>
      </c>
      <c r="C447" s="9" t="n"/>
      <c r="D447" s="9" t="n"/>
      <c r="E447" s="9" t="n"/>
      <c r="F447" s="9" t="n"/>
      <c r="G447" s="9" t="n"/>
      <c r="H447" s="9" t="n"/>
      <c r="I447" s="9" t="n"/>
      <c r="J447" s="3" t="n"/>
      <c r="K447" s="9" t="n"/>
    </row>
    <row r="448">
      <c r="A448" s="4" t="n"/>
      <c r="B448" s="9">
        <f>IF(A448="","",INT((DAY(A448)-1)/7)+1)</f>
        <v/>
      </c>
      <c r="C448" s="9" t="n"/>
      <c r="D448" s="9" t="n"/>
      <c r="E448" s="9" t="n"/>
      <c r="F448" s="9" t="n"/>
      <c r="G448" s="9" t="n"/>
      <c r="H448" s="9" t="n"/>
      <c r="I448" s="9" t="n"/>
      <c r="J448" s="3" t="n"/>
      <c r="K448" s="9" t="n"/>
    </row>
    <row r="449">
      <c r="A449" s="4" t="n"/>
      <c r="B449" s="9">
        <f>IF(A449="","",INT((DAY(A449)-1)/7)+1)</f>
        <v/>
      </c>
      <c r="C449" s="9" t="n"/>
      <c r="D449" s="9" t="n"/>
      <c r="E449" s="9" t="n"/>
      <c r="F449" s="9" t="n"/>
      <c r="G449" s="9" t="n"/>
      <c r="H449" s="9" t="n"/>
      <c r="I449" s="9" t="n"/>
      <c r="J449" s="3" t="n"/>
      <c r="K449" s="9" t="n"/>
    </row>
    <row r="450">
      <c r="A450" s="4" t="n"/>
      <c r="B450" s="9">
        <f>IF(A450="","",INT((DAY(A450)-1)/7)+1)</f>
        <v/>
      </c>
      <c r="C450" s="9" t="n"/>
      <c r="D450" s="9" t="n"/>
      <c r="E450" s="9" t="n"/>
      <c r="F450" s="9" t="n"/>
      <c r="G450" s="9" t="n"/>
      <c r="H450" s="9" t="n"/>
      <c r="I450" s="9" t="n"/>
      <c r="J450" s="3" t="n"/>
      <c r="K450" s="9" t="n"/>
    </row>
    <row r="451">
      <c r="A451" s="4" t="n"/>
      <c r="B451" s="9">
        <f>IF(A451="","",INT((DAY(A451)-1)/7)+1)</f>
        <v/>
      </c>
      <c r="C451" s="9" t="n"/>
      <c r="D451" s="9" t="n"/>
      <c r="E451" s="9" t="n"/>
      <c r="F451" s="9" t="n"/>
      <c r="G451" s="9" t="n"/>
      <c r="H451" s="9" t="n"/>
      <c r="I451" s="9" t="n"/>
      <c r="J451" s="3" t="n"/>
      <c r="K451" s="9" t="n"/>
    </row>
    <row r="452">
      <c r="A452" s="4" t="n"/>
      <c r="B452" s="9">
        <f>IF(A452="","",INT((DAY(A452)-1)/7)+1)</f>
        <v/>
      </c>
      <c r="C452" s="9" t="n"/>
      <c r="D452" s="9" t="n"/>
      <c r="E452" s="9" t="n"/>
      <c r="F452" s="9" t="n"/>
      <c r="G452" s="9" t="n"/>
      <c r="H452" s="9" t="n"/>
      <c r="I452" s="9" t="n"/>
      <c r="J452" s="3" t="n"/>
      <c r="K452" s="9" t="n"/>
    </row>
    <row r="453">
      <c r="A453" s="4" t="n"/>
      <c r="B453" s="9">
        <f>IF(A453="","",INT((DAY(A453)-1)/7)+1)</f>
        <v/>
      </c>
      <c r="C453" s="9" t="n"/>
      <c r="D453" s="9" t="n"/>
      <c r="E453" s="9" t="n"/>
      <c r="F453" s="9" t="n"/>
      <c r="G453" s="9" t="n"/>
      <c r="H453" s="9" t="n"/>
      <c r="I453" s="9" t="n"/>
      <c r="J453" s="3" t="n"/>
      <c r="K453" s="9" t="n"/>
    </row>
    <row r="454">
      <c r="A454" s="4" t="n"/>
      <c r="B454" s="9">
        <f>IF(A454="","",INT((DAY(A454)-1)/7)+1)</f>
        <v/>
      </c>
      <c r="C454" s="9" t="n"/>
      <c r="D454" s="9" t="n"/>
      <c r="E454" s="9" t="n"/>
      <c r="F454" s="9" t="n"/>
      <c r="G454" s="9" t="n"/>
      <c r="H454" s="9" t="n"/>
      <c r="I454" s="9" t="n"/>
      <c r="J454" s="3" t="n"/>
      <c r="K454" s="9" t="n"/>
    </row>
    <row r="455">
      <c r="A455" s="4" t="n"/>
      <c r="B455" s="9">
        <f>IF(A455="","",INT((DAY(A455)-1)/7)+1)</f>
        <v/>
      </c>
      <c r="C455" s="9" t="n"/>
      <c r="D455" s="9" t="n"/>
      <c r="E455" s="9" t="n"/>
      <c r="F455" s="9" t="n"/>
      <c r="G455" s="9" t="n"/>
      <c r="H455" s="9" t="n"/>
      <c r="I455" s="9" t="n"/>
      <c r="J455" s="3" t="n"/>
      <c r="K455" s="9" t="n"/>
    </row>
    <row r="456">
      <c r="A456" s="4" t="n"/>
      <c r="B456" s="9">
        <f>IF(A456="","",INT((DAY(A456)-1)/7)+1)</f>
        <v/>
      </c>
      <c r="C456" s="9" t="n"/>
      <c r="D456" s="9" t="n"/>
      <c r="E456" s="9" t="n"/>
      <c r="F456" s="9" t="n"/>
      <c r="G456" s="9" t="n"/>
      <c r="H456" s="9" t="n"/>
      <c r="I456" s="9" t="n"/>
      <c r="J456" s="3" t="n"/>
      <c r="K456" s="9" t="n"/>
    </row>
    <row r="457">
      <c r="A457" s="4" t="n"/>
      <c r="B457" s="9">
        <f>IF(A457="","",INT((DAY(A457)-1)/7)+1)</f>
        <v/>
      </c>
      <c r="C457" s="9" t="n"/>
      <c r="D457" s="9" t="n"/>
      <c r="E457" s="9" t="n"/>
      <c r="F457" s="9" t="n"/>
      <c r="G457" s="9" t="n"/>
      <c r="H457" s="9" t="n"/>
      <c r="I457" s="9" t="n"/>
      <c r="J457" s="3" t="n"/>
      <c r="K457" s="9" t="n"/>
    </row>
    <row r="458">
      <c r="A458" s="4" t="n"/>
      <c r="B458" s="9">
        <f>IF(A458="","",INT((DAY(A458)-1)/7)+1)</f>
        <v/>
      </c>
      <c r="C458" s="9" t="n"/>
      <c r="D458" s="9" t="n"/>
      <c r="E458" s="9" t="n"/>
      <c r="F458" s="9" t="n"/>
      <c r="G458" s="9" t="n"/>
      <c r="H458" s="9" t="n"/>
      <c r="I458" s="9" t="n"/>
      <c r="J458" s="3" t="n"/>
      <c r="K458" s="9" t="n"/>
    </row>
    <row r="459">
      <c r="A459" s="4" t="n"/>
      <c r="B459" s="9">
        <f>IF(A459="","",INT((DAY(A459)-1)/7)+1)</f>
        <v/>
      </c>
      <c r="C459" s="9" t="n"/>
      <c r="D459" s="9" t="n"/>
      <c r="E459" s="9" t="n"/>
      <c r="F459" s="9" t="n"/>
      <c r="G459" s="9" t="n"/>
      <c r="H459" s="9" t="n"/>
      <c r="I459" s="9" t="n"/>
      <c r="J459" s="3" t="n"/>
      <c r="K459" s="9" t="n"/>
    </row>
    <row r="460">
      <c r="A460" s="4" t="n"/>
      <c r="B460" s="9">
        <f>IF(A460="","",INT((DAY(A460)-1)/7)+1)</f>
        <v/>
      </c>
      <c r="C460" s="9" t="n"/>
      <c r="D460" s="9" t="n"/>
      <c r="E460" s="9" t="n"/>
      <c r="F460" s="9" t="n"/>
      <c r="G460" s="9" t="n"/>
      <c r="H460" s="9" t="n"/>
      <c r="I460" s="9" t="n"/>
      <c r="J460" s="3" t="n"/>
      <c r="K460" s="9" t="n"/>
    </row>
    <row r="461">
      <c r="A461" s="4" t="n"/>
      <c r="B461" s="9">
        <f>IF(A461="","",INT((DAY(A461)-1)/7)+1)</f>
        <v/>
      </c>
      <c r="C461" s="9" t="n"/>
      <c r="D461" s="9" t="n"/>
      <c r="E461" s="9" t="n"/>
      <c r="F461" s="9" t="n"/>
      <c r="G461" s="9" t="n"/>
      <c r="H461" s="9" t="n"/>
      <c r="I461" s="9" t="n"/>
      <c r="J461" s="3" t="n"/>
      <c r="K461" s="9" t="n"/>
    </row>
    <row r="462">
      <c r="A462" s="4" t="n"/>
      <c r="B462" s="9">
        <f>IF(A462="","",INT((DAY(A462)-1)/7)+1)</f>
        <v/>
      </c>
      <c r="C462" s="9" t="n"/>
      <c r="D462" s="9" t="n"/>
      <c r="E462" s="9" t="n"/>
      <c r="F462" s="9" t="n"/>
      <c r="G462" s="9" t="n"/>
      <c r="H462" s="9" t="n"/>
      <c r="I462" s="9" t="n"/>
      <c r="J462" s="3" t="n"/>
      <c r="K462" s="9" t="n"/>
    </row>
    <row r="463">
      <c r="A463" s="4" t="n"/>
      <c r="B463" s="9">
        <f>IF(A463="","",INT((DAY(A463)-1)/7)+1)</f>
        <v/>
      </c>
      <c r="C463" s="9" t="n"/>
      <c r="D463" s="9" t="n"/>
      <c r="E463" s="9" t="n"/>
      <c r="F463" s="9" t="n"/>
      <c r="G463" s="9" t="n"/>
      <c r="H463" s="9" t="n"/>
      <c r="I463" s="9" t="n"/>
      <c r="J463" s="3" t="n"/>
      <c r="K463" s="9" t="n"/>
    </row>
    <row r="464">
      <c r="A464" s="4" t="n"/>
      <c r="B464" s="9">
        <f>IF(A464="","",INT((DAY(A464)-1)/7)+1)</f>
        <v/>
      </c>
      <c r="C464" s="9" t="n"/>
      <c r="D464" s="9" t="n"/>
      <c r="E464" s="9" t="n"/>
      <c r="F464" s="9" t="n"/>
      <c r="G464" s="9" t="n"/>
      <c r="H464" s="9" t="n"/>
      <c r="I464" s="9" t="n"/>
      <c r="J464" s="3" t="n"/>
      <c r="K464" s="9" t="n"/>
    </row>
    <row r="465">
      <c r="A465" s="4" t="n"/>
      <c r="B465" s="9">
        <f>IF(A465="","",INT((DAY(A465)-1)/7)+1)</f>
        <v/>
      </c>
      <c r="C465" s="9" t="n"/>
      <c r="D465" s="9" t="n"/>
      <c r="E465" s="9" t="n"/>
      <c r="F465" s="9" t="n"/>
      <c r="G465" s="9" t="n"/>
      <c r="H465" s="9" t="n"/>
      <c r="I465" s="9" t="n"/>
      <c r="J465" s="3" t="n"/>
      <c r="K465" s="9" t="n"/>
    </row>
    <row r="466">
      <c r="A466" s="4" t="n"/>
      <c r="B466" s="9">
        <f>IF(A466="","",INT((DAY(A466)-1)/7)+1)</f>
        <v/>
      </c>
      <c r="C466" s="9" t="n"/>
      <c r="D466" s="9" t="n"/>
      <c r="E466" s="9" t="n"/>
      <c r="F466" s="9" t="n"/>
      <c r="G466" s="9" t="n"/>
      <c r="H466" s="9" t="n"/>
      <c r="I466" s="9" t="n"/>
      <c r="J466" s="3" t="n"/>
      <c r="K466" s="9" t="n"/>
    </row>
    <row r="467">
      <c r="A467" s="4" t="n"/>
      <c r="B467" s="9">
        <f>IF(A467="","",INT((DAY(A467)-1)/7)+1)</f>
        <v/>
      </c>
      <c r="C467" s="9" t="n"/>
      <c r="D467" s="9" t="n"/>
      <c r="E467" s="9" t="n"/>
      <c r="F467" s="9" t="n"/>
      <c r="G467" s="9" t="n"/>
      <c r="H467" s="9" t="n"/>
      <c r="I467" s="9" t="n"/>
      <c r="J467" s="3" t="n"/>
      <c r="K467" s="9" t="n"/>
    </row>
    <row r="468">
      <c r="A468" s="4" t="n"/>
      <c r="B468" s="9">
        <f>IF(A468="","",INT((DAY(A468)-1)/7)+1)</f>
        <v/>
      </c>
      <c r="C468" s="9" t="n"/>
      <c r="D468" s="9" t="n"/>
      <c r="E468" s="9" t="n"/>
      <c r="F468" s="9" t="n"/>
      <c r="G468" s="9" t="n"/>
      <c r="H468" s="9" t="n"/>
      <c r="I468" s="9" t="n"/>
      <c r="J468" s="3" t="n"/>
      <c r="K468" s="9" t="n"/>
    </row>
    <row r="469">
      <c r="A469" s="4" t="n"/>
      <c r="B469" s="9">
        <f>IF(A469="","",INT((DAY(A469)-1)/7)+1)</f>
        <v/>
      </c>
      <c r="C469" s="9" t="n"/>
      <c r="D469" s="9" t="n"/>
      <c r="E469" s="9" t="n"/>
      <c r="F469" s="9" t="n"/>
      <c r="G469" s="9" t="n"/>
      <c r="H469" s="9" t="n"/>
      <c r="I469" s="9" t="n"/>
      <c r="J469" s="3" t="n"/>
      <c r="K469" s="9" t="n"/>
    </row>
    <row r="470">
      <c r="A470" s="4" t="n"/>
      <c r="B470" s="9">
        <f>IF(A470="","",INT((DAY(A470)-1)/7)+1)</f>
        <v/>
      </c>
      <c r="C470" s="9" t="n"/>
      <c r="D470" s="9" t="n"/>
      <c r="E470" s="9" t="n"/>
      <c r="F470" s="9" t="n"/>
      <c r="G470" s="9" t="n"/>
      <c r="H470" s="9" t="n"/>
      <c r="I470" s="9" t="n"/>
      <c r="J470" s="3" t="n"/>
      <c r="K470" s="9" t="n"/>
    </row>
    <row r="471">
      <c r="A471" s="4" t="n"/>
      <c r="B471" s="9">
        <f>IF(A471="","",INT((DAY(A471)-1)/7)+1)</f>
        <v/>
      </c>
      <c r="C471" s="9" t="n"/>
      <c r="D471" s="9" t="n"/>
      <c r="E471" s="9" t="n"/>
      <c r="F471" s="9" t="n"/>
      <c r="G471" s="9" t="n"/>
      <c r="H471" s="9" t="n"/>
      <c r="I471" s="9" t="n"/>
      <c r="J471" s="3" t="n"/>
      <c r="K471" s="9" t="n"/>
    </row>
    <row r="472">
      <c r="A472" s="4" t="n"/>
      <c r="B472" s="9">
        <f>IF(A472="","",INT((DAY(A472)-1)/7)+1)</f>
        <v/>
      </c>
      <c r="C472" s="9" t="n"/>
      <c r="D472" s="9" t="n"/>
      <c r="E472" s="9" t="n"/>
      <c r="F472" s="9" t="n"/>
      <c r="G472" s="9" t="n"/>
      <c r="H472" s="9" t="n"/>
      <c r="I472" s="9" t="n"/>
      <c r="J472" s="3" t="n"/>
      <c r="K472" s="9" t="n"/>
    </row>
    <row r="473">
      <c r="A473" s="4" t="n"/>
      <c r="B473" s="9">
        <f>IF(A473="","",INT((DAY(A473)-1)/7)+1)</f>
        <v/>
      </c>
      <c r="C473" s="9" t="n"/>
      <c r="D473" s="9" t="n"/>
      <c r="E473" s="9" t="n"/>
      <c r="F473" s="9" t="n"/>
      <c r="G473" s="9" t="n"/>
      <c r="H473" s="9" t="n"/>
      <c r="I473" s="9" t="n"/>
      <c r="J473" s="3" t="n"/>
      <c r="K473" s="9" t="n"/>
    </row>
    <row r="474">
      <c r="A474" s="4" t="n"/>
      <c r="B474" s="9">
        <f>IF(A474="","",INT((DAY(A474)-1)/7)+1)</f>
        <v/>
      </c>
      <c r="C474" s="9" t="n"/>
      <c r="D474" s="9" t="n"/>
      <c r="E474" s="9" t="n"/>
      <c r="F474" s="9" t="n"/>
      <c r="G474" s="9" t="n"/>
      <c r="H474" s="9" t="n"/>
      <c r="I474" s="9" t="n"/>
      <c r="J474" s="3" t="n"/>
      <c r="K474" s="9" t="n"/>
    </row>
    <row r="475">
      <c r="A475" s="4" t="n"/>
      <c r="B475" s="9">
        <f>IF(A475="","",INT((DAY(A475)-1)/7)+1)</f>
        <v/>
      </c>
      <c r="C475" s="9" t="n"/>
      <c r="D475" s="9" t="n"/>
      <c r="E475" s="9" t="n"/>
      <c r="F475" s="9" t="n"/>
      <c r="G475" s="9" t="n"/>
      <c r="H475" s="9" t="n"/>
      <c r="I475" s="9" t="n"/>
      <c r="J475" s="3" t="n"/>
      <c r="K475" s="9" t="n"/>
    </row>
    <row r="476">
      <c r="A476" s="4" t="n"/>
      <c r="B476" s="9">
        <f>IF(A476="","",INT((DAY(A476)-1)/7)+1)</f>
        <v/>
      </c>
      <c r="C476" s="9" t="n"/>
      <c r="D476" s="9" t="n"/>
      <c r="E476" s="9" t="n"/>
      <c r="F476" s="9" t="n"/>
      <c r="G476" s="9" t="n"/>
      <c r="H476" s="9" t="n"/>
      <c r="I476" s="9" t="n"/>
      <c r="J476" s="3" t="n"/>
      <c r="K476" s="9" t="n"/>
    </row>
    <row r="477">
      <c r="A477" s="4" t="n"/>
      <c r="B477" s="9">
        <f>IF(A477="","",INT((DAY(A477)-1)/7)+1)</f>
        <v/>
      </c>
      <c r="C477" s="9" t="n"/>
      <c r="D477" s="9" t="n"/>
      <c r="E477" s="9" t="n"/>
      <c r="F477" s="9" t="n"/>
      <c r="G477" s="9" t="n"/>
      <c r="H477" s="9" t="n"/>
      <c r="I477" s="9" t="n"/>
      <c r="J477" s="3" t="n"/>
      <c r="K477" s="9" t="n"/>
    </row>
    <row r="478">
      <c r="A478" s="4" t="n"/>
      <c r="B478" s="9">
        <f>IF(A478="","",INT((DAY(A478)-1)/7)+1)</f>
        <v/>
      </c>
      <c r="C478" s="9" t="n"/>
      <c r="D478" s="9" t="n"/>
      <c r="E478" s="9" t="n"/>
      <c r="F478" s="9" t="n"/>
      <c r="G478" s="9" t="n"/>
      <c r="H478" s="9" t="n"/>
      <c r="I478" s="9" t="n"/>
      <c r="J478" s="3" t="n"/>
      <c r="K478" s="9" t="n"/>
    </row>
    <row r="479">
      <c r="A479" s="4" t="n"/>
      <c r="B479" s="9">
        <f>IF(A479="","",INT((DAY(A479)-1)/7)+1)</f>
        <v/>
      </c>
      <c r="C479" s="9" t="n"/>
      <c r="D479" s="9" t="n"/>
      <c r="E479" s="9" t="n"/>
      <c r="F479" s="9" t="n"/>
      <c r="G479" s="9" t="n"/>
      <c r="H479" s="9" t="n"/>
      <c r="I479" s="9" t="n"/>
      <c r="J479" s="3" t="n"/>
      <c r="K479" s="9" t="n"/>
    </row>
    <row r="480">
      <c r="A480" s="4" t="n"/>
      <c r="B480" s="9">
        <f>IF(A480="","",INT((DAY(A480)-1)/7)+1)</f>
        <v/>
      </c>
      <c r="C480" s="9" t="n"/>
      <c r="D480" s="9" t="n"/>
      <c r="E480" s="9" t="n"/>
      <c r="F480" s="9" t="n"/>
      <c r="G480" s="9" t="n"/>
      <c r="H480" s="9" t="n"/>
      <c r="I480" s="9" t="n"/>
      <c r="J480" s="3" t="n"/>
      <c r="K480" s="9" t="n"/>
    </row>
    <row r="481">
      <c r="A481" s="4" t="n"/>
      <c r="B481" s="9">
        <f>IF(A481="","",INT((DAY(A481)-1)/7)+1)</f>
        <v/>
      </c>
      <c r="C481" s="9" t="n"/>
      <c r="D481" s="9" t="n"/>
      <c r="E481" s="9" t="n"/>
      <c r="F481" s="9" t="n"/>
      <c r="G481" s="9" t="n"/>
      <c r="H481" s="9" t="n"/>
      <c r="I481" s="9" t="n"/>
      <c r="J481" s="3" t="n"/>
      <c r="K481" s="9" t="n"/>
    </row>
    <row r="482">
      <c r="A482" s="4" t="n"/>
      <c r="B482" s="9">
        <f>IF(A482="","",INT((DAY(A482)-1)/7)+1)</f>
        <v/>
      </c>
      <c r="C482" s="9" t="n"/>
      <c r="D482" s="9" t="n"/>
      <c r="E482" s="9" t="n"/>
      <c r="F482" s="9" t="n"/>
      <c r="G482" s="9" t="n"/>
      <c r="H482" s="9" t="n"/>
      <c r="I482" s="9" t="n"/>
      <c r="J482" s="3" t="n"/>
      <c r="K482" s="9" t="n"/>
    </row>
    <row r="483">
      <c r="A483" s="4" t="n"/>
      <c r="B483" s="9">
        <f>IF(A483="","",INT((DAY(A483)-1)/7)+1)</f>
        <v/>
      </c>
      <c r="C483" s="9" t="n"/>
      <c r="D483" s="9" t="n"/>
      <c r="E483" s="9" t="n"/>
      <c r="F483" s="9" t="n"/>
      <c r="G483" s="9" t="n"/>
      <c r="H483" s="9" t="n"/>
      <c r="I483" s="9" t="n"/>
      <c r="J483" s="3" t="n"/>
      <c r="K483" s="9" t="n"/>
    </row>
    <row r="484">
      <c r="A484" s="4" t="n"/>
      <c r="B484" s="9">
        <f>IF(A484="","",INT((DAY(A484)-1)/7)+1)</f>
        <v/>
      </c>
      <c r="C484" s="9" t="n"/>
      <c r="D484" s="9" t="n"/>
      <c r="E484" s="9" t="n"/>
      <c r="F484" s="9" t="n"/>
      <c r="G484" s="9" t="n"/>
      <c r="H484" s="9" t="n"/>
      <c r="I484" s="9" t="n"/>
      <c r="J484" s="3" t="n"/>
      <c r="K484" s="9" t="n"/>
    </row>
    <row r="485">
      <c r="A485" s="4" t="n"/>
      <c r="B485" s="9">
        <f>IF(A485="","",INT((DAY(A485)-1)/7)+1)</f>
        <v/>
      </c>
      <c r="C485" s="9" t="n"/>
      <c r="D485" s="9" t="n"/>
      <c r="E485" s="9" t="n"/>
      <c r="F485" s="9" t="n"/>
      <c r="G485" s="9" t="n"/>
      <c r="H485" s="9" t="n"/>
      <c r="I485" s="9" t="n"/>
      <c r="J485" s="3" t="n"/>
      <c r="K485" s="9" t="n"/>
    </row>
    <row r="486">
      <c r="A486" s="4" t="n"/>
      <c r="B486" s="9">
        <f>IF(A486="","",INT((DAY(A486)-1)/7)+1)</f>
        <v/>
      </c>
      <c r="C486" s="9" t="n"/>
      <c r="D486" s="9" t="n"/>
      <c r="E486" s="9" t="n"/>
      <c r="F486" s="9" t="n"/>
      <c r="G486" s="9" t="n"/>
      <c r="H486" s="9" t="n"/>
      <c r="I486" s="9" t="n"/>
      <c r="J486" s="3" t="n"/>
      <c r="K486" s="9" t="n"/>
    </row>
    <row r="487">
      <c r="A487" s="4" t="n"/>
      <c r="B487" s="9">
        <f>IF(A487="","",INT((DAY(A487)-1)/7)+1)</f>
        <v/>
      </c>
      <c r="C487" s="9" t="n"/>
      <c r="D487" s="9" t="n"/>
      <c r="E487" s="9" t="n"/>
      <c r="F487" s="9" t="n"/>
      <c r="G487" s="9" t="n"/>
      <c r="H487" s="9" t="n"/>
      <c r="I487" s="9" t="n"/>
      <c r="J487" s="3" t="n"/>
      <c r="K487" s="9" t="n"/>
    </row>
    <row r="488">
      <c r="A488" s="4" t="n"/>
      <c r="B488" s="9">
        <f>IF(A488="","",INT((DAY(A488)-1)/7)+1)</f>
        <v/>
      </c>
      <c r="C488" s="9" t="n"/>
      <c r="D488" s="9" t="n"/>
      <c r="E488" s="9" t="n"/>
      <c r="F488" s="9" t="n"/>
      <c r="G488" s="9" t="n"/>
      <c r="H488" s="9" t="n"/>
      <c r="I488" s="9" t="n"/>
      <c r="J488" s="3" t="n"/>
      <c r="K488" s="9" t="n"/>
    </row>
    <row r="489">
      <c r="A489" s="4" t="n"/>
      <c r="B489" s="9">
        <f>IF(A489="","",INT((DAY(A489)-1)/7)+1)</f>
        <v/>
      </c>
      <c r="C489" s="9" t="n"/>
      <c r="D489" s="9" t="n"/>
      <c r="E489" s="9" t="n"/>
      <c r="F489" s="9" t="n"/>
      <c r="G489" s="9" t="n"/>
      <c r="H489" s="9" t="n"/>
      <c r="I489" s="9" t="n"/>
      <c r="J489" s="3" t="n"/>
      <c r="K489" s="9" t="n"/>
    </row>
    <row r="490">
      <c r="A490" s="4" t="n"/>
      <c r="B490" s="9">
        <f>IF(A490="","",INT((DAY(A490)-1)/7)+1)</f>
        <v/>
      </c>
      <c r="C490" s="9" t="n"/>
      <c r="D490" s="9" t="n"/>
      <c r="E490" s="9" t="n"/>
      <c r="F490" s="9" t="n"/>
      <c r="G490" s="9" t="n"/>
      <c r="H490" s="9" t="n"/>
      <c r="I490" s="9" t="n"/>
      <c r="J490" s="3" t="n"/>
      <c r="K490" s="9" t="n"/>
    </row>
    <row r="491">
      <c r="A491" s="4" t="n"/>
      <c r="B491" s="9">
        <f>IF(A491="","",INT((DAY(A491)-1)/7)+1)</f>
        <v/>
      </c>
      <c r="C491" s="9" t="n"/>
      <c r="D491" s="9" t="n"/>
      <c r="E491" s="9" t="n"/>
      <c r="F491" s="9" t="n"/>
      <c r="G491" s="9" t="n"/>
      <c r="H491" s="9" t="n"/>
      <c r="I491" s="9" t="n"/>
      <c r="J491" s="3" t="n"/>
      <c r="K491" s="9" t="n"/>
    </row>
    <row r="492">
      <c r="A492" s="4" t="n"/>
      <c r="B492" s="9">
        <f>IF(A492="","",INT((DAY(A492)-1)/7)+1)</f>
        <v/>
      </c>
      <c r="C492" s="9" t="n"/>
      <c r="D492" s="9" t="n"/>
      <c r="E492" s="9" t="n"/>
      <c r="F492" s="9" t="n"/>
      <c r="G492" s="9" t="n"/>
      <c r="H492" s="9" t="n"/>
      <c r="I492" s="9" t="n"/>
      <c r="J492" s="3" t="n"/>
      <c r="K492" s="9" t="n"/>
    </row>
    <row r="493">
      <c r="A493" s="4" t="n"/>
      <c r="B493" s="9">
        <f>IF(A493="","",INT((DAY(A493)-1)/7)+1)</f>
        <v/>
      </c>
      <c r="C493" s="9" t="n"/>
      <c r="D493" s="9" t="n"/>
      <c r="E493" s="9" t="n"/>
      <c r="F493" s="9" t="n"/>
      <c r="G493" s="9" t="n"/>
      <c r="H493" s="9" t="n"/>
      <c r="I493" s="9" t="n"/>
      <c r="J493" s="3" t="n"/>
      <c r="K493" s="9" t="n"/>
    </row>
    <row r="494">
      <c r="A494" s="4" t="n"/>
      <c r="B494" s="9">
        <f>IF(A494="","",INT((DAY(A494)-1)/7)+1)</f>
        <v/>
      </c>
      <c r="C494" s="9" t="n"/>
      <c r="D494" s="9" t="n"/>
      <c r="E494" s="9" t="n"/>
      <c r="F494" s="9" t="n"/>
      <c r="G494" s="9" t="n"/>
      <c r="H494" s="9" t="n"/>
      <c r="I494" s="9" t="n"/>
      <c r="J494" s="3" t="n"/>
      <c r="K494" s="9" t="n"/>
    </row>
    <row r="495">
      <c r="A495" s="4" t="n"/>
      <c r="B495" s="9">
        <f>IF(A495="","",INT((DAY(A495)-1)/7)+1)</f>
        <v/>
      </c>
      <c r="C495" s="9" t="n"/>
      <c r="D495" s="9" t="n"/>
      <c r="E495" s="9" t="n"/>
      <c r="F495" s="9" t="n"/>
      <c r="G495" s="9" t="n"/>
      <c r="H495" s="9" t="n"/>
      <c r="I495" s="9" t="n"/>
      <c r="J495" s="3" t="n"/>
      <c r="K495" s="9" t="n"/>
    </row>
    <row r="496">
      <c r="A496" s="4" t="n"/>
      <c r="B496" s="9">
        <f>IF(A496="","",INT((DAY(A496)-1)/7)+1)</f>
        <v/>
      </c>
      <c r="C496" s="9" t="n"/>
      <c r="D496" s="9" t="n"/>
      <c r="E496" s="9" t="n"/>
      <c r="F496" s="9" t="n"/>
      <c r="G496" s="9" t="n"/>
      <c r="H496" s="9" t="n"/>
      <c r="I496" s="9" t="n"/>
      <c r="J496" s="3" t="n"/>
      <c r="K496" s="9" t="n"/>
    </row>
    <row r="497">
      <c r="A497" s="4" t="n"/>
      <c r="B497" s="9">
        <f>IF(A497="","",INT((DAY(A497)-1)/7)+1)</f>
        <v/>
      </c>
      <c r="C497" s="9" t="n"/>
      <c r="D497" s="9" t="n"/>
      <c r="E497" s="9" t="n"/>
      <c r="F497" s="9" t="n"/>
      <c r="G497" s="9" t="n"/>
      <c r="H497" s="9" t="n"/>
      <c r="I497" s="9" t="n"/>
      <c r="J497" s="3" t="n"/>
      <c r="K497" s="9" t="n"/>
    </row>
    <row r="498">
      <c r="A498" s="4" t="n"/>
      <c r="B498" s="9">
        <f>IF(A498="","",INT((DAY(A498)-1)/7)+1)</f>
        <v/>
      </c>
      <c r="C498" s="9" t="n"/>
      <c r="D498" s="9" t="n"/>
      <c r="E498" s="9" t="n"/>
      <c r="F498" s="9" t="n"/>
      <c r="G498" s="9" t="n"/>
      <c r="H498" s="9" t="n"/>
      <c r="I498" s="9" t="n"/>
      <c r="J498" s="3" t="n"/>
      <c r="K498" s="9" t="n"/>
    </row>
    <row r="499">
      <c r="A499" s="4" t="n"/>
      <c r="B499" s="9">
        <f>IF(A499="","",INT((DAY(A499)-1)/7)+1)</f>
        <v/>
      </c>
      <c r="C499" s="9" t="n"/>
      <c r="D499" s="9" t="n"/>
      <c r="E499" s="9" t="n"/>
      <c r="F499" s="9" t="n"/>
      <c r="G499" s="9" t="n"/>
      <c r="H499" s="9" t="n"/>
      <c r="I499" s="9" t="n"/>
      <c r="J499" s="3" t="n"/>
      <c r="K499" s="9" t="n"/>
    </row>
    <row r="500">
      <c r="A500" s="4" t="n"/>
      <c r="B500" s="9">
        <f>IF(A500="","",INT((DAY(A500)-1)/7)+1)</f>
        <v/>
      </c>
      <c r="C500" s="9" t="n"/>
      <c r="D500" s="9" t="n"/>
      <c r="E500" s="9" t="n"/>
      <c r="F500" s="9" t="n"/>
      <c r="G500" s="9" t="n"/>
      <c r="H500" s="9" t="n"/>
      <c r="I500" s="9" t="n"/>
      <c r="J500" s="3" t="n"/>
      <c r="K500" s="9" t="n"/>
    </row>
    <row r="501">
      <c r="A501" s="4" t="n"/>
      <c r="B501" s="9">
        <f>IF(A501="","",INT((DAY(A501)-1)/7)+1)</f>
        <v/>
      </c>
      <c r="C501" s="9" t="n"/>
      <c r="D501" s="9" t="n"/>
      <c r="E501" s="9" t="n"/>
      <c r="F501" s="9" t="n"/>
      <c r="G501" s="9" t="n"/>
      <c r="H501" s="9" t="n"/>
      <c r="I501" s="9" t="n"/>
      <c r="J501" s="3" t="n"/>
      <c r="K501" s="9" t="n"/>
    </row>
    <row r="502">
      <c r="A502" s="4" t="n"/>
      <c r="B502" s="9">
        <f>IF(A502="","",INT((DAY(A502)-1)/7)+1)</f>
        <v/>
      </c>
      <c r="C502" s="9" t="n"/>
      <c r="D502" s="9" t="n"/>
      <c r="E502" s="9" t="n"/>
      <c r="F502" s="9" t="n"/>
      <c r="G502" s="9" t="n"/>
      <c r="H502" s="9" t="n"/>
      <c r="I502" s="9" t="n"/>
      <c r="J502" s="3" t="n"/>
      <c r="K502" s="9" t="n"/>
    </row>
    <row r="503">
      <c r="A503" s="4" t="n"/>
      <c r="B503" s="9">
        <f>IF(A503="","",INT((DAY(A503)-1)/7)+1)</f>
        <v/>
      </c>
      <c r="C503" s="9" t="n"/>
      <c r="D503" s="9" t="n"/>
      <c r="E503" s="9" t="n"/>
      <c r="F503" s="9" t="n"/>
      <c r="G503" s="9" t="n"/>
      <c r="H503" s="9" t="n"/>
      <c r="I503" s="9" t="n"/>
      <c r="J503" s="3" t="n"/>
      <c r="K503" s="9" t="n"/>
    </row>
    <row r="504">
      <c r="A504" s="4" t="n"/>
      <c r="B504" s="9">
        <f>IF(A504="","",INT((DAY(A504)-1)/7)+1)</f>
        <v/>
      </c>
      <c r="C504" s="9" t="n"/>
      <c r="D504" s="9" t="n"/>
      <c r="E504" s="9" t="n"/>
      <c r="F504" s="9" t="n"/>
      <c r="G504" s="9" t="n"/>
      <c r="H504" s="9" t="n"/>
      <c r="I504" s="9" t="n"/>
      <c r="J504" s="3" t="n"/>
      <c r="K504" s="9" t="n"/>
    </row>
    <row r="505">
      <c r="A505" s="4" t="n"/>
      <c r="B505" s="9">
        <f>IF(A505="","",INT((DAY(A505)-1)/7)+1)</f>
        <v/>
      </c>
      <c r="C505" s="9" t="n"/>
      <c r="D505" s="9" t="n"/>
      <c r="E505" s="9" t="n"/>
      <c r="F505" s="9" t="n"/>
      <c r="G505" s="9" t="n"/>
      <c r="H505" s="9" t="n"/>
      <c r="I505" s="9" t="n"/>
      <c r="J505" s="3" t="n"/>
      <c r="K505" s="9" t="n"/>
    </row>
    <row r="506">
      <c r="A506" s="4" t="n"/>
      <c r="B506" s="9">
        <f>IF(A506="","",INT((DAY(A506)-1)/7)+1)</f>
        <v/>
      </c>
      <c r="C506" s="9" t="n"/>
      <c r="D506" s="9" t="n"/>
      <c r="E506" s="9" t="n"/>
      <c r="F506" s="9" t="n"/>
      <c r="G506" s="9" t="n"/>
      <c r="H506" s="9" t="n"/>
      <c r="I506" s="9" t="n"/>
      <c r="J506" s="3" t="n"/>
      <c r="K506" s="9" t="n"/>
    </row>
    <row r="507">
      <c r="A507" s="4" t="n"/>
      <c r="B507" s="9">
        <f>IF(A507="","",INT((DAY(A507)-1)/7)+1)</f>
        <v/>
      </c>
      <c r="C507" s="9" t="n"/>
      <c r="D507" s="9" t="n"/>
      <c r="E507" s="9" t="n"/>
      <c r="F507" s="9" t="n"/>
      <c r="G507" s="9" t="n"/>
      <c r="H507" s="9" t="n"/>
      <c r="I507" s="9" t="n"/>
      <c r="J507" s="3" t="n"/>
      <c r="K507" s="9" t="n"/>
    </row>
    <row r="508">
      <c r="A508" s="4" t="n"/>
      <c r="B508" s="9">
        <f>IF(A508="","",INT((DAY(A508)-1)/7)+1)</f>
        <v/>
      </c>
      <c r="C508" s="9" t="n"/>
      <c r="D508" s="9" t="n"/>
      <c r="E508" s="9" t="n"/>
      <c r="F508" s="9" t="n"/>
      <c r="G508" s="9" t="n"/>
      <c r="H508" s="9" t="n"/>
      <c r="I508" s="9" t="n"/>
      <c r="J508" s="3" t="n"/>
      <c r="K508" s="9" t="n"/>
    </row>
    <row r="509">
      <c r="A509" s="4" t="n"/>
      <c r="B509" s="9">
        <f>IF(A509="","",INT((DAY(A509)-1)/7)+1)</f>
        <v/>
      </c>
      <c r="C509" s="9" t="n"/>
      <c r="D509" s="9" t="n"/>
      <c r="E509" s="9" t="n"/>
      <c r="F509" s="9" t="n"/>
      <c r="G509" s="9" t="n"/>
      <c r="H509" s="9" t="n"/>
      <c r="I509" s="9" t="n"/>
      <c r="J509" s="3" t="n"/>
      <c r="K509" s="9" t="n"/>
    </row>
    <row r="510">
      <c r="A510" s="4" t="n"/>
      <c r="B510" s="9">
        <f>IF(A510="","",INT((DAY(A510)-1)/7)+1)</f>
        <v/>
      </c>
      <c r="C510" s="9" t="n"/>
      <c r="D510" s="9" t="n"/>
      <c r="E510" s="9" t="n"/>
      <c r="F510" s="9" t="n"/>
      <c r="G510" s="9" t="n"/>
      <c r="H510" s="9" t="n"/>
      <c r="I510" s="9" t="n"/>
      <c r="J510" s="3" t="n"/>
      <c r="K510" s="9" t="n"/>
    </row>
    <row r="511">
      <c r="A511" s="4" t="n"/>
      <c r="B511" s="9">
        <f>IF(A511="","",INT((DAY(A511)-1)/7)+1)</f>
        <v/>
      </c>
      <c r="C511" s="9" t="n"/>
      <c r="D511" s="9" t="n"/>
      <c r="E511" s="9" t="n"/>
      <c r="F511" s="9" t="n"/>
      <c r="G511" s="9" t="n"/>
      <c r="H511" s="9" t="n"/>
      <c r="I511" s="9" t="n"/>
      <c r="J511" s="3" t="n"/>
      <c r="K511" s="9" t="n"/>
    </row>
    <row r="512">
      <c r="A512" s="4" t="n"/>
      <c r="B512" s="9">
        <f>IF(A512="","",INT((DAY(A512)-1)/7)+1)</f>
        <v/>
      </c>
      <c r="C512" s="9" t="n"/>
      <c r="D512" s="9" t="n"/>
      <c r="E512" s="9" t="n"/>
      <c r="F512" s="9" t="n"/>
      <c r="G512" s="9" t="n"/>
      <c r="H512" s="9" t="n"/>
      <c r="I512" s="9" t="n"/>
      <c r="J512" s="3" t="n"/>
      <c r="K512" s="9" t="n"/>
    </row>
    <row r="513">
      <c r="A513" s="4" t="n"/>
      <c r="B513" s="9">
        <f>IF(A513="","",INT((DAY(A513)-1)/7)+1)</f>
        <v/>
      </c>
      <c r="C513" s="9" t="n"/>
      <c r="D513" s="9" t="n"/>
      <c r="E513" s="9" t="n"/>
      <c r="F513" s="9" t="n"/>
      <c r="G513" s="9" t="n"/>
      <c r="H513" s="9" t="n"/>
      <c r="I513" s="9" t="n"/>
      <c r="J513" s="3" t="n"/>
      <c r="K513" s="9" t="n"/>
    </row>
    <row r="514">
      <c r="A514" s="4" t="n"/>
      <c r="B514" s="9">
        <f>IF(A514="","",INT((DAY(A514)-1)/7)+1)</f>
        <v/>
      </c>
      <c r="C514" s="9" t="n"/>
      <c r="D514" s="9" t="n"/>
      <c r="E514" s="9" t="n"/>
      <c r="F514" s="9" t="n"/>
      <c r="G514" s="9" t="n"/>
      <c r="H514" s="9" t="n"/>
      <c r="I514" s="9" t="n"/>
      <c r="J514" s="3" t="n"/>
      <c r="K514" s="9" t="n"/>
    </row>
    <row r="515">
      <c r="A515" s="4" t="n"/>
      <c r="B515" s="9">
        <f>IF(A515="","",INT((DAY(A515)-1)/7)+1)</f>
        <v/>
      </c>
      <c r="C515" s="9" t="n"/>
      <c r="D515" s="9" t="n"/>
      <c r="E515" s="9" t="n"/>
      <c r="F515" s="9" t="n"/>
      <c r="G515" s="9" t="n"/>
      <c r="H515" s="9" t="n"/>
      <c r="I515" s="9" t="n"/>
      <c r="J515" s="3" t="n"/>
      <c r="K515" s="9" t="n"/>
    </row>
    <row r="516">
      <c r="A516" s="4" t="n"/>
      <c r="B516" s="9">
        <f>IF(A516="","",INT((DAY(A516)-1)/7)+1)</f>
        <v/>
      </c>
      <c r="C516" s="9" t="n"/>
      <c r="D516" s="9" t="n"/>
      <c r="E516" s="9" t="n"/>
      <c r="F516" s="9" t="n"/>
      <c r="G516" s="9" t="n"/>
      <c r="H516" s="9" t="n"/>
      <c r="I516" s="9" t="n"/>
      <c r="J516" s="3" t="n"/>
      <c r="K516" s="9" t="n"/>
    </row>
    <row r="517">
      <c r="A517" s="4" t="n"/>
      <c r="B517" s="9">
        <f>IF(A517="","",INT((DAY(A517)-1)/7)+1)</f>
        <v/>
      </c>
      <c r="C517" s="9" t="n"/>
      <c r="D517" s="9" t="n"/>
      <c r="E517" s="9" t="n"/>
      <c r="F517" s="9" t="n"/>
      <c r="G517" s="9" t="n"/>
      <c r="H517" s="9" t="n"/>
      <c r="I517" s="9" t="n"/>
      <c r="J517" s="3" t="n"/>
      <c r="K517" s="9" t="n"/>
    </row>
    <row r="518">
      <c r="A518" s="4" t="n"/>
      <c r="B518" s="9">
        <f>IF(A518="","",INT((DAY(A518)-1)/7)+1)</f>
        <v/>
      </c>
      <c r="C518" s="9" t="n"/>
      <c r="D518" s="9" t="n"/>
      <c r="E518" s="9" t="n"/>
      <c r="F518" s="9" t="n"/>
      <c r="G518" s="9" t="n"/>
      <c r="H518" s="9" t="n"/>
      <c r="I518" s="9" t="n"/>
      <c r="J518" s="3" t="n"/>
      <c r="K518" s="9" t="n"/>
    </row>
    <row r="519">
      <c r="A519" s="4" t="n"/>
      <c r="B519" s="9">
        <f>IF(A519="","",INT((DAY(A519)-1)/7)+1)</f>
        <v/>
      </c>
      <c r="C519" s="9" t="n"/>
      <c r="D519" s="9" t="n"/>
      <c r="E519" s="9" t="n"/>
      <c r="F519" s="9" t="n"/>
      <c r="G519" s="9" t="n"/>
      <c r="H519" s="9" t="n"/>
      <c r="I519" s="9" t="n"/>
      <c r="J519" s="3" t="n"/>
      <c r="K519" s="9" t="n"/>
    </row>
    <row r="520">
      <c r="A520" s="4" t="n"/>
      <c r="B520" s="9">
        <f>IF(A520="","",INT((DAY(A520)-1)/7)+1)</f>
        <v/>
      </c>
      <c r="C520" s="9" t="n"/>
      <c r="D520" s="9" t="n"/>
      <c r="E520" s="9" t="n"/>
      <c r="F520" s="9" t="n"/>
      <c r="G520" s="9" t="n"/>
      <c r="H520" s="9" t="n"/>
      <c r="I520" s="9" t="n"/>
      <c r="J520" s="3" t="n"/>
      <c r="K520" s="9" t="n"/>
    </row>
    <row r="521">
      <c r="A521" s="4" t="n"/>
      <c r="B521" s="9">
        <f>IF(A521="","",INT((DAY(A521)-1)/7)+1)</f>
        <v/>
      </c>
      <c r="C521" s="9" t="n"/>
      <c r="D521" s="9" t="n"/>
      <c r="E521" s="9" t="n"/>
      <c r="F521" s="9" t="n"/>
      <c r="G521" s="9" t="n"/>
      <c r="H521" s="9" t="n"/>
      <c r="I521" s="9" t="n"/>
      <c r="J521" s="3" t="n"/>
      <c r="K521" s="9" t="n"/>
    </row>
    <row r="522">
      <c r="A522" s="4" t="n"/>
      <c r="B522" s="9">
        <f>IF(A522="","",INT((DAY(A522)-1)/7)+1)</f>
        <v/>
      </c>
      <c r="C522" s="9" t="n"/>
      <c r="D522" s="9" t="n"/>
      <c r="E522" s="9" t="n"/>
      <c r="F522" s="9" t="n"/>
      <c r="G522" s="9" t="n"/>
      <c r="H522" s="9" t="n"/>
      <c r="I522" s="9" t="n"/>
      <c r="J522" s="3" t="n"/>
      <c r="K522" s="9" t="n"/>
    </row>
    <row r="523">
      <c r="A523" s="4" t="n"/>
      <c r="B523" s="9">
        <f>IF(A523="","",INT((DAY(A523)-1)/7)+1)</f>
        <v/>
      </c>
      <c r="C523" s="9" t="n"/>
      <c r="D523" s="9" t="n"/>
      <c r="E523" s="9" t="n"/>
      <c r="F523" s="9" t="n"/>
      <c r="G523" s="9" t="n"/>
      <c r="H523" s="9" t="n"/>
      <c r="I523" s="9" t="n"/>
      <c r="J523" s="3" t="n"/>
      <c r="K523" s="9" t="n"/>
    </row>
    <row r="524">
      <c r="A524" s="4" t="n"/>
      <c r="B524" s="9">
        <f>IF(A524="","",INT((DAY(A524)-1)/7)+1)</f>
        <v/>
      </c>
      <c r="C524" s="9" t="n"/>
      <c r="D524" s="9" t="n"/>
      <c r="E524" s="9" t="n"/>
      <c r="F524" s="9" t="n"/>
      <c r="G524" s="9" t="n"/>
      <c r="H524" s="9" t="n"/>
      <c r="I524" s="9" t="n"/>
      <c r="J524" s="3" t="n"/>
      <c r="K524" s="9" t="n"/>
    </row>
    <row r="525">
      <c r="A525" s="4" t="n"/>
      <c r="B525" s="9">
        <f>IF(A525="","",INT((DAY(A525)-1)/7)+1)</f>
        <v/>
      </c>
      <c r="C525" s="9" t="n"/>
      <c r="D525" s="9" t="n"/>
      <c r="E525" s="9" t="n"/>
      <c r="F525" s="9" t="n"/>
      <c r="G525" s="9" t="n"/>
      <c r="H525" s="9" t="n"/>
      <c r="I525" s="9" t="n"/>
      <c r="J525" s="3" t="n"/>
      <c r="K525" s="9" t="n"/>
    </row>
    <row r="526">
      <c r="A526" s="4" t="n"/>
      <c r="B526" s="9">
        <f>IF(A526="","",INT((DAY(A526)-1)/7)+1)</f>
        <v/>
      </c>
      <c r="C526" s="9" t="n"/>
      <c r="D526" s="9" t="n"/>
      <c r="E526" s="9" t="n"/>
      <c r="F526" s="9" t="n"/>
      <c r="G526" s="9" t="n"/>
      <c r="H526" s="9" t="n"/>
      <c r="I526" s="9" t="n"/>
      <c r="J526" s="3" t="n"/>
      <c r="K526" s="9" t="n"/>
    </row>
    <row r="527">
      <c r="A527" s="4" t="n"/>
      <c r="B527" s="9">
        <f>IF(A527="","",INT((DAY(A527)-1)/7)+1)</f>
        <v/>
      </c>
      <c r="C527" s="9" t="n"/>
      <c r="D527" s="9" t="n"/>
      <c r="E527" s="9" t="n"/>
      <c r="F527" s="9" t="n"/>
      <c r="G527" s="9" t="n"/>
      <c r="H527" s="9" t="n"/>
      <c r="I527" s="9" t="n"/>
      <c r="J527" s="3" t="n"/>
      <c r="K527" s="9" t="n"/>
    </row>
    <row r="528">
      <c r="A528" s="4" t="n"/>
      <c r="B528" s="9">
        <f>IF(A528="","",INT((DAY(A528)-1)/7)+1)</f>
        <v/>
      </c>
      <c r="C528" s="9" t="n"/>
      <c r="D528" s="9" t="n"/>
      <c r="E528" s="9" t="n"/>
      <c r="F528" s="9" t="n"/>
      <c r="G528" s="9" t="n"/>
      <c r="H528" s="9" t="n"/>
      <c r="I528" s="9" t="n"/>
      <c r="J528" s="3" t="n"/>
      <c r="K528" s="9" t="n"/>
    </row>
  </sheetData>
  <autoFilter ref="A28:K528"/>
  <dataValidations count="4">
    <dataValidation sqref="E29:E528" showDropDown="0" showInputMessage="0" showErrorMessage="1" allowBlank="1" type="list">
      <formula1>=Lists!$A$2:$A$22</formula1>
    </dataValidation>
    <dataValidation sqref="G29:G528" showDropDown="0" showInputMessage="0" showErrorMessage="1" allowBlank="1" type="list">
      <formula1>=Lists!$D$2:$D$8</formula1>
    </dataValidation>
    <dataValidation sqref="H29:H528" showDropDown="0" showInputMessage="0" showErrorMessage="1" allowBlank="1" type="list">
      <formula1>=Lists!$C$2:$C$9</formula1>
    </dataValidation>
    <dataValidation sqref="I29:I528" showDropDown="0" showInputMessage="0" showErrorMessage="1" allowBlank="1" type="list">
      <formula1>=Lists!$B$2:$B$5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28"/>
  <sheetViews>
    <sheetView showGridLines="0" workbookViewId="0">
      <pane xSplit="0" ySplit="28" topLeftCell="A29" activePane="bottomLeft" state="frozen"/>
      <selection pane="bottomLeft" activeCell="A29" sqref="A29"/>
    </sheetView>
  </sheetViews>
  <sheetFormatPr baseColWidth="8" defaultRowHeight="15"/>
  <cols>
    <col width="12" customWidth="1" style="10" min="1" max="1"/>
    <col width="8" customWidth="1" style="10" min="2" max="2"/>
    <col width="22" customWidth="1" style="10" min="3" max="4"/>
    <col width="24" customWidth="1" style="10" min="5" max="5"/>
    <col width="18" customWidth="1" style="10" min="6" max="6"/>
    <col width="18" customWidth="1" style="10" min="7" max="7"/>
    <col width="18" customWidth="1" style="10" min="8" max="9"/>
    <col width="14" customWidth="1" style="10" min="10" max="10"/>
    <col width="30" customWidth="1" style="10" min="11" max="11"/>
  </cols>
  <sheetData>
    <row r="1">
      <c r="A1" s="1" t="inlineStr">
        <is>
          <t>March 2026 Ledger</t>
        </is>
      </c>
    </row>
    <row r="2">
      <c r="A2" s="7" t="inlineStr">
        <is>
          <t>Use positive amounts. Choose Type to classify each transaction.</t>
        </is>
      </c>
    </row>
    <row r="4">
      <c r="A4" s="1" t="inlineStr">
        <is>
          <t>Month Summary</t>
        </is>
      </c>
      <c r="D4" s="1" t="inlineStr">
        <is>
          <t>Category Summary</t>
        </is>
      </c>
      <c r="H4" s="1" t="inlineStr">
        <is>
          <t>Weekly Summary</t>
        </is>
      </c>
    </row>
    <row r="5">
      <c r="A5" s="5" t="inlineStr">
        <is>
          <t>Total Income</t>
        </is>
      </c>
      <c r="B5" s="3">
        <f>SUMIFS($J$29:$J$528,$I$29:$I$528,"Income")</f>
        <v/>
      </c>
      <c r="D5" s="2" t="inlineStr">
        <is>
          <t>Category</t>
        </is>
      </c>
      <c r="E5" s="2" t="inlineStr">
        <is>
          <t>Expenses</t>
        </is>
      </c>
      <c r="F5" s="2" t="inlineStr">
        <is>
          <t>Income</t>
        </is>
      </c>
      <c r="G5" s="2" t="inlineStr">
        <is>
          <t>Existing Savings</t>
        </is>
      </c>
      <c r="H5" s="2" t="inlineStr">
        <is>
          <t>Week</t>
        </is>
      </c>
      <c r="I5" s="2" t="inlineStr">
        <is>
          <t>Expenses</t>
        </is>
      </c>
      <c r="J5" s="2" t="inlineStr">
        <is>
          <t>Income</t>
        </is>
      </c>
      <c r="K5" s="2" t="inlineStr">
        <is>
          <t>Net</t>
        </is>
      </c>
    </row>
    <row r="6">
      <c r="A6" s="5" t="inlineStr">
        <is>
          <t>Total Expenses</t>
        </is>
      </c>
      <c r="B6" s="3">
        <f>SUMIFS($J$29:$J$528,$I$29:$I$528,"Expense")</f>
        <v/>
      </c>
      <c r="D6" s="5" t="inlineStr">
        <is>
          <t>Housing</t>
        </is>
      </c>
      <c r="E6" s="3">
        <f>SUMIFS($J$29:$J$528,$E$29:$E$528,$D6,$I$29:$I$528,"Expense")</f>
        <v/>
      </c>
      <c r="F6" s="3">
        <f>SUMIFS($J$29:$J$528,$E$29:$E$528,$D6,$I$29:$I$528,"Income")</f>
        <v/>
      </c>
      <c r="G6" s="3">
        <f>SUMIFS($J$29:$J$528,$E$29:$E$528,$D6,$I$29:$I$528,"Opening Balance")</f>
        <v/>
      </c>
      <c r="H6" s="5" t="inlineStr">
        <is>
          <t>Week 1</t>
        </is>
      </c>
      <c r="I6" s="3">
        <f>SUMIFS($J$29:$J$528,$B$29:$B$528,1,$I$29:$I$528,"Expense",$F$29:$F$528,"&lt;&gt;Rent")</f>
        <v/>
      </c>
      <c r="J6" s="3">
        <f>SUMIFS($J$29:$J$528,$B$29:$B$528,1,$I$29:$I$528,"Income")</f>
        <v/>
      </c>
      <c r="K6" s="3">
        <f>J6-I6</f>
        <v/>
      </c>
    </row>
    <row r="7">
      <c r="A7" s="5" t="inlineStr">
        <is>
          <t>Existing Savings</t>
        </is>
      </c>
      <c r="B7" s="3">
        <f>SUMIFS($J$29:$J$528,$I$29:$I$528,"Opening Balance")</f>
        <v/>
      </c>
      <c r="D7" s="5" t="inlineStr">
        <is>
          <t>Utilities</t>
        </is>
      </c>
      <c r="E7" s="3">
        <f>SUMIFS($J$29:$J$528,$E$29:$E$528,$D7,$I$29:$I$528,"Expense")</f>
        <v/>
      </c>
      <c r="F7" s="3">
        <f>SUMIFS($J$29:$J$528,$E$29:$E$528,$D7,$I$29:$I$528,"Income")</f>
        <v/>
      </c>
      <c r="G7" s="3">
        <f>SUMIFS($J$29:$J$528,$E$29:$E$528,$D7,$I$29:$I$528,"Opening Balance")</f>
        <v/>
      </c>
      <c r="H7" s="5" t="inlineStr">
        <is>
          <t>Week 2</t>
        </is>
      </c>
      <c r="I7" s="3">
        <f>SUMIFS($J$29:$J$528,$B$29:$B$528,2,$I$29:$I$528,"Expense",$F$29:$F$528,"&lt;&gt;Rent")</f>
        <v/>
      </c>
      <c r="J7" s="3">
        <f>SUMIFS($J$29:$J$528,$B$29:$B$528,2,$I$29:$I$528,"Income")</f>
        <v/>
      </c>
      <c r="K7" s="3">
        <f>J7-I7</f>
        <v/>
      </c>
    </row>
    <row r="8">
      <c r="A8" s="5" t="inlineStr">
        <is>
          <t>Transfers</t>
        </is>
      </c>
      <c r="B8" s="3">
        <f>SUMIFS($J$29:$J$528,$I$29:$I$528,"Transfer")</f>
        <v/>
      </c>
      <c r="D8" s="5" t="inlineStr">
        <is>
          <t>Groceries</t>
        </is>
      </c>
      <c r="E8" s="3">
        <f>SUMIFS($J$29:$J$528,$E$29:$E$528,$D8,$I$29:$I$528,"Expense")</f>
        <v/>
      </c>
      <c r="F8" s="3">
        <f>SUMIFS($J$29:$J$528,$E$29:$E$528,$D8,$I$29:$I$528,"Income")</f>
        <v/>
      </c>
      <c r="G8" s="3">
        <f>SUMIFS($J$29:$J$528,$E$29:$E$528,$D8,$I$29:$I$528,"Opening Balance")</f>
        <v/>
      </c>
      <c r="H8" s="5" t="inlineStr">
        <is>
          <t>Week 3</t>
        </is>
      </c>
      <c r="I8" s="3">
        <f>SUMIFS($J$29:$J$528,$B$29:$B$528,3,$I$29:$I$528,"Expense",$F$29:$F$528,"&lt;&gt;Rent")</f>
        <v/>
      </c>
      <c r="J8" s="3">
        <f>SUMIFS($J$29:$J$528,$B$29:$B$528,3,$I$29:$I$528,"Income")</f>
        <v/>
      </c>
      <c r="K8" s="3">
        <f>J8-I8</f>
        <v/>
      </c>
    </row>
    <row r="9">
      <c r="A9" s="5" t="inlineStr">
        <is>
          <t>Net Cash Flow</t>
        </is>
      </c>
      <c r="B9" s="3">
        <f>B5-B6</f>
        <v/>
      </c>
      <c r="D9" s="5" t="inlineStr">
        <is>
          <t>Dining</t>
        </is>
      </c>
      <c r="E9" s="3">
        <f>SUMIFS($J$29:$J$528,$E$29:$E$528,$D9,$I$29:$I$528,"Expense")</f>
        <v/>
      </c>
      <c r="F9" s="3">
        <f>SUMIFS($J$29:$J$528,$E$29:$E$528,$D9,$I$29:$I$528,"Income")</f>
        <v/>
      </c>
      <c r="G9" s="3">
        <f>SUMIFS($J$29:$J$528,$E$29:$E$528,$D9,$I$29:$I$528,"Opening Balance")</f>
        <v/>
      </c>
      <c r="H9" s="5" t="inlineStr">
        <is>
          <t>Week 4</t>
        </is>
      </c>
      <c r="I9" s="3">
        <f>SUMIFS($J$29:$J$528,$B$29:$B$528,4,$I$29:$I$528,"Expense",$F$29:$F$528,"&lt;&gt;Rent")</f>
        <v/>
      </c>
      <c r="J9" s="3">
        <f>SUMIFS($J$29:$J$528,$B$29:$B$528,4,$I$29:$I$528,"Income")</f>
        <v/>
      </c>
      <c r="K9" s="3">
        <f>J9-I9</f>
        <v/>
      </c>
    </row>
    <row r="10">
      <c r="D10" s="5" t="inlineStr">
        <is>
          <t>Transportation</t>
        </is>
      </c>
      <c r="E10" s="3">
        <f>SUMIFS($J$29:$J$528,$E$29:$E$528,$D10,$I$29:$I$528,"Expense")</f>
        <v/>
      </c>
      <c r="F10" s="3">
        <f>SUMIFS($J$29:$J$528,$E$29:$E$528,$D10,$I$29:$I$528,"Income")</f>
        <v/>
      </c>
      <c r="G10" s="3">
        <f>SUMIFS($J$29:$J$528,$E$29:$E$528,$D10,$I$29:$I$528,"Opening Balance")</f>
        <v/>
      </c>
      <c r="H10" s="5" t="inlineStr">
        <is>
          <t>Week 5</t>
        </is>
      </c>
      <c r="I10" s="3">
        <f>SUMIFS($J$29:$J$528,$B$29:$B$528,5,$I$29:$I$528,"Expense",$F$29:$F$528,"&lt;&gt;Rent")</f>
        <v/>
      </c>
      <c r="J10" s="3">
        <f>SUMIFS($J$29:$J$528,$B$29:$B$528,5,$I$29:$I$528,"Income")</f>
        <v/>
      </c>
      <c r="K10" s="3">
        <f>J10-I10</f>
        <v/>
      </c>
    </row>
    <row r="11">
      <c r="D11" s="5" t="inlineStr">
        <is>
          <t>Health &amp; Medical</t>
        </is>
      </c>
      <c r="E11" s="3">
        <f>SUMIFS($J$29:$J$528,$E$29:$E$528,$D11,$I$29:$I$528,"Expense")</f>
        <v/>
      </c>
      <c r="F11" s="3">
        <f>SUMIFS($J$29:$J$528,$E$29:$E$528,$D11,$I$29:$I$528,"Income")</f>
        <v/>
      </c>
      <c r="G11" s="3">
        <f>SUMIFS($J$29:$J$528,$E$29:$E$528,$D11,$I$29:$I$528,"Opening Balance")</f>
        <v/>
      </c>
    </row>
    <row r="12">
      <c r="D12" s="5" t="inlineStr">
        <is>
          <t>Insurance</t>
        </is>
      </c>
      <c r="E12" s="3">
        <f>SUMIFS($J$29:$J$528,$E$29:$E$528,$D12,$I$29:$I$528,"Expense")</f>
        <v/>
      </c>
      <c r="F12" s="3">
        <f>SUMIFS($J$29:$J$528,$E$29:$E$528,$D12,$I$29:$I$528,"Income")</f>
        <v/>
      </c>
      <c r="G12" s="3">
        <f>SUMIFS($J$29:$J$528,$E$29:$E$528,$D12,$I$29:$I$528,"Opening Balance")</f>
        <v/>
      </c>
    </row>
    <row r="13">
      <c r="D13" s="5" t="inlineStr">
        <is>
          <t>Debt Payments</t>
        </is>
      </c>
      <c r="E13" s="3">
        <f>SUMIFS($J$29:$J$528,$E$29:$E$528,$D13,$I$29:$I$528,"Expense")</f>
        <v/>
      </c>
      <c r="F13" s="3">
        <f>SUMIFS($J$29:$J$528,$E$29:$E$528,$D13,$I$29:$I$528,"Income")</f>
        <v/>
      </c>
      <c r="G13" s="3">
        <f>SUMIFS($J$29:$J$528,$E$29:$E$528,$D13,$I$29:$I$528,"Opening Balance")</f>
        <v/>
      </c>
    </row>
    <row r="14">
      <c r="D14" s="5" t="inlineStr">
        <is>
          <t>Savings &amp; Investments</t>
        </is>
      </c>
      <c r="E14" s="3">
        <f>SUMIFS($J$29:$J$528,$E$29:$E$528,$D14,$I$29:$I$528,"Expense")</f>
        <v/>
      </c>
      <c r="F14" s="3">
        <f>SUMIFS($J$29:$J$528,$E$29:$E$528,$D14,$I$29:$I$528,"Income")</f>
        <v/>
      </c>
      <c r="G14" s="3">
        <f>SUMIFS($J$29:$J$528,$E$29:$E$528,$D14,$I$29:$I$528,"Opening Balance")</f>
        <v/>
      </c>
    </row>
    <row r="15">
      <c r="D15" s="5" t="inlineStr">
        <is>
          <t>Personal Care</t>
        </is>
      </c>
      <c r="E15" s="3">
        <f>SUMIFS($J$29:$J$528,$E$29:$E$528,$D15,$I$29:$I$528,"Expense")</f>
        <v/>
      </c>
      <c r="F15" s="3">
        <f>SUMIFS($J$29:$J$528,$E$29:$E$528,$D15,$I$29:$I$528,"Income")</f>
        <v/>
      </c>
      <c r="G15" s="3">
        <f>SUMIFS($J$29:$J$528,$E$29:$E$528,$D15,$I$29:$I$528,"Opening Balance")</f>
        <v/>
      </c>
    </row>
    <row r="16">
      <c r="D16" s="5" t="inlineStr">
        <is>
          <t>Shopping</t>
        </is>
      </c>
      <c r="E16" s="3">
        <f>SUMIFS($J$29:$J$528,$E$29:$E$528,$D16,$I$29:$I$528,"Expense")</f>
        <v/>
      </c>
      <c r="F16" s="3">
        <f>SUMIFS($J$29:$J$528,$E$29:$E$528,$D16,$I$29:$I$528,"Income")</f>
        <v/>
      </c>
      <c r="G16" s="3">
        <f>SUMIFS($J$29:$J$528,$E$29:$E$528,$D16,$I$29:$I$528,"Opening Balance")</f>
        <v/>
      </c>
    </row>
    <row r="17">
      <c r="D17" s="5" t="inlineStr">
        <is>
          <t>Entertainment</t>
        </is>
      </c>
      <c r="E17" s="3">
        <f>SUMIFS($J$29:$J$528,$E$29:$E$528,$D17,$I$29:$I$528,"Expense")</f>
        <v/>
      </c>
      <c r="F17" s="3">
        <f>SUMIFS($J$29:$J$528,$E$29:$E$528,$D17,$I$29:$I$528,"Income")</f>
        <v/>
      </c>
      <c r="G17" s="3">
        <f>SUMIFS($J$29:$J$528,$E$29:$E$528,$D17,$I$29:$I$528,"Opening Balance")</f>
        <v/>
      </c>
    </row>
    <row r="18">
      <c r="D18" s="5" t="inlineStr">
        <is>
          <t>Travel</t>
        </is>
      </c>
      <c r="E18" s="3">
        <f>SUMIFS($J$29:$J$528,$E$29:$E$528,$D18,$I$29:$I$528,"Expense")</f>
        <v/>
      </c>
      <c r="F18" s="3">
        <f>SUMIFS($J$29:$J$528,$E$29:$E$528,$D18,$I$29:$I$528,"Income")</f>
        <v/>
      </c>
      <c r="G18" s="3">
        <f>SUMIFS($J$29:$J$528,$E$29:$E$528,$D18,$I$29:$I$528,"Opening Balance")</f>
        <v/>
      </c>
    </row>
    <row r="19">
      <c r="D19" s="5" t="inlineStr">
        <is>
          <t>Education</t>
        </is>
      </c>
      <c r="E19" s="3">
        <f>SUMIFS($J$29:$J$528,$E$29:$E$528,$D19,$I$29:$I$528,"Expense")</f>
        <v/>
      </c>
      <c r="F19" s="3">
        <f>SUMIFS($J$29:$J$528,$E$29:$E$528,$D19,$I$29:$I$528,"Income")</f>
        <v/>
      </c>
      <c r="G19" s="3">
        <f>SUMIFS($J$29:$J$528,$E$29:$E$528,$D19,$I$29:$I$528,"Opening Balance")</f>
        <v/>
      </c>
    </row>
    <row r="20">
      <c r="D20" s="5" t="inlineStr">
        <is>
          <t>Gifts &amp; Donations</t>
        </is>
      </c>
      <c r="E20" s="3">
        <f>SUMIFS($J$29:$J$528,$E$29:$E$528,$D20,$I$29:$I$528,"Expense")</f>
        <v/>
      </c>
      <c r="F20" s="3">
        <f>SUMIFS($J$29:$J$528,$E$29:$E$528,$D20,$I$29:$I$528,"Income")</f>
        <v/>
      </c>
      <c r="G20" s="3">
        <f>SUMIFS($J$29:$J$528,$E$29:$E$528,$D20,$I$29:$I$528,"Opening Balance")</f>
        <v/>
      </c>
    </row>
    <row r="21">
      <c r="D21" s="5" t="inlineStr">
        <is>
          <t>Taxes</t>
        </is>
      </c>
      <c r="E21" s="3">
        <f>SUMIFS($J$29:$J$528,$E$29:$E$528,$D21,$I$29:$I$528,"Expense")</f>
        <v/>
      </c>
      <c r="F21" s="3">
        <f>SUMIFS($J$29:$J$528,$E$29:$E$528,$D21,$I$29:$I$528,"Income")</f>
        <v/>
      </c>
      <c r="G21" s="3">
        <f>SUMIFS($J$29:$J$528,$E$29:$E$528,$D21,$I$29:$I$528,"Opening Balance")</f>
        <v/>
      </c>
    </row>
    <row r="22">
      <c r="D22" s="5" t="inlineStr">
        <is>
          <t>Shipping</t>
        </is>
      </c>
      <c r="E22" s="3">
        <f>SUMIFS($J$29:$J$528,$E$29:$E$528,$D22,$I$29:$I$528,"Expense")</f>
        <v/>
      </c>
      <c r="F22" s="3">
        <f>SUMIFS($J$29:$J$528,$E$29:$E$528,$D22,$I$29:$I$528,"Income")</f>
        <v/>
      </c>
      <c r="G22" s="3">
        <f>SUMIFS($J$29:$J$528,$E$29:$E$528,$D22,$I$29:$I$528,"Opening Balance")</f>
        <v/>
      </c>
    </row>
    <row r="23">
      <c r="D23" s="5" t="inlineStr">
        <is>
          <t>Income</t>
        </is>
      </c>
      <c r="E23" s="3">
        <f>SUMIFS($J$29:$J$528,$E$29:$E$528,$D23,$I$29:$I$528,"Expense")</f>
        <v/>
      </c>
      <c r="F23" s="3">
        <f>SUMIFS($J$29:$J$528,$E$29:$E$528,$D23,$I$29:$I$528,"Income")</f>
        <v/>
      </c>
      <c r="G23" s="3">
        <f>SUMIFS($J$29:$J$528,$E$29:$E$528,$D23,$I$29:$I$528,"Opening Balance")</f>
        <v/>
      </c>
    </row>
    <row r="24">
      <c r="D24" s="5" t="inlineStr">
        <is>
          <t>Transfers</t>
        </is>
      </c>
      <c r="E24" s="3">
        <f>SUMIFS($J$29:$J$528,$E$29:$E$528,$D24,$I$29:$I$528,"Expense")</f>
        <v/>
      </c>
      <c r="F24" s="3">
        <f>SUMIFS($J$29:$J$528,$E$29:$E$528,$D24,$I$29:$I$528,"Income")</f>
        <v/>
      </c>
      <c r="G24" s="3">
        <f>SUMIFS($J$29:$J$528,$E$29:$E$528,$D24,$I$29:$I$528,"Opening Balance")</f>
        <v/>
      </c>
    </row>
    <row r="25">
      <c r="D25" s="5" t="inlineStr">
        <is>
          <t>Existing Savings</t>
        </is>
      </c>
      <c r="E25" s="3">
        <f>SUMIFS($J$29:$J$528,$E$29:$E$528,$D25,$I$29:$I$528,"Expense")</f>
        <v/>
      </c>
      <c r="F25" s="3">
        <f>SUMIFS($J$29:$J$528,$E$29:$E$528,$D25,$I$29:$I$528,"Income")</f>
        <v/>
      </c>
      <c r="G25" s="3">
        <f>SUMIFS($J$29:$J$528,$E$29:$E$528,$D25,$I$29:$I$528,"Opening Balance")</f>
        <v/>
      </c>
    </row>
    <row r="26">
      <c r="D26" s="5" t="inlineStr">
        <is>
          <t>Essentials</t>
        </is>
      </c>
      <c r="E26" s="3">
        <f>SUMIFS($J$29:$J$528,$E$29:$E$528,$D26,$I$29:$I$528,"Expense")</f>
        <v/>
      </c>
      <c r="F26" s="3">
        <f>SUMIFS($J$29:$J$528,$E$29:$E$528,$D26,$I$29:$I$528,"Income")</f>
        <v/>
      </c>
      <c r="G26" s="3">
        <f>SUMIFS($J$29:$J$528,$E$29:$E$528,$D26,$I$29:$I$528,"Opening Balance")</f>
        <v/>
      </c>
    </row>
    <row r="27">
      <c r="A27" s="1" t="inlineStr">
        <is>
          <t>Transactions</t>
        </is>
      </c>
    </row>
    <row r="28">
      <c r="A28" s="2" t="inlineStr">
        <is>
          <t>Date</t>
        </is>
      </c>
      <c r="B28" s="2" t="inlineStr">
        <is>
          <t>Week</t>
        </is>
      </c>
      <c r="C28" s="2" t="inlineStr">
        <is>
          <t>Description</t>
        </is>
      </c>
      <c r="D28" s="2" t="inlineStr">
        <is>
          <t>Merchant</t>
        </is>
      </c>
      <c r="E28" s="2" t="inlineStr">
        <is>
          <t>Category</t>
        </is>
      </c>
      <c r="F28" s="2" t="inlineStr">
        <is>
          <t>Subcategory</t>
        </is>
      </c>
      <c r="G28" s="2" t="inlineStr">
        <is>
          <t>Account</t>
        </is>
      </c>
      <c r="H28" s="2" t="inlineStr">
        <is>
          <t>Payment Method</t>
        </is>
      </c>
      <c r="I28" s="2" t="inlineStr">
        <is>
          <t>Type</t>
        </is>
      </c>
      <c r="J28" s="2" t="inlineStr">
        <is>
          <t>Amount</t>
        </is>
      </c>
      <c r="K28" s="2" t="inlineStr">
        <is>
          <t>Notes</t>
        </is>
      </c>
    </row>
    <row r="29">
      <c r="A29" s="4" t="n"/>
      <c r="B29" s="9">
        <f>IF(A29="","",INT((DAY(A29)-1)/7)+1)</f>
        <v/>
      </c>
      <c r="C29" s="9" t="n"/>
      <c r="D29" s="9" t="n"/>
      <c r="E29" s="9" t="n"/>
      <c r="F29" s="9" t="n"/>
      <c r="G29" s="9" t="n"/>
      <c r="H29" s="9" t="n"/>
      <c r="I29" s="9" t="n"/>
      <c r="J29" s="3" t="n"/>
      <c r="K29" s="9" t="n"/>
    </row>
    <row r="30">
      <c r="A30" s="4" t="n"/>
      <c r="B30" s="9">
        <f>IF(A30="","",INT((DAY(A30)-1)/7)+1)</f>
        <v/>
      </c>
      <c r="C30" s="9" t="n"/>
      <c r="D30" s="9" t="n"/>
      <c r="E30" s="9" t="n"/>
      <c r="F30" s="9" t="n"/>
      <c r="G30" s="9" t="n"/>
      <c r="H30" s="9" t="n"/>
      <c r="I30" s="9" t="n"/>
      <c r="J30" s="3" t="n"/>
      <c r="K30" s="9" t="n"/>
    </row>
    <row r="31">
      <c r="A31" s="4" t="n"/>
      <c r="B31" s="9">
        <f>IF(A31="","",INT((DAY(A31)-1)/7)+1)</f>
        <v/>
      </c>
      <c r="C31" s="9" t="n"/>
      <c r="D31" s="9" t="n"/>
      <c r="E31" s="9" t="n"/>
      <c r="F31" s="9" t="n"/>
      <c r="G31" s="9" t="n"/>
      <c r="H31" s="9" t="n"/>
      <c r="I31" s="9" t="n"/>
      <c r="J31" s="3" t="n"/>
      <c r="K31" s="9" t="n"/>
    </row>
    <row r="32">
      <c r="A32" s="4" t="n"/>
      <c r="B32" s="9">
        <f>IF(A32="","",INT((DAY(A32)-1)/7)+1)</f>
        <v/>
      </c>
      <c r="C32" s="9" t="n"/>
      <c r="D32" s="9" t="n"/>
      <c r="E32" s="9" t="n"/>
      <c r="F32" s="9" t="n"/>
      <c r="G32" s="9" t="n"/>
      <c r="H32" s="9" t="n"/>
      <c r="I32" s="9" t="n"/>
      <c r="J32" s="3" t="n"/>
      <c r="K32" s="9" t="n"/>
    </row>
    <row r="33">
      <c r="A33" s="4" t="n"/>
      <c r="B33" s="9">
        <f>IF(A33="","",INT((DAY(A33)-1)/7)+1)</f>
        <v/>
      </c>
      <c r="C33" s="9" t="n"/>
      <c r="D33" s="9" t="n"/>
      <c r="E33" s="9" t="n"/>
      <c r="F33" s="9" t="n"/>
      <c r="G33" s="9" t="n"/>
      <c r="H33" s="9" t="n"/>
      <c r="I33" s="9" t="n"/>
      <c r="J33" s="3" t="n"/>
      <c r="K33" s="9" t="n"/>
    </row>
    <row r="34">
      <c r="A34" s="4" t="n"/>
      <c r="B34" s="9">
        <f>IF(A34="","",INT((DAY(A34)-1)/7)+1)</f>
        <v/>
      </c>
      <c r="C34" s="9" t="n"/>
      <c r="D34" s="9" t="n"/>
      <c r="E34" s="9" t="n"/>
      <c r="F34" s="9" t="n"/>
      <c r="G34" s="9" t="n"/>
      <c r="H34" s="9" t="n"/>
      <c r="I34" s="9" t="n"/>
      <c r="J34" s="3" t="n"/>
      <c r="K34" s="9" t="n"/>
    </row>
    <row r="35">
      <c r="A35" s="4" t="n"/>
      <c r="B35" s="9">
        <f>IF(A35="","",INT((DAY(A35)-1)/7)+1)</f>
        <v/>
      </c>
      <c r="C35" s="9" t="n"/>
      <c r="D35" s="9" t="n"/>
      <c r="E35" s="9" t="n"/>
      <c r="F35" s="9" t="n"/>
      <c r="G35" s="9" t="n"/>
      <c r="H35" s="9" t="n"/>
      <c r="I35" s="9" t="n"/>
      <c r="J35" s="3" t="n"/>
      <c r="K35" s="9" t="n"/>
    </row>
    <row r="36">
      <c r="A36" s="4" t="n"/>
      <c r="B36" s="9">
        <f>IF(A36="","",INT((DAY(A36)-1)/7)+1)</f>
        <v/>
      </c>
      <c r="C36" s="9" t="n"/>
      <c r="D36" s="9" t="n"/>
      <c r="E36" s="9" t="n"/>
      <c r="F36" s="9" t="n"/>
      <c r="G36" s="9" t="n"/>
      <c r="H36" s="9" t="n"/>
      <c r="I36" s="9" t="n"/>
      <c r="J36" s="3" t="n"/>
      <c r="K36" s="9" t="n"/>
    </row>
    <row r="37">
      <c r="A37" s="4" t="n"/>
      <c r="B37" s="9">
        <f>IF(A37="","",INT((DAY(A37)-1)/7)+1)</f>
        <v/>
      </c>
      <c r="C37" s="9" t="n"/>
      <c r="D37" s="9" t="n"/>
      <c r="E37" s="9" t="n"/>
      <c r="F37" s="9" t="n"/>
      <c r="G37" s="9" t="n"/>
      <c r="H37" s="9" t="n"/>
      <c r="I37" s="9" t="n"/>
      <c r="J37" s="3" t="n"/>
      <c r="K37" s="9" t="n"/>
    </row>
    <row r="38">
      <c r="A38" s="4" t="n"/>
      <c r="B38" s="9">
        <f>IF(A38="","",INT((DAY(A38)-1)/7)+1)</f>
        <v/>
      </c>
      <c r="C38" s="9" t="n"/>
      <c r="D38" s="9" t="n"/>
      <c r="E38" s="9" t="n"/>
      <c r="F38" s="9" t="n"/>
      <c r="G38" s="9" t="n"/>
      <c r="H38" s="9" t="n"/>
      <c r="I38" s="9" t="n"/>
      <c r="J38" s="3" t="n"/>
      <c r="K38" s="9" t="n"/>
    </row>
    <row r="39">
      <c r="A39" s="4" t="n"/>
      <c r="B39" s="9">
        <f>IF(A39="","",INT((DAY(A39)-1)/7)+1)</f>
        <v/>
      </c>
      <c r="C39" s="9" t="n"/>
      <c r="D39" s="9" t="n"/>
      <c r="E39" s="9" t="n"/>
      <c r="F39" s="9" t="n"/>
      <c r="G39" s="9" t="n"/>
      <c r="H39" s="9" t="n"/>
      <c r="I39" s="9" t="n"/>
      <c r="J39" s="3" t="n"/>
      <c r="K39" s="9" t="n"/>
    </row>
    <row r="40">
      <c r="A40" s="4" t="n"/>
      <c r="B40" s="9">
        <f>IF(A40="","",INT((DAY(A40)-1)/7)+1)</f>
        <v/>
      </c>
      <c r="C40" s="9" t="n"/>
      <c r="D40" s="9" t="n"/>
      <c r="E40" s="9" t="n"/>
      <c r="F40" s="9" t="n"/>
      <c r="G40" s="9" t="n"/>
      <c r="H40" s="9" t="n"/>
      <c r="I40" s="9" t="n"/>
      <c r="J40" s="3" t="n"/>
      <c r="K40" s="9" t="n"/>
    </row>
    <row r="41">
      <c r="A41" s="4" t="n"/>
      <c r="B41" s="9">
        <f>IF(A41="","",INT((DAY(A41)-1)/7)+1)</f>
        <v/>
      </c>
      <c r="C41" s="9" t="n"/>
      <c r="D41" s="9" t="n"/>
      <c r="E41" s="9" t="n"/>
      <c r="F41" s="9" t="n"/>
      <c r="G41" s="9" t="n"/>
      <c r="H41" s="9" t="n"/>
      <c r="I41" s="9" t="n"/>
      <c r="J41" s="3" t="n"/>
      <c r="K41" s="9" t="n"/>
    </row>
    <row r="42">
      <c r="A42" s="4" t="n"/>
      <c r="B42" s="9">
        <f>IF(A42="","",INT((DAY(A42)-1)/7)+1)</f>
        <v/>
      </c>
      <c r="C42" s="9" t="n"/>
      <c r="D42" s="9" t="n"/>
      <c r="E42" s="9" t="n"/>
      <c r="F42" s="9" t="n"/>
      <c r="G42" s="9" t="n"/>
      <c r="H42" s="9" t="n"/>
      <c r="I42" s="9" t="n"/>
      <c r="J42" s="3" t="n"/>
      <c r="K42" s="9" t="n"/>
    </row>
    <row r="43">
      <c r="A43" s="4" t="n"/>
      <c r="B43" s="9">
        <f>IF(A43="","",INT((DAY(A43)-1)/7)+1)</f>
        <v/>
      </c>
      <c r="C43" s="9" t="n"/>
      <c r="D43" s="9" t="n"/>
      <c r="E43" s="9" t="n"/>
      <c r="F43" s="9" t="n"/>
      <c r="G43" s="9" t="n"/>
      <c r="H43" s="9" t="n"/>
      <c r="I43" s="9" t="n"/>
      <c r="J43" s="3" t="n"/>
      <c r="K43" s="9" t="n"/>
    </row>
    <row r="44">
      <c r="A44" s="4" t="n"/>
      <c r="B44" s="9">
        <f>IF(A44="","",INT((DAY(A44)-1)/7)+1)</f>
        <v/>
      </c>
      <c r="C44" s="9" t="n"/>
      <c r="D44" s="9" t="n"/>
      <c r="E44" s="9" t="n"/>
      <c r="F44" s="9" t="n"/>
      <c r="G44" s="9" t="n"/>
      <c r="H44" s="9" t="n"/>
      <c r="I44" s="9" t="n"/>
      <c r="J44" s="3" t="n"/>
      <c r="K44" s="9" t="n"/>
    </row>
    <row r="45">
      <c r="A45" s="4" t="n"/>
      <c r="B45" s="9">
        <f>IF(A45="","",INT((DAY(A45)-1)/7)+1)</f>
        <v/>
      </c>
      <c r="C45" s="9" t="n"/>
      <c r="D45" s="9" t="n"/>
      <c r="E45" s="9" t="n"/>
      <c r="F45" s="9" t="n"/>
      <c r="G45" s="9" t="n"/>
      <c r="H45" s="9" t="n"/>
      <c r="I45" s="9" t="n"/>
      <c r="J45" s="3" t="n"/>
      <c r="K45" s="9" t="n"/>
    </row>
    <row r="46">
      <c r="A46" s="4" t="n"/>
      <c r="B46" s="9">
        <f>IF(A46="","",INT((DAY(A46)-1)/7)+1)</f>
        <v/>
      </c>
      <c r="C46" s="9" t="n"/>
      <c r="D46" s="9" t="n"/>
      <c r="E46" s="9" t="n"/>
      <c r="F46" s="9" t="n"/>
      <c r="G46" s="9" t="n"/>
      <c r="H46" s="9" t="n"/>
      <c r="I46" s="9" t="n"/>
      <c r="J46" s="3" t="n"/>
      <c r="K46" s="9" t="n"/>
    </row>
    <row r="47">
      <c r="A47" s="4" t="n"/>
      <c r="B47" s="9">
        <f>IF(A47="","",INT((DAY(A47)-1)/7)+1)</f>
        <v/>
      </c>
      <c r="C47" s="9" t="n"/>
      <c r="D47" s="9" t="n"/>
      <c r="E47" s="9" t="n"/>
      <c r="F47" s="9" t="n"/>
      <c r="G47" s="9" t="n"/>
      <c r="H47" s="9" t="n"/>
      <c r="I47" s="9" t="n"/>
      <c r="J47" s="3" t="n"/>
      <c r="K47" s="9" t="n"/>
    </row>
    <row r="48">
      <c r="A48" s="4" t="n"/>
      <c r="B48" s="9">
        <f>IF(A48="","",INT((DAY(A48)-1)/7)+1)</f>
        <v/>
      </c>
      <c r="C48" s="9" t="n"/>
      <c r="D48" s="9" t="n"/>
      <c r="E48" s="9" t="n"/>
      <c r="F48" s="9" t="n"/>
      <c r="G48" s="9" t="n"/>
      <c r="H48" s="9" t="n"/>
      <c r="I48" s="9" t="n"/>
      <c r="J48" s="3" t="n"/>
      <c r="K48" s="9" t="n"/>
    </row>
    <row r="49">
      <c r="A49" s="4" t="n"/>
      <c r="B49" s="9">
        <f>IF(A49="","",INT((DAY(A49)-1)/7)+1)</f>
        <v/>
      </c>
      <c r="C49" s="9" t="n"/>
      <c r="D49" s="9" t="n"/>
      <c r="E49" s="9" t="n"/>
      <c r="F49" s="9" t="n"/>
      <c r="G49" s="9" t="n"/>
      <c r="H49" s="9" t="n"/>
      <c r="I49" s="9" t="n"/>
      <c r="J49" s="3" t="n"/>
      <c r="K49" s="9" t="n"/>
    </row>
    <row r="50">
      <c r="A50" s="4" t="n"/>
      <c r="B50" s="9">
        <f>IF(A50="","",INT((DAY(A50)-1)/7)+1)</f>
        <v/>
      </c>
      <c r="C50" s="9" t="n"/>
      <c r="D50" s="9" t="n"/>
      <c r="E50" s="9" t="n"/>
      <c r="F50" s="9" t="n"/>
      <c r="G50" s="9" t="n"/>
      <c r="H50" s="9" t="n"/>
      <c r="I50" s="9" t="n"/>
      <c r="J50" s="3" t="n"/>
      <c r="K50" s="9" t="n"/>
    </row>
    <row r="51">
      <c r="A51" s="4" t="n"/>
      <c r="B51" s="9">
        <f>IF(A51="","",INT((DAY(A51)-1)/7)+1)</f>
        <v/>
      </c>
      <c r="C51" s="9" t="n"/>
      <c r="D51" s="9" t="n"/>
      <c r="E51" s="9" t="n"/>
      <c r="F51" s="9" t="n"/>
      <c r="G51" s="9" t="n"/>
      <c r="H51" s="9" t="n"/>
      <c r="I51" s="9" t="n"/>
      <c r="J51" s="3" t="n"/>
      <c r="K51" s="9" t="n"/>
    </row>
    <row r="52">
      <c r="A52" s="4" t="n"/>
      <c r="B52" s="9">
        <f>IF(A52="","",INT((DAY(A52)-1)/7)+1)</f>
        <v/>
      </c>
      <c r="C52" s="9" t="n"/>
      <c r="D52" s="9" t="n"/>
      <c r="E52" s="9" t="n"/>
      <c r="F52" s="9" t="n"/>
      <c r="G52" s="9" t="n"/>
      <c r="H52" s="9" t="n"/>
      <c r="I52" s="9" t="n"/>
      <c r="J52" s="3" t="n"/>
      <c r="K52" s="9" t="n"/>
    </row>
    <row r="53">
      <c r="A53" s="4" t="n"/>
      <c r="B53" s="9">
        <f>IF(A53="","",INT((DAY(A53)-1)/7)+1)</f>
        <v/>
      </c>
      <c r="C53" s="9" t="n"/>
      <c r="D53" s="9" t="n"/>
      <c r="E53" s="9" t="n"/>
      <c r="F53" s="9" t="n"/>
      <c r="G53" s="9" t="n"/>
      <c r="H53" s="9" t="n"/>
      <c r="I53" s="9" t="n"/>
      <c r="J53" s="3" t="n"/>
      <c r="K53" s="9" t="n"/>
    </row>
    <row r="54">
      <c r="A54" s="4" t="n"/>
      <c r="B54" s="9">
        <f>IF(A54="","",INT((DAY(A54)-1)/7)+1)</f>
        <v/>
      </c>
      <c r="C54" s="9" t="n"/>
      <c r="D54" s="9" t="n"/>
      <c r="E54" s="9" t="n"/>
      <c r="F54" s="9" t="n"/>
      <c r="G54" s="9" t="n"/>
      <c r="H54" s="9" t="n"/>
      <c r="I54" s="9" t="n"/>
      <c r="J54" s="3" t="n"/>
      <c r="K54" s="9" t="n"/>
    </row>
    <row r="55">
      <c r="A55" s="4" t="n"/>
      <c r="B55" s="9">
        <f>IF(A55="","",INT((DAY(A55)-1)/7)+1)</f>
        <v/>
      </c>
      <c r="C55" s="9" t="n"/>
      <c r="D55" s="9" t="n"/>
      <c r="E55" s="9" t="n"/>
      <c r="F55" s="9" t="n"/>
      <c r="G55" s="9" t="n"/>
      <c r="H55" s="9" t="n"/>
      <c r="I55" s="9" t="n"/>
      <c r="J55" s="3" t="n"/>
      <c r="K55" s="9" t="n"/>
    </row>
    <row r="56">
      <c r="A56" s="4" t="n"/>
      <c r="B56" s="9">
        <f>IF(A56="","",INT((DAY(A56)-1)/7)+1)</f>
        <v/>
      </c>
      <c r="C56" s="9" t="n"/>
      <c r="D56" s="9" t="n"/>
      <c r="E56" s="9" t="n"/>
      <c r="F56" s="9" t="n"/>
      <c r="G56" s="9" t="n"/>
      <c r="H56" s="9" t="n"/>
      <c r="I56" s="9" t="n"/>
      <c r="J56" s="3" t="n"/>
      <c r="K56" s="9" t="n"/>
    </row>
    <row r="57">
      <c r="A57" s="4" t="n"/>
      <c r="B57" s="9">
        <f>IF(A57="","",INT((DAY(A57)-1)/7)+1)</f>
        <v/>
      </c>
      <c r="C57" s="9" t="n"/>
      <c r="D57" s="9" t="n"/>
      <c r="E57" s="9" t="n"/>
      <c r="F57" s="9" t="n"/>
      <c r="G57" s="9" t="n"/>
      <c r="H57" s="9" t="n"/>
      <c r="I57" s="9" t="n"/>
      <c r="J57" s="3" t="n"/>
      <c r="K57" s="9" t="n"/>
    </row>
    <row r="58">
      <c r="A58" s="4" t="n"/>
      <c r="B58" s="9">
        <f>IF(A58="","",INT((DAY(A58)-1)/7)+1)</f>
        <v/>
      </c>
      <c r="C58" s="9" t="n"/>
      <c r="D58" s="9" t="n"/>
      <c r="E58" s="9" t="n"/>
      <c r="F58" s="9" t="n"/>
      <c r="G58" s="9" t="n"/>
      <c r="H58" s="9" t="n"/>
      <c r="I58" s="9" t="n"/>
      <c r="J58" s="3" t="n"/>
      <c r="K58" s="9" t="n"/>
    </row>
    <row r="59">
      <c r="A59" s="4" t="n"/>
      <c r="B59" s="9">
        <f>IF(A59="","",INT((DAY(A59)-1)/7)+1)</f>
        <v/>
      </c>
      <c r="C59" s="9" t="n"/>
      <c r="D59" s="9" t="n"/>
      <c r="E59" s="9" t="n"/>
      <c r="F59" s="9" t="n"/>
      <c r="G59" s="9" t="n"/>
      <c r="H59" s="9" t="n"/>
      <c r="I59" s="9" t="n"/>
      <c r="J59" s="3" t="n"/>
      <c r="K59" s="9" t="n"/>
    </row>
    <row r="60">
      <c r="A60" s="4" t="n"/>
      <c r="B60" s="9">
        <f>IF(A60="","",INT((DAY(A60)-1)/7)+1)</f>
        <v/>
      </c>
      <c r="C60" s="9" t="n"/>
      <c r="D60" s="9" t="n"/>
      <c r="E60" s="9" t="n"/>
      <c r="F60" s="9" t="n"/>
      <c r="G60" s="9" t="n"/>
      <c r="H60" s="9" t="n"/>
      <c r="I60" s="9" t="n"/>
      <c r="J60" s="3" t="n"/>
      <c r="K60" s="9" t="n"/>
    </row>
    <row r="61">
      <c r="A61" s="4" t="n"/>
      <c r="B61" s="9">
        <f>IF(A61="","",INT((DAY(A61)-1)/7)+1)</f>
        <v/>
      </c>
      <c r="C61" s="9" t="n"/>
      <c r="D61" s="9" t="n"/>
      <c r="E61" s="9" t="n"/>
      <c r="F61" s="9" t="n"/>
      <c r="G61" s="9" t="n"/>
      <c r="H61" s="9" t="n"/>
      <c r="I61" s="9" t="n"/>
      <c r="J61" s="3" t="n"/>
      <c r="K61" s="9" t="n"/>
    </row>
    <row r="62">
      <c r="A62" s="4" t="n"/>
      <c r="B62" s="9">
        <f>IF(A62="","",INT((DAY(A62)-1)/7)+1)</f>
        <v/>
      </c>
      <c r="C62" s="9" t="n"/>
      <c r="D62" s="9" t="n"/>
      <c r="E62" s="9" t="n"/>
      <c r="F62" s="9" t="n"/>
      <c r="G62" s="9" t="n"/>
      <c r="H62" s="9" t="n"/>
      <c r="I62" s="9" t="n"/>
      <c r="J62" s="3" t="n"/>
      <c r="K62" s="9" t="n"/>
    </row>
    <row r="63">
      <c r="A63" s="4" t="n"/>
      <c r="B63" s="9">
        <f>IF(A63="","",INT((DAY(A63)-1)/7)+1)</f>
        <v/>
      </c>
      <c r="C63" s="9" t="n"/>
      <c r="D63" s="9" t="n"/>
      <c r="E63" s="9" t="n"/>
      <c r="F63" s="9" t="n"/>
      <c r="G63" s="9" t="n"/>
      <c r="H63" s="9" t="n"/>
      <c r="I63" s="9" t="n"/>
      <c r="J63" s="3" t="n"/>
      <c r="K63" s="9" t="n"/>
    </row>
    <row r="64">
      <c r="A64" s="4" t="n"/>
      <c r="B64" s="9">
        <f>IF(A64="","",INT((DAY(A64)-1)/7)+1)</f>
        <v/>
      </c>
      <c r="C64" s="9" t="n"/>
      <c r="D64" s="9" t="n"/>
      <c r="E64" s="9" t="n"/>
      <c r="F64" s="9" t="n"/>
      <c r="G64" s="9" t="n"/>
      <c r="H64" s="9" t="n"/>
      <c r="I64" s="9" t="n"/>
      <c r="J64" s="3" t="n"/>
      <c r="K64" s="9" t="n"/>
    </row>
    <row r="65">
      <c r="A65" s="4" t="n"/>
      <c r="B65" s="9">
        <f>IF(A65="","",INT((DAY(A65)-1)/7)+1)</f>
        <v/>
      </c>
      <c r="C65" s="9" t="n"/>
      <c r="D65" s="9" t="n"/>
      <c r="E65" s="9" t="n"/>
      <c r="F65" s="9" t="n"/>
      <c r="G65" s="9" t="n"/>
      <c r="H65" s="9" t="n"/>
      <c r="I65" s="9" t="n"/>
      <c r="J65" s="3" t="n"/>
      <c r="K65" s="9" t="n"/>
    </row>
    <row r="66">
      <c r="A66" s="4" t="n"/>
      <c r="B66" s="9">
        <f>IF(A66="","",INT((DAY(A66)-1)/7)+1)</f>
        <v/>
      </c>
      <c r="C66" s="9" t="n"/>
      <c r="D66" s="9" t="n"/>
      <c r="E66" s="9" t="n"/>
      <c r="F66" s="9" t="n"/>
      <c r="G66" s="9" t="n"/>
      <c r="H66" s="9" t="n"/>
      <c r="I66" s="9" t="n"/>
      <c r="J66" s="3" t="n"/>
      <c r="K66" s="9" t="n"/>
    </row>
    <row r="67">
      <c r="A67" s="4" t="n"/>
      <c r="B67" s="9">
        <f>IF(A67="","",INT((DAY(A67)-1)/7)+1)</f>
        <v/>
      </c>
      <c r="C67" s="9" t="n"/>
      <c r="D67" s="9" t="n"/>
      <c r="E67" s="9" t="n"/>
      <c r="F67" s="9" t="n"/>
      <c r="G67" s="9" t="n"/>
      <c r="H67" s="9" t="n"/>
      <c r="I67" s="9" t="n"/>
      <c r="J67" s="3" t="n"/>
      <c r="K67" s="9" t="n"/>
    </row>
    <row r="68">
      <c r="A68" s="4" t="n"/>
      <c r="B68" s="9">
        <f>IF(A68="","",INT((DAY(A68)-1)/7)+1)</f>
        <v/>
      </c>
      <c r="C68" s="9" t="n"/>
      <c r="D68" s="9" t="n"/>
      <c r="E68" s="9" t="n"/>
      <c r="F68" s="9" t="n"/>
      <c r="G68" s="9" t="n"/>
      <c r="H68" s="9" t="n"/>
      <c r="I68" s="9" t="n"/>
      <c r="J68" s="3" t="n"/>
      <c r="K68" s="9" t="n"/>
    </row>
    <row r="69">
      <c r="A69" s="4" t="n"/>
      <c r="B69" s="9">
        <f>IF(A69="","",INT((DAY(A69)-1)/7)+1)</f>
        <v/>
      </c>
      <c r="C69" s="9" t="n"/>
      <c r="D69" s="9" t="n"/>
      <c r="E69" s="9" t="n"/>
      <c r="F69" s="9" t="n"/>
      <c r="G69" s="9" t="n"/>
      <c r="H69" s="9" t="n"/>
      <c r="I69" s="9" t="n"/>
      <c r="J69" s="3" t="n"/>
      <c r="K69" s="9" t="n"/>
    </row>
    <row r="70">
      <c r="A70" s="4" t="n"/>
      <c r="B70" s="9">
        <f>IF(A70="","",INT((DAY(A70)-1)/7)+1)</f>
        <v/>
      </c>
      <c r="C70" s="9" t="n"/>
      <c r="D70" s="9" t="n"/>
      <c r="E70" s="9" t="n"/>
      <c r="F70" s="9" t="n"/>
      <c r="G70" s="9" t="n"/>
      <c r="H70" s="9" t="n"/>
      <c r="I70" s="9" t="n"/>
      <c r="J70" s="3" t="n"/>
      <c r="K70" s="9" t="n"/>
    </row>
    <row r="71">
      <c r="A71" s="4" t="n"/>
      <c r="B71" s="9">
        <f>IF(A71="","",INT((DAY(A71)-1)/7)+1)</f>
        <v/>
      </c>
      <c r="C71" s="9" t="n"/>
      <c r="D71" s="9" t="n"/>
      <c r="E71" s="9" t="n"/>
      <c r="F71" s="9" t="n"/>
      <c r="G71" s="9" t="n"/>
      <c r="H71" s="9" t="n"/>
      <c r="I71" s="9" t="n"/>
      <c r="J71" s="3" t="n"/>
      <c r="K71" s="9" t="n"/>
    </row>
    <row r="72">
      <c r="A72" s="4" t="n"/>
      <c r="B72" s="9">
        <f>IF(A72="","",INT((DAY(A72)-1)/7)+1)</f>
        <v/>
      </c>
      <c r="C72" s="9" t="n"/>
      <c r="D72" s="9" t="n"/>
      <c r="E72" s="9" t="n"/>
      <c r="F72" s="9" t="n"/>
      <c r="G72" s="9" t="n"/>
      <c r="H72" s="9" t="n"/>
      <c r="I72" s="9" t="n"/>
      <c r="J72" s="3" t="n"/>
      <c r="K72" s="9" t="n"/>
    </row>
    <row r="73">
      <c r="A73" s="4" t="n"/>
      <c r="B73" s="9">
        <f>IF(A73="","",INT((DAY(A73)-1)/7)+1)</f>
        <v/>
      </c>
      <c r="C73" s="9" t="n"/>
      <c r="D73" s="9" t="n"/>
      <c r="E73" s="9" t="n"/>
      <c r="F73" s="9" t="n"/>
      <c r="G73" s="9" t="n"/>
      <c r="H73" s="9" t="n"/>
      <c r="I73" s="9" t="n"/>
      <c r="J73" s="3" t="n"/>
      <c r="K73" s="9" t="n"/>
    </row>
    <row r="74">
      <c r="A74" s="4" t="n"/>
      <c r="B74" s="9">
        <f>IF(A74="","",INT((DAY(A74)-1)/7)+1)</f>
        <v/>
      </c>
      <c r="C74" s="9" t="n"/>
      <c r="D74" s="9" t="n"/>
      <c r="E74" s="9" t="n"/>
      <c r="F74" s="9" t="n"/>
      <c r="G74" s="9" t="n"/>
      <c r="H74" s="9" t="n"/>
      <c r="I74" s="9" t="n"/>
      <c r="J74" s="3" t="n"/>
      <c r="K74" s="9" t="n"/>
    </row>
    <row r="75">
      <c r="A75" s="4" t="n"/>
      <c r="B75" s="9">
        <f>IF(A75="","",INT((DAY(A75)-1)/7)+1)</f>
        <v/>
      </c>
      <c r="C75" s="9" t="n"/>
      <c r="D75" s="9" t="n"/>
      <c r="E75" s="9" t="n"/>
      <c r="F75" s="9" t="n"/>
      <c r="G75" s="9" t="n"/>
      <c r="H75" s="9" t="n"/>
      <c r="I75" s="9" t="n"/>
      <c r="J75" s="3" t="n"/>
      <c r="K75" s="9" t="n"/>
    </row>
    <row r="76">
      <c r="A76" s="4" t="n"/>
      <c r="B76" s="9">
        <f>IF(A76="","",INT((DAY(A76)-1)/7)+1)</f>
        <v/>
      </c>
      <c r="C76" s="9" t="n"/>
      <c r="D76" s="9" t="n"/>
      <c r="E76" s="9" t="n"/>
      <c r="F76" s="9" t="n"/>
      <c r="G76" s="9" t="n"/>
      <c r="H76" s="9" t="n"/>
      <c r="I76" s="9" t="n"/>
      <c r="J76" s="3" t="n"/>
      <c r="K76" s="9" t="n"/>
    </row>
    <row r="77">
      <c r="A77" s="4" t="n"/>
      <c r="B77" s="9">
        <f>IF(A77="","",INT((DAY(A77)-1)/7)+1)</f>
        <v/>
      </c>
      <c r="C77" s="9" t="n"/>
      <c r="D77" s="9" t="n"/>
      <c r="E77" s="9" t="n"/>
      <c r="F77" s="9" t="n"/>
      <c r="G77" s="9" t="n"/>
      <c r="H77" s="9" t="n"/>
      <c r="I77" s="9" t="n"/>
      <c r="J77" s="3" t="n"/>
      <c r="K77" s="9" t="n"/>
    </row>
    <row r="78">
      <c r="A78" s="4" t="n"/>
      <c r="B78" s="9">
        <f>IF(A78="","",INT((DAY(A78)-1)/7)+1)</f>
        <v/>
      </c>
      <c r="C78" s="9" t="n"/>
      <c r="D78" s="9" t="n"/>
      <c r="E78" s="9" t="n"/>
      <c r="F78" s="9" t="n"/>
      <c r="G78" s="9" t="n"/>
      <c r="H78" s="9" t="n"/>
      <c r="I78" s="9" t="n"/>
      <c r="J78" s="3" t="n"/>
      <c r="K78" s="9" t="n"/>
    </row>
    <row r="79">
      <c r="A79" s="4" t="n"/>
      <c r="B79" s="9">
        <f>IF(A79="","",INT((DAY(A79)-1)/7)+1)</f>
        <v/>
      </c>
      <c r="C79" s="9" t="n"/>
      <c r="D79" s="9" t="n"/>
      <c r="E79" s="9" t="n"/>
      <c r="F79" s="9" t="n"/>
      <c r="G79" s="9" t="n"/>
      <c r="H79" s="9" t="n"/>
      <c r="I79" s="9" t="n"/>
      <c r="J79" s="3" t="n"/>
      <c r="K79" s="9" t="n"/>
    </row>
    <row r="80">
      <c r="A80" s="4" t="n"/>
      <c r="B80" s="9">
        <f>IF(A80="","",INT((DAY(A80)-1)/7)+1)</f>
        <v/>
      </c>
      <c r="C80" s="9" t="n"/>
      <c r="D80" s="9" t="n"/>
      <c r="E80" s="9" t="n"/>
      <c r="F80" s="9" t="n"/>
      <c r="G80" s="9" t="n"/>
      <c r="H80" s="9" t="n"/>
      <c r="I80" s="9" t="n"/>
      <c r="J80" s="3" t="n"/>
      <c r="K80" s="9" t="n"/>
    </row>
    <row r="81">
      <c r="A81" s="4" t="n"/>
      <c r="B81" s="9">
        <f>IF(A81="","",INT((DAY(A81)-1)/7)+1)</f>
        <v/>
      </c>
      <c r="C81" s="9" t="n"/>
      <c r="D81" s="9" t="n"/>
      <c r="E81" s="9" t="n"/>
      <c r="F81" s="9" t="n"/>
      <c r="G81" s="9" t="n"/>
      <c r="H81" s="9" t="n"/>
      <c r="I81" s="9" t="n"/>
      <c r="J81" s="3" t="n"/>
      <c r="K81" s="9" t="n"/>
    </row>
    <row r="82">
      <c r="A82" s="4" t="n"/>
      <c r="B82" s="9">
        <f>IF(A82="","",INT((DAY(A82)-1)/7)+1)</f>
        <v/>
      </c>
      <c r="C82" s="9" t="n"/>
      <c r="D82" s="9" t="n"/>
      <c r="E82" s="9" t="n"/>
      <c r="F82" s="9" t="n"/>
      <c r="G82" s="9" t="n"/>
      <c r="H82" s="9" t="n"/>
      <c r="I82" s="9" t="n"/>
      <c r="J82" s="3" t="n"/>
      <c r="K82" s="9" t="n"/>
    </row>
    <row r="83">
      <c r="A83" s="4" t="n"/>
      <c r="B83" s="9">
        <f>IF(A83="","",INT((DAY(A83)-1)/7)+1)</f>
        <v/>
      </c>
      <c r="C83" s="9" t="n"/>
      <c r="D83" s="9" t="n"/>
      <c r="E83" s="9" t="n"/>
      <c r="F83" s="9" t="n"/>
      <c r="G83" s="9" t="n"/>
      <c r="H83" s="9" t="n"/>
      <c r="I83" s="9" t="n"/>
      <c r="J83" s="3" t="n"/>
      <c r="K83" s="9" t="n"/>
    </row>
    <row r="84">
      <c r="A84" s="4" t="n"/>
      <c r="B84" s="9">
        <f>IF(A84="","",INT((DAY(A84)-1)/7)+1)</f>
        <v/>
      </c>
      <c r="C84" s="9" t="n"/>
      <c r="D84" s="9" t="n"/>
      <c r="E84" s="9" t="n"/>
      <c r="F84" s="9" t="n"/>
      <c r="G84" s="9" t="n"/>
      <c r="H84" s="9" t="n"/>
      <c r="I84" s="9" t="n"/>
      <c r="J84" s="3" t="n"/>
      <c r="K84" s="9" t="n"/>
    </row>
    <row r="85">
      <c r="A85" s="4" t="n"/>
      <c r="B85" s="9">
        <f>IF(A85="","",INT((DAY(A85)-1)/7)+1)</f>
        <v/>
      </c>
      <c r="C85" s="9" t="n"/>
      <c r="D85" s="9" t="n"/>
      <c r="E85" s="9" t="n"/>
      <c r="F85" s="9" t="n"/>
      <c r="G85" s="9" t="n"/>
      <c r="H85" s="9" t="n"/>
      <c r="I85" s="9" t="n"/>
      <c r="J85" s="3" t="n"/>
      <c r="K85" s="9" t="n"/>
    </row>
    <row r="86">
      <c r="A86" s="4" t="n"/>
      <c r="B86" s="9">
        <f>IF(A86="","",INT((DAY(A86)-1)/7)+1)</f>
        <v/>
      </c>
      <c r="C86" s="9" t="n"/>
      <c r="D86" s="9" t="n"/>
      <c r="E86" s="9" t="n"/>
      <c r="F86" s="9" t="n"/>
      <c r="G86" s="9" t="n"/>
      <c r="H86" s="9" t="n"/>
      <c r="I86" s="9" t="n"/>
      <c r="J86" s="3" t="n"/>
      <c r="K86" s="9" t="n"/>
    </row>
    <row r="87">
      <c r="A87" s="4" t="n"/>
      <c r="B87" s="9">
        <f>IF(A87="","",INT((DAY(A87)-1)/7)+1)</f>
        <v/>
      </c>
      <c r="C87" s="9" t="n"/>
      <c r="D87" s="9" t="n"/>
      <c r="E87" s="9" t="n"/>
      <c r="F87" s="9" t="n"/>
      <c r="G87" s="9" t="n"/>
      <c r="H87" s="9" t="n"/>
      <c r="I87" s="9" t="n"/>
      <c r="J87" s="3" t="n"/>
      <c r="K87" s="9" t="n"/>
    </row>
    <row r="88">
      <c r="A88" s="4" t="n"/>
      <c r="B88" s="9">
        <f>IF(A88="","",INT((DAY(A88)-1)/7)+1)</f>
        <v/>
      </c>
      <c r="C88" s="9" t="n"/>
      <c r="D88" s="9" t="n"/>
      <c r="E88" s="9" t="n"/>
      <c r="F88" s="9" t="n"/>
      <c r="G88" s="9" t="n"/>
      <c r="H88" s="9" t="n"/>
      <c r="I88" s="9" t="n"/>
      <c r="J88" s="3" t="n"/>
      <c r="K88" s="9" t="n"/>
    </row>
    <row r="89">
      <c r="A89" s="4" t="n"/>
      <c r="B89" s="9">
        <f>IF(A89="","",INT((DAY(A89)-1)/7)+1)</f>
        <v/>
      </c>
      <c r="C89" s="9" t="n"/>
      <c r="D89" s="9" t="n"/>
      <c r="E89" s="9" t="n"/>
      <c r="F89" s="9" t="n"/>
      <c r="G89" s="9" t="n"/>
      <c r="H89" s="9" t="n"/>
      <c r="I89" s="9" t="n"/>
      <c r="J89" s="3" t="n"/>
      <c r="K89" s="9" t="n"/>
    </row>
    <row r="90">
      <c r="A90" s="4" t="n"/>
      <c r="B90" s="9">
        <f>IF(A90="","",INT((DAY(A90)-1)/7)+1)</f>
        <v/>
      </c>
      <c r="C90" s="9" t="n"/>
      <c r="D90" s="9" t="n"/>
      <c r="E90" s="9" t="n"/>
      <c r="F90" s="9" t="n"/>
      <c r="G90" s="9" t="n"/>
      <c r="H90" s="9" t="n"/>
      <c r="I90" s="9" t="n"/>
      <c r="J90" s="3" t="n"/>
      <c r="K90" s="9" t="n"/>
    </row>
    <row r="91">
      <c r="A91" s="4" t="n"/>
      <c r="B91" s="9">
        <f>IF(A91="","",INT((DAY(A91)-1)/7)+1)</f>
        <v/>
      </c>
      <c r="C91" s="9" t="n"/>
      <c r="D91" s="9" t="n"/>
      <c r="E91" s="9" t="n"/>
      <c r="F91" s="9" t="n"/>
      <c r="G91" s="9" t="n"/>
      <c r="H91" s="9" t="n"/>
      <c r="I91" s="9" t="n"/>
      <c r="J91" s="3" t="n"/>
      <c r="K91" s="9" t="n"/>
    </row>
    <row r="92">
      <c r="A92" s="4" t="n"/>
      <c r="B92" s="9">
        <f>IF(A92="","",INT((DAY(A92)-1)/7)+1)</f>
        <v/>
      </c>
      <c r="C92" s="9" t="n"/>
      <c r="D92" s="9" t="n"/>
      <c r="E92" s="9" t="n"/>
      <c r="F92" s="9" t="n"/>
      <c r="G92" s="9" t="n"/>
      <c r="H92" s="9" t="n"/>
      <c r="I92" s="9" t="n"/>
      <c r="J92" s="3" t="n"/>
      <c r="K92" s="9" t="n"/>
    </row>
    <row r="93">
      <c r="A93" s="4" t="n"/>
      <c r="B93" s="9">
        <f>IF(A93="","",INT((DAY(A93)-1)/7)+1)</f>
        <v/>
      </c>
      <c r="C93" s="9" t="n"/>
      <c r="D93" s="9" t="n"/>
      <c r="E93" s="9" t="n"/>
      <c r="F93" s="9" t="n"/>
      <c r="G93" s="9" t="n"/>
      <c r="H93" s="9" t="n"/>
      <c r="I93" s="9" t="n"/>
      <c r="J93" s="3" t="n"/>
      <c r="K93" s="9" t="n"/>
    </row>
    <row r="94">
      <c r="A94" s="4" t="n"/>
      <c r="B94" s="9">
        <f>IF(A94="","",INT((DAY(A94)-1)/7)+1)</f>
        <v/>
      </c>
      <c r="C94" s="9" t="n"/>
      <c r="D94" s="9" t="n"/>
      <c r="E94" s="9" t="n"/>
      <c r="F94" s="9" t="n"/>
      <c r="G94" s="9" t="n"/>
      <c r="H94" s="9" t="n"/>
      <c r="I94" s="9" t="n"/>
      <c r="J94" s="3" t="n"/>
      <c r="K94" s="9" t="n"/>
    </row>
    <row r="95">
      <c r="A95" s="4" t="n"/>
      <c r="B95" s="9">
        <f>IF(A95="","",INT((DAY(A95)-1)/7)+1)</f>
        <v/>
      </c>
      <c r="C95" s="9" t="n"/>
      <c r="D95" s="9" t="n"/>
      <c r="E95" s="9" t="n"/>
      <c r="F95" s="9" t="n"/>
      <c r="G95" s="9" t="n"/>
      <c r="H95" s="9" t="n"/>
      <c r="I95" s="9" t="n"/>
      <c r="J95" s="3" t="n"/>
      <c r="K95" s="9" t="n"/>
    </row>
    <row r="96">
      <c r="A96" s="4" t="n"/>
      <c r="B96" s="9">
        <f>IF(A96="","",INT((DAY(A96)-1)/7)+1)</f>
        <v/>
      </c>
      <c r="C96" s="9" t="n"/>
      <c r="D96" s="9" t="n"/>
      <c r="E96" s="9" t="n"/>
      <c r="F96" s="9" t="n"/>
      <c r="G96" s="9" t="n"/>
      <c r="H96" s="9" t="n"/>
      <c r="I96" s="9" t="n"/>
      <c r="J96" s="3" t="n"/>
      <c r="K96" s="9" t="n"/>
    </row>
    <row r="97">
      <c r="A97" s="4" t="n"/>
      <c r="B97" s="9">
        <f>IF(A97="","",INT((DAY(A97)-1)/7)+1)</f>
        <v/>
      </c>
      <c r="C97" s="9" t="n"/>
      <c r="D97" s="9" t="n"/>
      <c r="E97" s="9" t="n"/>
      <c r="F97" s="9" t="n"/>
      <c r="G97" s="9" t="n"/>
      <c r="H97" s="9" t="n"/>
      <c r="I97" s="9" t="n"/>
      <c r="J97" s="3" t="n"/>
      <c r="K97" s="9" t="n"/>
    </row>
    <row r="98">
      <c r="A98" s="4" t="n"/>
      <c r="B98" s="9">
        <f>IF(A98="","",INT((DAY(A98)-1)/7)+1)</f>
        <v/>
      </c>
      <c r="C98" s="9" t="n"/>
      <c r="D98" s="9" t="n"/>
      <c r="E98" s="9" t="n"/>
      <c r="F98" s="9" t="n"/>
      <c r="G98" s="9" t="n"/>
      <c r="H98" s="9" t="n"/>
      <c r="I98" s="9" t="n"/>
      <c r="J98" s="3" t="n"/>
      <c r="K98" s="9" t="n"/>
    </row>
    <row r="99">
      <c r="A99" s="4" t="n"/>
      <c r="B99" s="9">
        <f>IF(A99="","",INT((DAY(A99)-1)/7)+1)</f>
        <v/>
      </c>
      <c r="C99" s="9" t="n"/>
      <c r="D99" s="9" t="n"/>
      <c r="E99" s="9" t="n"/>
      <c r="F99" s="9" t="n"/>
      <c r="G99" s="9" t="n"/>
      <c r="H99" s="9" t="n"/>
      <c r="I99" s="9" t="n"/>
      <c r="J99" s="3" t="n"/>
      <c r="K99" s="9" t="n"/>
    </row>
    <row r="100">
      <c r="A100" s="4" t="n"/>
      <c r="B100" s="9">
        <f>IF(A100="","",INT((DAY(A100)-1)/7)+1)</f>
        <v/>
      </c>
      <c r="C100" s="9" t="n"/>
      <c r="D100" s="9" t="n"/>
      <c r="E100" s="9" t="n"/>
      <c r="F100" s="9" t="n"/>
      <c r="G100" s="9" t="n"/>
      <c r="H100" s="9" t="n"/>
      <c r="I100" s="9" t="n"/>
      <c r="J100" s="3" t="n"/>
      <c r="K100" s="9" t="n"/>
    </row>
    <row r="101">
      <c r="A101" s="4" t="n"/>
      <c r="B101" s="9">
        <f>IF(A101="","",INT((DAY(A101)-1)/7)+1)</f>
        <v/>
      </c>
      <c r="C101" s="9" t="n"/>
      <c r="D101" s="9" t="n"/>
      <c r="E101" s="9" t="n"/>
      <c r="F101" s="9" t="n"/>
      <c r="G101" s="9" t="n"/>
      <c r="H101" s="9" t="n"/>
      <c r="I101" s="9" t="n"/>
      <c r="J101" s="3" t="n"/>
      <c r="K101" s="9" t="n"/>
    </row>
    <row r="102">
      <c r="A102" s="4" t="n"/>
      <c r="B102" s="9">
        <f>IF(A102="","",INT((DAY(A102)-1)/7)+1)</f>
        <v/>
      </c>
      <c r="C102" s="9" t="n"/>
      <c r="D102" s="9" t="n"/>
      <c r="E102" s="9" t="n"/>
      <c r="F102" s="9" t="n"/>
      <c r="G102" s="9" t="n"/>
      <c r="H102" s="9" t="n"/>
      <c r="I102" s="9" t="n"/>
      <c r="J102" s="3" t="n"/>
      <c r="K102" s="9" t="n"/>
    </row>
    <row r="103">
      <c r="A103" s="4" t="n"/>
      <c r="B103" s="9">
        <f>IF(A103="","",INT((DAY(A103)-1)/7)+1)</f>
        <v/>
      </c>
      <c r="C103" s="9" t="n"/>
      <c r="D103" s="9" t="n"/>
      <c r="E103" s="9" t="n"/>
      <c r="F103" s="9" t="n"/>
      <c r="G103" s="9" t="n"/>
      <c r="H103" s="9" t="n"/>
      <c r="I103" s="9" t="n"/>
      <c r="J103" s="3" t="n"/>
      <c r="K103" s="9" t="n"/>
    </row>
    <row r="104">
      <c r="A104" s="4" t="n"/>
      <c r="B104" s="9">
        <f>IF(A104="","",INT((DAY(A104)-1)/7)+1)</f>
        <v/>
      </c>
      <c r="C104" s="9" t="n"/>
      <c r="D104" s="9" t="n"/>
      <c r="E104" s="9" t="n"/>
      <c r="F104" s="9" t="n"/>
      <c r="G104" s="9" t="n"/>
      <c r="H104" s="9" t="n"/>
      <c r="I104" s="9" t="n"/>
      <c r="J104" s="3" t="n"/>
      <c r="K104" s="9" t="n"/>
    </row>
    <row r="105">
      <c r="A105" s="4" t="n"/>
      <c r="B105" s="9">
        <f>IF(A105="","",INT((DAY(A105)-1)/7)+1)</f>
        <v/>
      </c>
      <c r="C105" s="9" t="n"/>
      <c r="D105" s="9" t="n"/>
      <c r="E105" s="9" t="n"/>
      <c r="F105" s="9" t="n"/>
      <c r="G105" s="9" t="n"/>
      <c r="H105" s="9" t="n"/>
      <c r="I105" s="9" t="n"/>
      <c r="J105" s="3" t="n"/>
      <c r="K105" s="9" t="n"/>
    </row>
    <row r="106">
      <c r="A106" s="4" t="n"/>
      <c r="B106" s="9">
        <f>IF(A106="","",INT((DAY(A106)-1)/7)+1)</f>
        <v/>
      </c>
      <c r="C106" s="9" t="n"/>
      <c r="D106" s="9" t="n"/>
      <c r="E106" s="9" t="n"/>
      <c r="F106" s="9" t="n"/>
      <c r="G106" s="9" t="n"/>
      <c r="H106" s="9" t="n"/>
      <c r="I106" s="9" t="n"/>
      <c r="J106" s="3" t="n"/>
      <c r="K106" s="9" t="n"/>
    </row>
    <row r="107">
      <c r="A107" s="4" t="n"/>
      <c r="B107" s="9">
        <f>IF(A107="","",INT((DAY(A107)-1)/7)+1)</f>
        <v/>
      </c>
      <c r="C107" s="9" t="n"/>
      <c r="D107" s="9" t="n"/>
      <c r="E107" s="9" t="n"/>
      <c r="F107" s="9" t="n"/>
      <c r="G107" s="9" t="n"/>
      <c r="H107" s="9" t="n"/>
      <c r="I107" s="9" t="n"/>
      <c r="J107" s="3" t="n"/>
      <c r="K107" s="9" t="n"/>
    </row>
    <row r="108">
      <c r="A108" s="4" t="n"/>
      <c r="B108" s="9">
        <f>IF(A108="","",INT((DAY(A108)-1)/7)+1)</f>
        <v/>
      </c>
      <c r="C108" s="9" t="n"/>
      <c r="D108" s="9" t="n"/>
      <c r="E108" s="9" t="n"/>
      <c r="F108" s="9" t="n"/>
      <c r="G108" s="9" t="n"/>
      <c r="H108" s="9" t="n"/>
      <c r="I108" s="9" t="n"/>
      <c r="J108" s="3" t="n"/>
      <c r="K108" s="9" t="n"/>
    </row>
    <row r="109">
      <c r="A109" s="4" t="n"/>
      <c r="B109" s="9">
        <f>IF(A109="","",INT((DAY(A109)-1)/7)+1)</f>
        <v/>
      </c>
      <c r="C109" s="9" t="n"/>
      <c r="D109" s="9" t="n"/>
      <c r="E109" s="9" t="n"/>
      <c r="F109" s="9" t="n"/>
      <c r="G109" s="9" t="n"/>
      <c r="H109" s="9" t="n"/>
      <c r="I109" s="9" t="n"/>
      <c r="J109" s="3" t="n"/>
      <c r="K109" s="9" t="n"/>
    </row>
    <row r="110">
      <c r="A110" s="4" t="n"/>
      <c r="B110" s="9">
        <f>IF(A110="","",INT((DAY(A110)-1)/7)+1)</f>
        <v/>
      </c>
      <c r="C110" s="9" t="n"/>
      <c r="D110" s="9" t="n"/>
      <c r="E110" s="9" t="n"/>
      <c r="F110" s="9" t="n"/>
      <c r="G110" s="9" t="n"/>
      <c r="H110" s="9" t="n"/>
      <c r="I110" s="9" t="n"/>
      <c r="J110" s="3" t="n"/>
      <c r="K110" s="9" t="n"/>
    </row>
    <row r="111">
      <c r="A111" s="4" t="n"/>
      <c r="B111" s="9">
        <f>IF(A111="","",INT((DAY(A111)-1)/7)+1)</f>
        <v/>
      </c>
      <c r="C111" s="9" t="n"/>
      <c r="D111" s="9" t="n"/>
      <c r="E111" s="9" t="n"/>
      <c r="F111" s="9" t="n"/>
      <c r="G111" s="9" t="n"/>
      <c r="H111" s="9" t="n"/>
      <c r="I111" s="9" t="n"/>
      <c r="J111" s="3" t="n"/>
      <c r="K111" s="9" t="n"/>
    </row>
    <row r="112">
      <c r="A112" s="4" t="n"/>
      <c r="B112" s="9">
        <f>IF(A112="","",INT((DAY(A112)-1)/7)+1)</f>
        <v/>
      </c>
      <c r="C112" s="9" t="n"/>
      <c r="D112" s="9" t="n"/>
      <c r="E112" s="9" t="n"/>
      <c r="F112" s="9" t="n"/>
      <c r="G112" s="9" t="n"/>
      <c r="H112" s="9" t="n"/>
      <c r="I112" s="9" t="n"/>
      <c r="J112" s="3" t="n"/>
      <c r="K112" s="9" t="n"/>
    </row>
    <row r="113">
      <c r="A113" s="4" t="n"/>
      <c r="B113" s="9">
        <f>IF(A113="","",INT((DAY(A113)-1)/7)+1)</f>
        <v/>
      </c>
      <c r="C113" s="9" t="n"/>
      <c r="D113" s="9" t="n"/>
      <c r="E113" s="9" t="n"/>
      <c r="F113" s="9" t="n"/>
      <c r="G113" s="9" t="n"/>
      <c r="H113" s="9" t="n"/>
      <c r="I113" s="9" t="n"/>
      <c r="J113" s="3" t="n"/>
      <c r="K113" s="9" t="n"/>
    </row>
    <row r="114">
      <c r="A114" s="4" t="n"/>
      <c r="B114" s="9">
        <f>IF(A114="","",INT((DAY(A114)-1)/7)+1)</f>
        <v/>
      </c>
      <c r="C114" s="9" t="n"/>
      <c r="D114" s="9" t="n"/>
      <c r="E114" s="9" t="n"/>
      <c r="F114" s="9" t="n"/>
      <c r="G114" s="9" t="n"/>
      <c r="H114" s="9" t="n"/>
      <c r="I114" s="9" t="n"/>
      <c r="J114" s="3" t="n"/>
      <c r="K114" s="9" t="n"/>
    </row>
    <row r="115">
      <c r="A115" s="4" t="n"/>
      <c r="B115" s="9">
        <f>IF(A115="","",INT((DAY(A115)-1)/7)+1)</f>
        <v/>
      </c>
      <c r="C115" s="9" t="n"/>
      <c r="D115" s="9" t="n"/>
      <c r="E115" s="9" t="n"/>
      <c r="F115" s="9" t="n"/>
      <c r="G115" s="9" t="n"/>
      <c r="H115" s="9" t="n"/>
      <c r="I115" s="9" t="n"/>
      <c r="J115" s="3" t="n"/>
      <c r="K115" s="9" t="n"/>
    </row>
    <row r="116">
      <c r="A116" s="4" t="n"/>
      <c r="B116" s="9">
        <f>IF(A116="","",INT((DAY(A116)-1)/7)+1)</f>
        <v/>
      </c>
      <c r="C116" s="9" t="n"/>
      <c r="D116" s="9" t="n"/>
      <c r="E116" s="9" t="n"/>
      <c r="F116" s="9" t="n"/>
      <c r="G116" s="9" t="n"/>
      <c r="H116" s="9" t="n"/>
      <c r="I116" s="9" t="n"/>
      <c r="J116" s="3" t="n"/>
      <c r="K116" s="9" t="n"/>
    </row>
    <row r="117">
      <c r="A117" s="4" t="n"/>
      <c r="B117" s="9">
        <f>IF(A117="","",INT((DAY(A117)-1)/7)+1)</f>
        <v/>
      </c>
      <c r="C117" s="9" t="n"/>
      <c r="D117" s="9" t="n"/>
      <c r="E117" s="9" t="n"/>
      <c r="F117" s="9" t="n"/>
      <c r="G117" s="9" t="n"/>
      <c r="H117" s="9" t="n"/>
      <c r="I117" s="9" t="n"/>
      <c r="J117" s="3" t="n"/>
      <c r="K117" s="9" t="n"/>
    </row>
    <row r="118">
      <c r="A118" s="4" t="n"/>
      <c r="B118" s="9">
        <f>IF(A118="","",INT((DAY(A118)-1)/7)+1)</f>
        <v/>
      </c>
      <c r="C118" s="9" t="n"/>
      <c r="D118" s="9" t="n"/>
      <c r="E118" s="9" t="n"/>
      <c r="F118" s="9" t="n"/>
      <c r="G118" s="9" t="n"/>
      <c r="H118" s="9" t="n"/>
      <c r="I118" s="9" t="n"/>
      <c r="J118" s="3" t="n"/>
      <c r="K118" s="9" t="n"/>
    </row>
    <row r="119">
      <c r="A119" s="4" t="n"/>
      <c r="B119" s="9">
        <f>IF(A119="","",INT((DAY(A119)-1)/7)+1)</f>
        <v/>
      </c>
      <c r="C119" s="9" t="n"/>
      <c r="D119" s="9" t="n"/>
      <c r="E119" s="9" t="n"/>
      <c r="F119" s="9" t="n"/>
      <c r="G119" s="9" t="n"/>
      <c r="H119" s="9" t="n"/>
      <c r="I119" s="9" t="n"/>
      <c r="J119" s="3" t="n"/>
      <c r="K119" s="9" t="n"/>
    </row>
    <row r="120">
      <c r="A120" s="4" t="n"/>
      <c r="B120" s="9">
        <f>IF(A120="","",INT((DAY(A120)-1)/7)+1)</f>
        <v/>
      </c>
      <c r="C120" s="9" t="n"/>
      <c r="D120" s="9" t="n"/>
      <c r="E120" s="9" t="n"/>
      <c r="F120" s="9" t="n"/>
      <c r="G120" s="9" t="n"/>
      <c r="H120" s="9" t="n"/>
      <c r="I120" s="9" t="n"/>
      <c r="J120" s="3" t="n"/>
      <c r="K120" s="9" t="n"/>
    </row>
    <row r="121">
      <c r="A121" s="4" t="n"/>
      <c r="B121" s="9">
        <f>IF(A121="","",INT((DAY(A121)-1)/7)+1)</f>
        <v/>
      </c>
      <c r="C121" s="9" t="n"/>
      <c r="D121" s="9" t="n"/>
      <c r="E121" s="9" t="n"/>
      <c r="F121" s="9" t="n"/>
      <c r="G121" s="9" t="n"/>
      <c r="H121" s="9" t="n"/>
      <c r="I121" s="9" t="n"/>
      <c r="J121" s="3" t="n"/>
      <c r="K121" s="9" t="n"/>
    </row>
    <row r="122">
      <c r="A122" s="4" t="n"/>
      <c r="B122" s="9">
        <f>IF(A122="","",INT((DAY(A122)-1)/7)+1)</f>
        <v/>
      </c>
      <c r="C122" s="9" t="n"/>
      <c r="D122" s="9" t="n"/>
      <c r="E122" s="9" t="n"/>
      <c r="F122" s="9" t="n"/>
      <c r="G122" s="9" t="n"/>
      <c r="H122" s="9" t="n"/>
      <c r="I122" s="9" t="n"/>
      <c r="J122" s="3" t="n"/>
      <c r="K122" s="9" t="n"/>
    </row>
    <row r="123">
      <c r="A123" s="4" t="n"/>
      <c r="B123" s="9">
        <f>IF(A123="","",INT((DAY(A123)-1)/7)+1)</f>
        <v/>
      </c>
      <c r="C123" s="9" t="n"/>
      <c r="D123" s="9" t="n"/>
      <c r="E123" s="9" t="n"/>
      <c r="F123" s="9" t="n"/>
      <c r="G123" s="9" t="n"/>
      <c r="H123" s="9" t="n"/>
      <c r="I123" s="9" t="n"/>
      <c r="J123" s="3" t="n"/>
      <c r="K123" s="9" t="n"/>
    </row>
    <row r="124">
      <c r="A124" s="4" t="n"/>
      <c r="B124" s="9">
        <f>IF(A124="","",INT((DAY(A124)-1)/7)+1)</f>
        <v/>
      </c>
      <c r="C124" s="9" t="n"/>
      <c r="D124" s="9" t="n"/>
      <c r="E124" s="9" t="n"/>
      <c r="F124" s="9" t="n"/>
      <c r="G124" s="9" t="n"/>
      <c r="H124" s="9" t="n"/>
      <c r="I124" s="9" t="n"/>
      <c r="J124" s="3" t="n"/>
      <c r="K124" s="9" t="n"/>
    </row>
    <row r="125">
      <c r="A125" s="4" t="n"/>
      <c r="B125" s="9">
        <f>IF(A125="","",INT((DAY(A125)-1)/7)+1)</f>
        <v/>
      </c>
      <c r="C125" s="9" t="n"/>
      <c r="D125" s="9" t="n"/>
      <c r="E125" s="9" t="n"/>
      <c r="F125" s="9" t="n"/>
      <c r="G125" s="9" t="n"/>
      <c r="H125" s="9" t="n"/>
      <c r="I125" s="9" t="n"/>
      <c r="J125" s="3" t="n"/>
      <c r="K125" s="9" t="n"/>
    </row>
    <row r="126">
      <c r="A126" s="4" t="n"/>
      <c r="B126" s="9">
        <f>IF(A126="","",INT((DAY(A126)-1)/7)+1)</f>
        <v/>
      </c>
      <c r="C126" s="9" t="n"/>
      <c r="D126" s="9" t="n"/>
      <c r="E126" s="9" t="n"/>
      <c r="F126" s="9" t="n"/>
      <c r="G126" s="9" t="n"/>
      <c r="H126" s="9" t="n"/>
      <c r="I126" s="9" t="n"/>
      <c r="J126" s="3" t="n"/>
      <c r="K126" s="9" t="n"/>
    </row>
    <row r="127">
      <c r="A127" s="4" t="n"/>
      <c r="B127" s="9">
        <f>IF(A127="","",INT((DAY(A127)-1)/7)+1)</f>
        <v/>
      </c>
      <c r="C127" s="9" t="n"/>
      <c r="D127" s="9" t="n"/>
      <c r="E127" s="9" t="n"/>
      <c r="F127" s="9" t="n"/>
      <c r="G127" s="9" t="n"/>
      <c r="H127" s="9" t="n"/>
      <c r="I127" s="9" t="n"/>
      <c r="J127" s="3" t="n"/>
      <c r="K127" s="9" t="n"/>
    </row>
    <row r="128">
      <c r="A128" s="4" t="n"/>
      <c r="B128" s="9">
        <f>IF(A128="","",INT((DAY(A128)-1)/7)+1)</f>
        <v/>
      </c>
      <c r="C128" s="9" t="n"/>
      <c r="D128" s="9" t="n"/>
      <c r="E128" s="9" t="n"/>
      <c r="F128" s="9" t="n"/>
      <c r="G128" s="9" t="n"/>
      <c r="H128" s="9" t="n"/>
      <c r="I128" s="9" t="n"/>
      <c r="J128" s="3" t="n"/>
      <c r="K128" s="9" t="n"/>
    </row>
    <row r="129">
      <c r="A129" s="4" t="n"/>
      <c r="B129" s="9">
        <f>IF(A129="","",INT((DAY(A129)-1)/7)+1)</f>
        <v/>
      </c>
      <c r="C129" s="9" t="n"/>
      <c r="D129" s="9" t="n"/>
      <c r="E129" s="9" t="n"/>
      <c r="F129" s="9" t="n"/>
      <c r="G129" s="9" t="n"/>
      <c r="H129" s="9" t="n"/>
      <c r="I129" s="9" t="n"/>
      <c r="J129" s="3" t="n"/>
      <c r="K129" s="9" t="n"/>
    </row>
    <row r="130">
      <c r="A130" s="4" t="n"/>
      <c r="B130" s="9">
        <f>IF(A130="","",INT((DAY(A130)-1)/7)+1)</f>
        <v/>
      </c>
      <c r="C130" s="9" t="n"/>
      <c r="D130" s="9" t="n"/>
      <c r="E130" s="9" t="n"/>
      <c r="F130" s="9" t="n"/>
      <c r="G130" s="9" t="n"/>
      <c r="H130" s="9" t="n"/>
      <c r="I130" s="9" t="n"/>
      <c r="J130" s="3" t="n"/>
      <c r="K130" s="9" t="n"/>
    </row>
    <row r="131">
      <c r="A131" s="4" t="n"/>
      <c r="B131" s="9">
        <f>IF(A131="","",INT((DAY(A131)-1)/7)+1)</f>
        <v/>
      </c>
      <c r="C131" s="9" t="n"/>
      <c r="D131" s="9" t="n"/>
      <c r="E131" s="9" t="n"/>
      <c r="F131" s="9" t="n"/>
      <c r="G131" s="9" t="n"/>
      <c r="H131" s="9" t="n"/>
      <c r="I131" s="9" t="n"/>
      <c r="J131" s="3" t="n"/>
      <c r="K131" s="9" t="n"/>
    </row>
    <row r="132">
      <c r="A132" s="4" t="n"/>
      <c r="B132" s="9">
        <f>IF(A132="","",INT((DAY(A132)-1)/7)+1)</f>
        <v/>
      </c>
      <c r="C132" s="9" t="n"/>
      <c r="D132" s="9" t="n"/>
      <c r="E132" s="9" t="n"/>
      <c r="F132" s="9" t="n"/>
      <c r="G132" s="9" t="n"/>
      <c r="H132" s="9" t="n"/>
      <c r="I132" s="9" t="n"/>
      <c r="J132" s="3" t="n"/>
      <c r="K132" s="9" t="n"/>
    </row>
    <row r="133">
      <c r="A133" s="4" t="n"/>
      <c r="B133" s="9">
        <f>IF(A133="","",INT((DAY(A133)-1)/7)+1)</f>
        <v/>
      </c>
      <c r="C133" s="9" t="n"/>
      <c r="D133" s="9" t="n"/>
      <c r="E133" s="9" t="n"/>
      <c r="F133" s="9" t="n"/>
      <c r="G133" s="9" t="n"/>
      <c r="H133" s="9" t="n"/>
      <c r="I133" s="9" t="n"/>
      <c r="J133" s="3" t="n"/>
      <c r="K133" s="9" t="n"/>
    </row>
    <row r="134">
      <c r="A134" s="4" t="n"/>
      <c r="B134" s="9">
        <f>IF(A134="","",INT((DAY(A134)-1)/7)+1)</f>
        <v/>
      </c>
      <c r="C134" s="9" t="n"/>
      <c r="D134" s="9" t="n"/>
      <c r="E134" s="9" t="n"/>
      <c r="F134" s="9" t="n"/>
      <c r="G134" s="9" t="n"/>
      <c r="H134" s="9" t="n"/>
      <c r="I134" s="9" t="n"/>
      <c r="J134" s="3" t="n"/>
      <c r="K134" s="9" t="n"/>
    </row>
    <row r="135">
      <c r="A135" s="4" t="n"/>
      <c r="B135" s="9">
        <f>IF(A135="","",INT((DAY(A135)-1)/7)+1)</f>
        <v/>
      </c>
      <c r="C135" s="9" t="n"/>
      <c r="D135" s="9" t="n"/>
      <c r="E135" s="9" t="n"/>
      <c r="F135" s="9" t="n"/>
      <c r="G135" s="9" t="n"/>
      <c r="H135" s="9" t="n"/>
      <c r="I135" s="9" t="n"/>
      <c r="J135" s="3" t="n"/>
      <c r="K135" s="9" t="n"/>
    </row>
    <row r="136">
      <c r="A136" s="4" t="n"/>
      <c r="B136" s="9">
        <f>IF(A136="","",INT((DAY(A136)-1)/7)+1)</f>
        <v/>
      </c>
      <c r="C136" s="9" t="n"/>
      <c r="D136" s="9" t="n"/>
      <c r="E136" s="9" t="n"/>
      <c r="F136" s="9" t="n"/>
      <c r="G136" s="9" t="n"/>
      <c r="H136" s="9" t="n"/>
      <c r="I136" s="9" t="n"/>
      <c r="J136" s="3" t="n"/>
      <c r="K136" s="9" t="n"/>
    </row>
    <row r="137">
      <c r="A137" s="4" t="n"/>
      <c r="B137" s="9">
        <f>IF(A137="","",INT((DAY(A137)-1)/7)+1)</f>
        <v/>
      </c>
      <c r="C137" s="9" t="n"/>
      <c r="D137" s="9" t="n"/>
      <c r="E137" s="9" t="n"/>
      <c r="F137" s="9" t="n"/>
      <c r="G137" s="9" t="n"/>
      <c r="H137" s="9" t="n"/>
      <c r="I137" s="9" t="n"/>
      <c r="J137" s="3" t="n"/>
      <c r="K137" s="9" t="n"/>
    </row>
    <row r="138">
      <c r="A138" s="4" t="n"/>
      <c r="B138" s="9">
        <f>IF(A138="","",INT((DAY(A138)-1)/7)+1)</f>
        <v/>
      </c>
      <c r="C138" s="9" t="n"/>
      <c r="D138" s="9" t="n"/>
      <c r="E138" s="9" t="n"/>
      <c r="F138" s="9" t="n"/>
      <c r="G138" s="9" t="n"/>
      <c r="H138" s="9" t="n"/>
      <c r="I138" s="9" t="n"/>
      <c r="J138" s="3" t="n"/>
      <c r="K138" s="9" t="n"/>
    </row>
    <row r="139">
      <c r="A139" s="4" t="n"/>
      <c r="B139" s="9">
        <f>IF(A139="","",INT((DAY(A139)-1)/7)+1)</f>
        <v/>
      </c>
      <c r="C139" s="9" t="n"/>
      <c r="D139" s="9" t="n"/>
      <c r="E139" s="9" t="n"/>
      <c r="F139" s="9" t="n"/>
      <c r="G139" s="9" t="n"/>
      <c r="H139" s="9" t="n"/>
      <c r="I139" s="9" t="n"/>
      <c r="J139" s="3" t="n"/>
      <c r="K139" s="9" t="n"/>
    </row>
    <row r="140">
      <c r="A140" s="4" t="n"/>
      <c r="B140" s="9">
        <f>IF(A140="","",INT((DAY(A140)-1)/7)+1)</f>
        <v/>
      </c>
      <c r="C140" s="9" t="n"/>
      <c r="D140" s="9" t="n"/>
      <c r="E140" s="9" t="n"/>
      <c r="F140" s="9" t="n"/>
      <c r="G140" s="9" t="n"/>
      <c r="H140" s="9" t="n"/>
      <c r="I140" s="9" t="n"/>
      <c r="J140" s="3" t="n"/>
      <c r="K140" s="9" t="n"/>
    </row>
    <row r="141">
      <c r="A141" s="4" t="n"/>
      <c r="B141" s="9">
        <f>IF(A141="","",INT((DAY(A141)-1)/7)+1)</f>
        <v/>
      </c>
      <c r="C141" s="9" t="n"/>
      <c r="D141" s="9" t="n"/>
      <c r="E141" s="9" t="n"/>
      <c r="F141" s="9" t="n"/>
      <c r="G141" s="9" t="n"/>
      <c r="H141" s="9" t="n"/>
      <c r="I141" s="9" t="n"/>
      <c r="J141" s="3" t="n"/>
      <c r="K141" s="9" t="n"/>
    </row>
    <row r="142">
      <c r="A142" s="4" t="n"/>
      <c r="B142" s="9">
        <f>IF(A142="","",INT((DAY(A142)-1)/7)+1)</f>
        <v/>
      </c>
      <c r="C142" s="9" t="n"/>
      <c r="D142" s="9" t="n"/>
      <c r="E142" s="9" t="n"/>
      <c r="F142" s="9" t="n"/>
      <c r="G142" s="9" t="n"/>
      <c r="H142" s="9" t="n"/>
      <c r="I142" s="9" t="n"/>
      <c r="J142" s="3" t="n"/>
      <c r="K142" s="9" t="n"/>
    </row>
    <row r="143">
      <c r="A143" s="4" t="n"/>
      <c r="B143" s="9">
        <f>IF(A143="","",INT((DAY(A143)-1)/7)+1)</f>
        <v/>
      </c>
      <c r="C143" s="9" t="n"/>
      <c r="D143" s="9" t="n"/>
      <c r="E143" s="9" t="n"/>
      <c r="F143" s="9" t="n"/>
      <c r="G143" s="9" t="n"/>
      <c r="H143" s="9" t="n"/>
      <c r="I143" s="9" t="n"/>
      <c r="J143" s="3" t="n"/>
      <c r="K143" s="9" t="n"/>
    </row>
    <row r="144">
      <c r="A144" s="4" t="n"/>
      <c r="B144" s="9">
        <f>IF(A144="","",INT((DAY(A144)-1)/7)+1)</f>
        <v/>
      </c>
      <c r="C144" s="9" t="n"/>
      <c r="D144" s="9" t="n"/>
      <c r="E144" s="9" t="n"/>
      <c r="F144" s="9" t="n"/>
      <c r="G144" s="9" t="n"/>
      <c r="H144" s="9" t="n"/>
      <c r="I144" s="9" t="n"/>
      <c r="J144" s="3" t="n"/>
      <c r="K144" s="9" t="n"/>
    </row>
    <row r="145">
      <c r="A145" s="4" t="n"/>
      <c r="B145" s="9">
        <f>IF(A145="","",INT((DAY(A145)-1)/7)+1)</f>
        <v/>
      </c>
      <c r="C145" s="9" t="n"/>
      <c r="D145" s="9" t="n"/>
      <c r="E145" s="9" t="n"/>
      <c r="F145" s="9" t="n"/>
      <c r="G145" s="9" t="n"/>
      <c r="H145" s="9" t="n"/>
      <c r="I145" s="9" t="n"/>
      <c r="J145" s="3" t="n"/>
      <c r="K145" s="9" t="n"/>
    </row>
    <row r="146">
      <c r="A146" s="4" t="n"/>
      <c r="B146" s="9">
        <f>IF(A146="","",INT((DAY(A146)-1)/7)+1)</f>
        <v/>
      </c>
      <c r="C146" s="9" t="n"/>
      <c r="D146" s="9" t="n"/>
      <c r="E146" s="9" t="n"/>
      <c r="F146" s="9" t="n"/>
      <c r="G146" s="9" t="n"/>
      <c r="H146" s="9" t="n"/>
      <c r="I146" s="9" t="n"/>
      <c r="J146" s="3" t="n"/>
      <c r="K146" s="9" t="n"/>
    </row>
    <row r="147">
      <c r="A147" s="4" t="n"/>
      <c r="B147" s="9">
        <f>IF(A147="","",INT((DAY(A147)-1)/7)+1)</f>
        <v/>
      </c>
      <c r="C147" s="9" t="n"/>
      <c r="D147" s="9" t="n"/>
      <c r="E147" s="9" t="n"/>
      <c r="F147" s="9" t="n"/>
      <c r="G147" s="9" t="n"/>
      <c r="H147" s="9" t="n"/>
      <c r="I147" s="9" t="n"/>
      <c r="J147" s="3" t="n"/>
      <c r="K147" s="9" t="n"/>
    </row>
    <row r="148">
      <c r="A148" s="4" t="n"/>
      <c r="B148" s="9">
        <f>IF(A148="","",INT((DAY(A148)-1)/7)+1)</f>
        <v/>
      </c>
      <c r="C148" s="9" t="n"/>
      <c r="D148" s="9" t="n"/>
      <c r="E148" s="9" t="n"/>
      <c r="F148" s="9" t="n"/>
      <c r="G148" s="9" t="n"/>
      <c r="H148" s="9" t="n"/>
      <c r="I148" s="9" t="n"/>
      <c r="J148" s="3" t="n"/>
      <c r="K148" s="9" t="n"/>
    </row>
    <row r="149">
      <c r="A149" s="4" t="n"/>
      <c r="B149" s="9">
        <f>IF(A149="","",INT((DAY(A149)-1)/7)+1)</f>
        <v/>
      </c>
      <c r="C149" s="9" t="n"/>
      <c r="D149" s="9" t="n"/>
      <c r="E149" s="9" t="n"/>
      <c r="F149" s="9" t="n"/>
      <c r="G149" s="9" t="n"/>
      <c r="H149" s="9" t="n"/>
      <c r="I149" s="9" t="n"/>
      <c r="J149" s="3" t="n"/>
      <c r="K149" s="9" t="n"/>
    </row>
    <row r="150">
      <c r="A150" s="4" t="n"/>
      <c r="B150" s="9">
        <f>IF(A150="","",INT((DAY(A150)-1)/7)+1)</f>
        <v/>
      </c>
      <c r="C150" s="9" t="n"/>
      <c r="D150" s="9" t="n"/>
      <c r="E150" s="9" t="n"/>
      <c r="F150" s="9" t="n"/>
      <c r="G150" s="9" t="n"/>
      <c r="H150" s="9" t="n"/>
      <c r="I150" s="9" t="n"/>
      <c r="J150" s="3" t="n"/>
      <c r="K150" s="9" t="n"/>
    </row>
    <row r="151">
      <c r="A151" s="4" t="n"/>
      <c r="B151" s="9">
        <f>IF(A151="","",INT((DAY(A151)-1)/7)+1)</f>
        <v/>
      </c>
      <c r="C151" s="9" t="n"/>
      <c r="D151" s="9" t="n"/>
      <c r="E151" s="9" t="n"/>
      <c r="F151" s="9" t="n"/>
      <c r="G151" s="9" t="n"/>
      <c r="H151" s="9" t="n"/>
      <c r="I151" s="9" t="n"/>
      <c r="J151" s="3" t="n"/>
      <c r="K151" s="9" t="n"/>
    </row>
    <row r="152">
      <c r="A152" s="4" t="n"/>
      <c r="B152" s="9">
        <f>IF(A152="","",INT((DAY(A152)-1)/7)+1)</f>
        <v/>
      </c>
      <c r="C152" s="9" t="n"/>
      <c r="D152" s="9" t="n"/>
      <c r="E152" s="9" t="n"/>
      <c r="F152" s="9" t="n"/>
      <c r="G152" s="9" t="n"/>
      <c r="H152" s="9" t="n"/>
      <c r="I152" s="9" t="n"/>
      <c r="J152" s="3" t="n"/>
      <c r="K152" s="9" t="n"/>
    </row>
    <row r="153">
      <c r="A153" s="4" t="n"/>
      <c r="B153" s="9">
        <f>IF(A153="","",INT((DAY(A153)-1)/7)+1)</f>
        <v/>
      </c>
      <c r="C153" s="9" t="n"/>
      <c r="D153" s="9" t="n"/>
      <c r="E153" s="9" t="n"/>
      <c r="F153" s="9" t="n"/>
      <c r="G153" s="9" t="n"/>
      <c r="H153" s="9" t="n"/>
      <c r="I153" s="9" t="n"/>
      <c r="J153" s="3" t="n"/>
      <c r="K153" s="9" t="n"/>
    </row>
    <row r="154">
      <c r="A154" s="4" t="n"/>
      <c r="B154" s="9">
        <f>IF(A154="","",INT((DAY(A154)-1)/7)+1)</f>
        <v/>
      </c>
      <c r="C154" s="9" t="n"/>
      <c r="D154" s="9" t="n"/>
      <c r="E154" s="9" t="n"/>
      <c r="F154" s="9" t="n"/>
      <c r="G154" s="9" t="n"/>
      <c r="H154" s="9" t="n"/>
      <c r="I154" s="9" t="n"/>
      <c r="J154" s="3" t="n"/>
      <c r="K154" s="9" t="n"/>
    </row>
    <row r="155">
      <c r="A155" s="4" t="n"/>
      <c r="B155" s="9">
        <f>IF(A155="","",INT((DAY(A155)-1)/7)+1)</f>
        <v/>
      </c>
      <c r="C155" s="9" t="n"/>
      <c r="D155" s="9" t="n"/>
      <c r="E155" s="9" t="n"/>
      <c r="F155" s="9" t="n"/>
      <c r="G155" s="9" t="n"/>
      <c r="H155" s="9" t="n"/>
      <c r="I155" s="9" t="n"/>
      <c r="J155" s="3" t="n"/>
      <c r="K155" s="9" t="n"/>
    </row>
    <row r="156">
      <c r="A156" s="4" t="n"/>
      <c r="B156" s="9">
        <f>IF(A156="","",INT((DAY(A156)-1)/7)+1)</f>
        <v/>
      </c>
      <c r="C156" s="9" t="n"/>
      <c r="D156" s="9" t="n"/>
      <c r="E156" s="9" t="n"/>
      <c r="F156" s="9" t="n"/>
      <c r="G156" s="9" t="n"/>
      <c r="H156" s="9" t="n"/>
      <c r="I156" s="9" t="n"/>
      <c r="J156" s="3" t="n"/>
      <c r="K156" s="9" t="n"/>
    </row>
    <row r="157">
      <c r="A157" s="4" t="n"/>
      <c r="B157" s="9">
        <f>IF(A157="","",INT((DAY(A157)-1)/7)+1)</f>
        <v/>
      </c>
      <c r="C157" s="9" t="n"/>
      <c r="D157" s="9" t="n"/>
      <c r="E157" s="9" t="n"/>
      <c r="F157" s="9" t="n"/>
      <c r="G157" s="9" t="n"/>
      <c r="H157" s="9" t="n"/>
      <c r="I157" s="9" t="n"/>
      <c r="J157" s="3" t="n"/>
      <c r="K157" s="9" t="n"/>
    </row>
    <row r="158">
      <c r="A158" s="4" t="n"/>
      <c r="B158" s="9">
        <f>IF(A158="","",INT((DAY(A158)-1)/7)+1)</f>
        <v/>
      </c>
      <c r="C158" s="9" t="n"/>
      <c r="D158" s="9" t="n"/>
      <c r="E158" s="9" t="n"/>
      <c r="F158" s="9" t="n"/>
      <c r="G158" s="9" t="n"/>
      <c r="H158" s="9" t="n"/>
      <c r="I158" s="9" t="n"/>
      <c r="J158" s="3" t="n"/>
      <c r="K158" s="9" t="n"/>
    </row>
    <row r="159">
      <c r="A159" s="4" t="n"/>
      <c r="B159" s="9">
        <f>IF(A159="","",INT((DAY(A159)-1)/7)+1)</f>
        <v/>
      </c>
      <c r="C159" s="9" t="n"/>
      <c r="D159" s="9" t="n"/>
      <c r="E159" s="9" t="n"/>
      <c r="F159" s="9" t="n"/>
      <c r="G159" s="9" t="n"/>
      <c r="H159" s="9" t="n"/>
      <c r="I159" s="9" t="n"/>
      <c r="J159" s="3" t="n"/>
      <c r="K159" s="9" t="n"/>
    </row>
    <row r="160">
      <c r="A160" s="4" t="n"/>
      <c r="B160" s="9">
        <f>IF(A160="","",INT((DAY(A160)-1)/7)+1)</f>
        <v/>
      </c>
      <c r="C160" s="9" t="n"/>
      <c r="D160" s="9" t="n"/>
      <c r="E160" s="9" t="n"/>
      <c r="F160" s="9" t="n"/>
      <c r="G160" s="9" t="n"/>
      <c r="H160" s="9" t="n"/>
      <c r="I160" s="9" t="n"/>
      <c r="J160" s="3" t="n"/>
      <c r="K160" s="9" t="n"/>
    </row>
    <row r="161">
      <c r="A161" s="4" t="n"/>
      <c r="B161" s="9">
        <f>IF(A161="","",INT((DAY(A161)-1)/7)+1)</f>
        <v/>
      </c>
      <c r="C161" s="9" t="n"/>
      <c r="D161" s="9" t="n"/>
      <c r="E161" s="9" t="n"/>
      <c r="F161" s="9" t="n"/>
      <c r="G161" s="9" t="n"/>
      <c r="H161" s="9" t="n"/>
      <c r="I161" s="9" t="n"/>
      <c r="J161" s="3" t="n"/>
      <c r="K161" s="9" t="n"/>
    </row>
    <row r="162">
      <c r="A162" s="4" t="n"/>
      <c r="B162" s="9">
        <f>IF(A162="","",INT((DAY(A162)-1)/7)+1)</f>
        <v/>
      </c>
      <c r="C162" s="9" t="n"/>
      <c r="D162" s="9" t="n"/>
      <c r="E162" s="9" t="n"/>
      <c r="F162" s="9" t="n"/>
      <c r="G162" s="9" t="n"/>
      <c r="H162" s="9" t="n"/>
      <c r="I162" s="9" t="n"/>
      <c r="J162" s="3" t="n"/>
      <c r="K162" s="9" t="n"/>
    </row>
    <row r="163">
      <c r="A163" s="4" t="n"/>
      <c r="B163" s="9">
        <f>IF(A163="","",INT((DAY(A163)-1)/7)+1)</f>
        <v/>
      </c>
      <c r="C163" s="9" t="n"/>
      <c r="D163" s="9" t="n"/>
      <c r="E163" s="9" t="n"/>
      <c r="F163" s="9" t="n"/>
      <c r="G163" s="9" t="n"/>
      <c r="H163" s="9" t="n"/>
      <c r="I163" s="9" t="n"/>
      <c r="J163" s="3" t="n"/>
      <c r="K163" s="9" t="n"/>
    </row>
    <row r="164">
      <c r="A164" s="4" t="n"/>
      <c r="B164" s="9">
        <f>IF(A164="","",INT((DAY(A164)-1)/7)+1)</f>
        <v/>
      </c>
      <c r="C164" s="9" t="n"/>
      <c r="D164" s="9" t="n"/>
      <c r="E164" s="9" t="n"/>
      <c r="F164" s="9" t="n"/>
      <c r="G164" s="9" t="n"/>
      <c r="H164" s="9" t="n"/>
      <c r="I164" s="9" t="n"/>
      <c r="J164" s="3" t="n"/>
      <c r="K164" s="9" t="n"/>
    </row>
    <row r="165">
      <c r="A165" s="4" t="n"/>
      <c r="B165" s="9">
        <f>IF(A165="","",INT((DAY(A165)-1)/7)+1)</f>
        <v/>
      </c>
      <c r="C165" s="9" t="n"/>
      <c r="D165" s="9" t="n"/>
      <c r="E165" s="9" t="n"/>
      <c r="F165" s="9" t="n"/>
      <c r="G165" s="9" t="n"/>
      <c r="H165" s="9" t="n"/>
      <c r="I165" s="9" t="n"/>
      <c r="J165" s="3" t="n"/>
      <c r="K165" s="9" t="n"/>
    </row>
    <row r="166">
      <c r="A166" s="4" t="n"/>
      <c r="B166" s="9">
        <f>IF(A166="","",INT((DAY(A166)-1)/7)+1)</f>
        <v/>
      </c>
      <c r="C166" s="9" t="n"/>
      <c r="D166" s="9" t="n"/>
      <c r="E166" s="9" t="n"/>
      <c r="F166" s="9" t="n"/>
      <c r="G166" s="9" t="n"/>
      <c r="H166" s="9" t="n"/>
      <c r="I166" s="9" t="n"/>
      <c r="J166" s="3" t="n"/>
      <c r="K166" s="9" t="n"/>
    </row>
    <row r="167">
      <c r="A167" s="4" t="n"/>
      <c r="B167" s="9">
        <f>IF(A167="","",INT((DAY(A167)-1)/7)+1)</f>
        <v/>
      </c>
      <c r="C167" s="9" t="n"/>
      <c r="D167" s="9" t="n"/>
      <c r="E167" s="9" t="n"/>
      <c r="F167" s="9" t="n"/>
      <c r="G167" s="9" t="n"/>
      <c r="H167" s="9" t="n"/>
      <c r="I167" s="9" t="n"/>
      <c r="J167" s="3" t="n"/>
      <c r="K167" s="9" t="n"/>
    </row>
    <row r="168">
      <c r="A168" s="4" t="n"/>
      <c r="B168" s="9">
        <f>IF(A168="","",INT((DAY(A168)-1)/7)+1)</f>
        <v/>
      </c>
      <c r="C168" s="9" t="n"/>
      <c r="D168" s="9" t="n"/>
      <c r="E168" s="9" t="n"/>
      <c r="F168" s="9" t="n"/>
      <c r="G168" s="9" t="n"/>
      <c r="H168" s="9" t="n"/>
      <c r="I168" s="9" t="n"/>
      <c r="J168" s="3" t="n"/>
      <c r="K168" s="9" t="n"/>
    </row>
    <row r="169">
      <c r="A169" s="4" t="n"/>
      <c r="B169" s="9">
        <f>IF(A169="","",INT((DAY(A169)-1)/7)+1)</f>
        <v/>
      </c>
      <c r="C169" s="9" t="n"/>
      <c r="D169" s="9" t="n"/>
      <c r="E169" s="9" t="n"/>
      <c r="F169" s="9" t="n"/>
      <c r="G169" s="9" t="n"/>
      <c r="H169" s="9" t="n"/>
      <c r="I169" s="9" t="n"/>
      <c r="J169" s="3" t="n"/>
      <c r="K169" s="9" t="n"/>
    </row>
    <row r="170">
      <c r="A170" s="4" t="n"/>
      <c r="B170" s="9">
        <f>IF(A170="","",INT((DAY(A170)-1)/7)+1)</f>
        <v/>
      </c>
      <c r="C170" s="9" t="n"/>
      <c r="D170" s="9" t="n"/>
      <c r="E170" s="9" t="n"/>
      <c r="F170" s="9" t="n"/>
      <c r="G170" s="9" t="n"/>
      <c r="H170" s="9" t="n"/>
      <c r="I170" s="9" t="n"/>
      <c r="J170" s="3" t="n"/>
      <c r="K170" s="9" t="n"/>
    </row>
    <row r="171">
      <c r="A171" s="4" t="n"/>
      <c r="B171" s="9">
        <f>IF(A171="","",INT((DAY(A171)-1)/7)+1)</f>
        <v/>
      </c>
      <c r="C171" s="9" t="n"/>
      <c r="D171" s="9" t="n"/>
      <c r="E171" s="9" t="n"/>
      <c r="F171" s="9" t="n"/>
      <c r="G171" s="9" t="n"/>
      <c r="H171" s="9" t="n"/>
      <c r="I171" s="9" t="n"/>
      <c r="J171" s="3" t="n"/>
      <c r="K171" s="9" t="n"/>
    </row>
    <row r="172">
      <c r="A172" s="4" t="n"/>
      <c r="B172" s="9">
        <f>IF(A172="","",INT((DAY(A172)-1)/7)+1)</f>
        <v/>
      </c>
      <c r="C172" s="9" t="n"/>
      <c r="D172" s="9" t="n"/>
      <c r="E172" s="9" t="n"/>
      <c r="F172" s="9" t="n"/>
      <c r="G172" s="9" t="n"/>
      <c r="H172" s="9" t="n"/>
      <c r="I172" s="9" t="n"/>
      <c r="J172" s="3" t="n"/>
      <c r="K172" s="9" t="n"/>
    </row>
    <row r="173">
      <c r="A173" s="4" t="n"/>
      <c r="B173" s="9">
        <f>IF(A173="","",INT((DAY(A173)-1)/7)+1)</f>
        <v/>
      </c>
      <c r="C173" s="9" t="n"/>
      <c r="D173" s="9" t="n"/>
      <c r="E173" s="9" t="n"/>
      <c r="F173" s="9" t="n"/>
      <c r="G173" s="9" t="n"/>
      <c r="H173" s="9" t="n"/>
      <c r="I173" s="9" t="n"/>
      <c r="J173" s="3" t="n"/>
      <c r="K173" s="9" t="n"/>
    </row>
    <row r="174">
      <c r="A174" s="4" t="n"/>
      <c r="B174" s="9">
        <f>IF(A174="","",INT((DAY(A174)-1)/7)+1)</f>
        <v/>
      </c>
      <c r="C174" s="9" t="n"/>
      <c r="D174" s="9" t="n"/>
      <c r="E174" s="9" t="n"/>
      <c r="F174" s="9" t="n"/>
      <c r="G174" s="9" t="n"/>
      <c r="H174" s="9" t="n"/>
      <c r="I174" s="9" t="n"/>
      <c r="J174" s="3" t="n"/>
      <c r="K174" s="9" t="n"/>
    </row>
    <row r="175">
      <c r="A175" s="4" t="n"/>
      <c r="B175" s="9">
        <f>IF(A175="","",INT((DAY(A175)-1)/7)+1)</f>
        <v/>
      </c>
      <c r="C175" s="9" t="n"/>
      <c r="D175" s="9" t="n"/>
      <c r="E175" s="9" t="n"/>
      <c r="F175" s="9" t="n"/>
      <c r="G175" s="9" t="n"/>
      <c r="H175" s="9" t="n"/>
      <c r="I175" s="9" t="n"/>
      <c r="J175" s="3" t="n"/>
      <c r="K175" s="9" t="n"/>
    </row>
    <row r="176">
      <c r="A176" s="4" t="n"/>
      <c r="B176" s="9">
        <f>IF(A176="","",INT((DAY(A176)-1)/7)+1)</f>
        <v/>
      </c>
      <c r="C176" s="9" t="n"/>
      <c r="D176" s="9" t="n"/>
      <c r="E176" s="9" t="n"/>
      <c r="F176" s="9" t="n"/>
      <c r="G176" s="9" t="n"/>
      <c r="H176" s="9" t="n"/>
      <c r="I176" s="9" t="n"/>
      <c r="J176" s="3" t="n"/>
      <c r="K176" s="9" t="n"/>
    </row>
    <row r="177">
      <c r="A177" s="4" t="n"/>
      <c r="B177" s="9">
        <f>IF(A177="","",INT((DAY(A177)-1)/7)+1)</f>
        <v/>
      </c>
      <c r="C177" s="9" t="n"/>
      <c r="D177" s="9" t="n"/>
      <c r="E177" s="9" t="n"/>
      <c r="F177" s="9" t="n"/>
      <c r="G177" s="9" t="n"/>
      <c r="H177" s="9" t="n"/>
      <c r="I177" s="9" t="n"/>
      <c r="J177" s="3" t="n"/>
      <c r="K177" s="9" t="n"/>
    </row>
    <row r="178">
      <c r="A178" s="4" t="n"/>
      <c r="B178" s="9">
        <f>IF(A178="","",INT((DAY(A178)-1)/7)+1)</f>
        <v/>
      </c>
      <c r="C178" s="9" t="n"/>
      <c r="D178" s="9" t="n"/>
      <c r="E178" s="9" t="n"/>
      <c r="F178" s="9" t="n"/>
      <c r="G178" s="9" t="n"/>
      <c r="H178" s="9" t="n"/>
      <c r="I178" s="9" t="n"/>
      <c r="J178" s="3" t="n"/>
      <c r="K178" s="9" t="n"/>
    </row>
    <row r="179">
      <c r="A179" s="4" t="n"/>
      <c r="B179" s="9">
        <f>IF(A179="","",INT((DAY(A179)-1)/7)+1)</f>
        <v/>
      </c>
      <c r="C179" s="9" t="n"/>
      <c r="D179" s="9" t="n"/>
      <c r="E179" s="9" t="n"/>
      <c r="F179" s="9" t="n"/>
      <c r="G179" s="9" t="n"/>
      <c r="H179" s="9" t="n"/>
      <c r="I179" s="9" t="n"/>
      <c r="J179" s="3" t="n"/>
      <c r="K179" s="9" t="n"/>
    </row>
    <row r="180">
      <c r="A180" s="4" t="n"/>
      <c r="B180" s="9">
        <f>IF(A180="","",INT((DAY(A180)-1)/7)+1)</f>
        <v/>
      </c>
      <c r="C180" s="9" t="n"/>
      <c r="D180" s="9" t="n"/>
      <c r="E180" s="9" t="n"/>
      <c r="F180" s="9" t="n"/>
      <c r="G180" s="9" t="n"/>
      <c r="H180" s="9" t="n"/>
      <c r="I180" s="9" t="n"/>
      <c r="J180" s="3" t="n"/>
      <c r="K180" s="9" t="n"/>
    </row>
    <row r="181">
      <c r="A181" s="4" t="n"/>
      <c r="B181" s="9">
        <f>IF(A181="","",INT((DAY(A181)-1)/7)+1)</f>
        <v/>
      </c>
      <c r="C181" s="9" t="n"/>
      <c r="D181" s="9" t="n"/>
      <c r="E181" s="9" t="n"/>
      <c r="F181" s="9" t="n"/>
      <c r="G181" s="9" t="n"/>
      <c r="H181" s="9" t="n"/>
      <c r="I181" s="9" t="n"/>
      <c r="J181" s="3" t="n"/>
      <c r="K181" s="9" t="n"/>
    </row>
    <row r="182">
      <c r="A182" s="4" t="n"/>
      <c r="B182" s="9">
        <f>IF(A182="","",INT((DAY(A182)-1)/7)+1)</f>
        <v/>
      </c>
      <c r="C182" s="9" t="n"/>
      <c r="D182" s="9" t="n"/>
      <c r="E182" s="9" t="n"/>
      <c r="F182" s="9" t="n"/>
      <c r="G182" s="9" t="n"/>
      <c r="H182" s="9" t="n"/>
      <c r="I182" s="9" t="n"/>
      <c r="J182" s="3" t="n"/>
      <c r="K182" s="9" t="n"/>
    </row>
    <row r="183">
      <c r="A183" s="4" t="n"/>
      <c r="B183" s="9">
        <f>IF(A183="","",INT((DAY(A183)-1)/7)+1)</f>
        <v/>
      </c>
      <c r="C183" s="9" t="n"/>
      <c r="D183" s="9" t="n"/>
      <c r="E183" s="9" t="n"/>
      <c r="F183" s="9" t="n"/>
      <c r="G183" s="9" t="n"/>
      <c r="H183" s="9" t="n"/>
      <c r="I183" s="9" t="n"/>
      <c r="J183" s="3" t="n"/>
      <c r="K183" s="9" t="n"/>
    </row>
    <row r="184">
      <c r="A184" s="4" t="n"/>
      <c r="B184" s="9">
        <f>IF(A184="","",INT((DAY(A184)-1)/7)+1)</f>
        <v/>
      </c>
      <c r="C184" s="9" t="n"/>
      <c r="D184" s="9" t="n"/>
      <c r="E184" s="9" t="n"/>
      <c r="F184" s="9" t="n"/>
      <c r="G184" s="9" t="n"/>
      <c r="H184" s="9" t="n"/>
      <c r="I184" s="9" t="n"/>
      <c r="J184" s="3" t="n"/>
      <c r="K184" s="9" t="n"/>
    </row>
    <row r="185">
      <c r="A185" s="4" t="n"/>
      <c r="B185" s="9">
        <f>IF(A185="","",INT((DAY(A185)-1)/7)+1)</f>
        <v/>
      </c>
      <c r="C185" s="9" t="n"/>
      <c r="D185" s="9" t="n"/>
      <c r="E185" s="9" t="n"/>
      <c r="F185" s="9" t="n"/>
      <c r="G185" s="9" t="n"/>
      <c r="H185" s="9" t="n"/>
      <c r="I185" s="9" t="n"/>
      <c r="J185" s="3" t="n"/>
      <c r="K185" s="9" t="n"/>
    </row>
    <row r="186">
      <c r="A186" s="4" t="n"/>
      <c r="B186" s="9">
        <f>IF(A186="","",INT((DAY(A186)-1)/7)+1)</f>
        <v/>
      </c>
      <c r="C186" s="9" t="n"/>
      <c r="D186" s="9" t="n"/>
      <c r="E186" s="9" t="n"/>
      <c r="F186" s="9" t="n"/>
      <c r="G186" s="9" t="n"/>
      <c r="H186" s="9" t="n"/>
      <c r="I186" s="9" t="n"/>
      <c r="J186" s="3" t="n"/>
      <c r="K186" s="9" t="n"/>
    </row>
    <row r="187">
      <c r="A187" s="4" t="n"/>
      <c r="B187" s="9">
        <f>IF(A187="","",INT((DAY(A187)-1)/7)+1)</f>
        <v/>
      </c>
      <c r="C187" s="9" t="n"/>
      <c r="D187" s="9" t="n"/>
      <c r="E187" s="9" t="n"/>
      <c r="F187" s="9" t="n"/>
      <c r="G187" s="9" t="n"/>
      <c r="H187" s="9" t="n"/>
      <c r="I187" s="9" t="n"/>
      <c r="J187" s="3" t="n"/>
      <c r="K187" s="9" t="n"/>
    </row>
    <row r="188">
      <c r="A188" s="4" t="n"/>
      <c r="B188" s="9">
        <f>IF(A188="","",INT((DAY(A188)-1)/7)+1)</f>
        <v/>
      </c>
      <c r="C188" s="9" t="n"/>
      <c r="D188" s="9" t="n"/>
      <c r="E188" s="9" t="n"/>
      <c r="F188" s="9" t="n"/>
      <c r="G188" s="9" t="n"/>
      <c r="H188" s="9" t="n"/>
      <c r="I188" s="9" t="n"/>
      <c r="J188" s="3" t="n"/>
      <c r="K188" s="9" t="n"/>
    </row>
    <row r="189">
      <c r="A189" s="4" t="n"/>
      <c r="B189" s="9">
        <f>IF(A189="","",INT((DAY(A189)-1)/7)+1)</f>
        <v/>
      </c>
      <c r="C189" s="9" t="n"/>
      <c r="D189" s="9" t="n"/>
      <c r="E189" s="9" t="n"/>
      <c r="F189" s="9" t="n"/>
      <c r="G189" s="9" t="n"/>
      <c r="H189" s="9" t="n"/>
      <c r="I189" s="9" t="n"/>
      <c r="J189" s="3" t="n"/>
      <c r="K189" s="9" t="n"/>
    </row>
    <row r="190">
      <c r="A190" s="4" t="n"/>
      <c r="B190" s="9">
        <f>IF(A190="","",INT((DAY(A190)-1)/7)+1)</f>
        <v/>
      </c>
      <c r="C190" s="9" t="n"/>
      <c r="D190" s="9" t="n"/>
      <c r="E190" s="9" t="n"/>
      <c r="F190" s="9" t="n"/>
      <c r="G190" s="9" t="n"/>
      <c r="H190" s="9" t="n"/>
      <c r="I190" s="9" t="n"/>
      <c r="J190" s="3" t="n"/>
      <c r="K190" s="9" t="n"/>
    </row>
    <row r="191">
      <c r="A191" s="4" t="n"/>
      <c r="B191" s="9">
        <f>IF(A191="","",INT((DAY(A191)-1)/7)+1)</f>
        <v/>
      </c>
      <c r="C191" s="9" t="n"/>
      <c r="D191" s="9" t="n"/>
      <c r="E191" s="9" t="n"/>
      <c r="F191" s="9" t="n"/>
      <c r="G191" s="9" t="n"/>
      <c r="H191" s="9" t="n"/>
      <c r="I191" s="9" t="n"/>
      <c r="J191" s="3" t="n"/>
      <c r="K191" s="9" t="n"/>
    </row>
    <row r="192">
      <c r="A192" s="4" t="n"/>
      <c r="B192" s="9">
        <f>IF(A192="","",INT((DAY(A192)-1)/7)+1)</f>
        <v/>
      </c>
      <c r="C192" s="9" t="n"/>
      <c r="D192" s="9" t="n"/>
      <c r="E192" s="9" t="n"/>
      <c r="F192" s="9" t="n"/>
      <c r="G192" s="9" t="n"/>
      <c r="H192" s="9" t="n"/>
      <c r="I192" s="9" t="n"/>
      <c r="J192" s="3" t="n"/>
      <c r="K192" s="9" t="n"/>
    </row>
    <row r="193">
      <c r="A193" s="4" t="n"/>
      <c r="B193" s="9">
        <f>IF(A193="","",INT((DAY(A193)-1)/7)+1)</f>
        <v/>
      </c>
      <c r="C193" s="9" t="n"/>
      <c r="D193" s="9" t="n"/>
      <c r="E193" s="9" t="n"/>
      <c r="F193" s="9" t="n"/>
      <c r="G193" s="9" t="n"/>
      <c r="H193" s="9" t="n"/>
      <c r="I193" s="9" t="n"/>
      <c r="J193" s="3" t="n"/>
      <c r="K193" s="9" t="n"/>
    </row>
    <row r="194">
      <c r="A194" s="4" t="n"/>
      <c r="B194" s="9">
        <f>IF(A194="","",INT((DAY(A194)-1)/7)+1)</f>
        <v/>
      </c>
      <c r="C194" s="9" t="n"/>
      <c r="D194" s="9" t="n"/>
      <c r="E194" s="9" t="n"/>
      <c r="F194" s="9" t="n"/>
      <c r="G194" s="9" t="n"/>
      <c r="H194" s="9" t="n"/>
      <c r="I194" s="9" t="n"/>
      <c r="J194" s="3" t="n"/>
      <c r="K194" s="9" t="n"/>
    </row>
    <row r="195">
      <c r="A195" s="4" t="n"/>
      <c r="B195" s="9">
        <f>IF(A195="","",INT((DAY(A195)-1)/7)+1)</f>
        <v/>
      </c>
      <c r="C195" s="9" t="n"/>
      <c r="D195" s="9" t="n"/>
      <c r="E195" s="9" t="n"/>
      <c r="F195" s="9" t="n"/>
      <c r="G195" s="9" t="n"/>
      <c r="H195" s="9" t="n"/>
      <c r="I195" s="9" t="n"/>
      <c r="J195" s="3" t="n"/>
      <c r="K195" s="9" t="n"/>
    </row>
    <row r="196">
      <c r="A196" s="4" t="n"/>
      <c r="B196" s="9">
        <f>IF(A196="","",INT((DAY(A196)-1)/7)+1)</f>
        <v/>
      </c>
      <c r="C196" s="9" t="n"/>
      <c r="D196" s="9" t="n"/>
      <c r="E196" s="9" t="n"/>
      <c r="F196" s="9" t="n"/>
      <c r="G196" s="9" t="n"/>
      <c r="H196" s="9" t="n"/>
      <c r="I196" s="9" t="n"/>
      <c r="J196" s="3" t="n"/>
      <c r="K196" s="9" t="n"/>
    </row>
    <row r="197">
      <c r="A197" s="4" t="n"/>
      <c r="B197" s="9">
        <f>IF(A197="","",INT((DAY(A197)-1)/7)+1)</f>
        <v/>
      </c>
      <c r="C197" s="9" t="n"/>
      <c r="D197" s="9" t="n"/>
      <c r="E197" s="9" t="n"/>
      <c r="F197" s="9" t="n"/>
      <c r="G197" s="9" t="n"/>
      <c r="H197" s="9" t="n"/>
      <c r="I197" s="9" t="n"/>
      <c r="J197" s="3" t="n"/>
      <c r="K197" s="9" t="n"/>
    </row>
    <row r="198">
      <c r="A198" s="4" t="n"/>
      <c r="B198" s="9">
        <f>IF(A198="","",INT((DAY(A198)-1)/7)+1)</f>
        <v/>
      </c>
      <c r="C198" s="9" t="n"/>
      <c r="D198" s="9" t="n"/>
      <c r="E198" s="9" t="n"/>
      <c r="F198" s="9" t="n"/>
      <c r="G198" s="9" t="n"/>
      <c r="H198" s="9" t="n"/>
      <c r="I198" s="9" t="n"/>
      <c r="J198" s="3" t="n"/>
      <c r="K198" s="9" t="n"/>
    </row>
    <row r="199">
      <c r="A199" s="4" t="n"/>
      <c r="B199" s="9">
        <f>IF(A199="","",INT((DAY(A199)-1)/7)+1)</f>
        <v/>
      </c>
      <c r="C199" s="9" t="n"/>
      <c r="D199" s="9" t="n"/>
      <c r="E199" s="9" t="n"/>
      <c r="F199" s="9" t="n"/>
      <c r="G199" s="9" t="n"/>
      <c r="H199" s="9" t="n"/>
      <c r="I199" s="9" t="n"/>
      <c r="J199" s="3" t="n"/>
      <c r="K199" s="9" t="n"/>
    </row>
    <row r="200">
      <c r="A200" s="4" t="n"/>
      <c r="B200" s="9">
        <f>IF(A200="","",INT((DAY(A200)-1)/7)+1)</f>
        <v/>
      </c>
      <c r="C200" s="9" t="n"/>
      <c r="D200" s="9" t="n"/>
      <c r="E200" s="9" t="n"/>
      <c r="F200" s="9" t="n"/>
      <c r="G200" s="9" t="n"/>
      <c r="H200" s="9" t="n"/>
      <c r="I200" s="9" t="n"/>
      <c r="J200" s="3" t="n"/>
      <c r="K200" s="9" t="n"/>
    </row>
    <row r="201">
      <c r="A201" s="4" t="n"/>
      <c r="B201" s="9">
        <f>IF(A201="","",INT((DAY(A201)-1)/7)+1)</f>
        <v/>
      </c>
      <c r="C201" s="9" t="n"/>
      <c r="D201" s="9" t="n"/>
      <c r="E201" s="9" t="n"/>
      <c r="F201" s="9" t="n"/>
      <c r="G201" s="9" t="n"/>
      <c r="H201" s="9" t="n"/>
      <c r="I201" s="9" t="n"/>
      <c r="J201" s="3" t="n"/>
      <c r="K201" s="9" t="n"/>
    </row>
    <row r="202">
      <c r="A202" s="4" t="n"/>
      <c r="B202" s="9">
        <f>IF(A202="","",INT((DAY(A202)-1)/7)+1)</f>
        <v/>
      </c>
      <c r="C202" s="9" t="n"/>
      <c r="D202" s="9" t="n"/>
      <c r="E202" s="9" t="n"/>
      <c r="F202" s="9" t="n"/>
      <c r="G202" s="9" t="n"/>
      <c r="H202" s="9" t="n"/>
      <c r="I202" s="9" t="n"/>
      <c r="J202" s="3" t="n"/>
      <c r="K202" s="9" t="n"/>
    </row>
    <row r="203">
      <c r="A203" s="4" t="n"/>
      <c r="B203" s="9">
        <f>IF(A203="","",INT((DAY(A203)-1)/7)+1)</f>
        <v/>
      </c>
      <c r="C203" s="9" t="n"/>
      <c r="D203" s="9" t="n"/>
      <c r="E203" s="9" t="n"/>
      <c r="F203" s="9" t="n"/>
      <c r="G203" s="9" t="n"/>
      <c r="H203" s="9" t="n"/>
      <c r="I203" s="9" t="n"/>
      <c r="J203" s="3" t="n"/>
      <c r="K203" s="9" t="n"/>
    </row>
    <row r="204">
      <c r="A204" s="4" t="n"/>
      <c r="B204" s="9">
        <f>IF(A204="","",INT((DAY(A204)-1)/7)+1)</f>
        <v/>
      </c>
      <c r="C204" s="9" t="n"/>
      <c r="D204" s="9" t="n"/>
      <c r="E204" s="9" t="n"/>
      <c r="F204" s="9" t="n"/>
      <c r="G204" s="9" t="n"/>
      <c r="H204" s="9" t="n"/>
      <c r="I204" s="9" t="n"/>
      <c r="J204" s="3" t="n"/>
      <c r="K204" s="9" t="n"/>
    </row>
    <row r="205">
      <c r="A205" s="4" t="n"/>
      <c r="B205" s="9">
        <f>IF(A205="","",INT((DAY(A205)-1)/7)+1)</f>
        <v/>
      </c>
      <c r="C205" s="9" t="n"/>
      <c r="D205" s="9" t="n"/>
      <c r="E205" s="9" t="n"/>
      <c r="F205" s="9" t="n"/>
      <c r="G205" s="9" t="n"/>
      <c r="H205" s="9" t="n"/>
      <c r="I205" s="9" t="n"/>
      <c r="J205" s="3" t="n"/>
      <c r="K205" s="9" t="n"/>
    </row>
    <row r="206">
      <c r="A206" s="4" t="n"/>
      <c r="B206" s="9">
        <f>IF(A206="","",INT((DAY(A206)-1)/7)+1)</f>
        <v/>
      </c>
      <c r="C206" s="9" t="n"/>
      <c r="D206" s="9" t="n"/>
      <c r="E206" s="9" t="n"/>
      <c r="F206" s="9" t="n"/>
      <c r="G206" s="9" t="n"/>
      <c r="H206" s="9" t="n"/>
      <c r="I206" s="9" t="n"/>
      <c r="J206" s="3" t="n"/>
      <c r="K206" s="9" t="n"/>
    </row>
    <row r="207">
      <c r="A207" s="4" t="n"/>
      <c r="B207" s="9">
        <f>IF(A207="","",INT((DAY(A207)-1)/7)+1)</f>
        <v/>
      </c>
      <c r="C207" s="9" t="n"/>
      <c r="D207" s="9" t="n"/>
      <c r="E207" s="9" t="n"/>
      <c r="F207" s="9" t="n"/>
      <c r="G207" s="9" t="n"/>
      <c r="H207" s="9" t="n"/>
      <c r="I207" s="9" t="n"/>
      <c r="J207" s="3" t="n"/>
      <c r="K207" s="9" t="n"/>
    </row>
    <row r="208">
      <c r="A208" s="4" t="n"/>
      <c r="B208" s="9">
        <f>IF(A208="","",INT((DAY(A208)-1)/7)+1)</f>
        <v/>
      </c>
      <c r="C208" s="9" t="n"/>
      <c r="D208" s="9" t="n"/>
      <c r="E208" s="9" t="n"/>
      <c r="F208" s="9" t="n"/>
      <c r="G208" s="9" t="n"/>
      <c r="H208" s="9" t="n"/>
      <c r="I208" s="9" t="n"/>
      <c r="J208" s="3" t="n"/>
      <c r="K208" s="9" t="n"/>
    </row>
    <row r="209">
      <c r="A209" s="4" t="n"/>
      <c r="B209" s="9">
        <f>IF(A209="","",INT((DAY(A209)-1)/7)+1)</f>
        <v/>
      </c>
      <c r="C209" s="9" t="n"/>
      <c r="D209" s="9" t="n"/>
      <c r="E209" s="9" t="n"/>
      <c r="F209" s="9" t="n"/>
      <c r="G209" s="9" t="n"/>
      <c r="H209" s="9" t="n"/>
      <c r="I209" s="9" t="n"/>
      <c r="J209" s="3" t="n"/>
      <c r="K209" s="9" t="n"/>
    </row>
    <row r="210">
      <c r="A210" s="4" t="n"/>
      <c r="B210" s="9">
        <f>IF(A210="","",INT((DAY(A210)-1)/7)+1)</f>
        <v/>
      </c>
      <c r="C210" s="9" t="n"/>
      <c r="D210" s="9" t="n"/>
      <c r="E210" s="9" t="n"/>
      <c r="F210" s="9" t="n"/>
      <c r="G210" s="9" t="n"/>
      <c r="H210" s="9" t="n"/>
      <c r="I210" s="9" t="n"/>
      <c r="J210" s="3" t="n"/>
      <c r="K210" s="9" t="n"/>
    </row>
    <row r="211">
      <c r="A211" s="4" t="n"/>
      <c r="B211" s="9">
        <f>IF(A211="","",INT((DAY(A211)-1)/7)+1)</f>
        <v/>
      </c>
      <c r="C211" s="9" t="n"/>
      <c r="D211" s="9" t="n"/>
      <c r="E211" s="9" t="n"/>
      <c r="F211" s="9" t="n"/>
      <c r="G211" s="9" t="n"/>
      <c r="H211" s="9" t="n"/>
      <c r="I211" s="9" t="n"/>
      <c r="J211" s="3" t="n"/>
      <c r="K211" s="9" t="n"/>
    </row>
    <row r="212">
      <c r="A212" s="4" t="n"/>
      <c r="B212" s="9">
        <f>IF(A212="","",INT((DAY(A212)-1)/7)+1)</f>
        <v/>
      </c>
      <c r="C212" s="9" t="n"/>
      <c r="D212" s="9" t="n"/>
      <c r="E212" s="9" t="n"/>
      <c r="F212" s="9" t="n"/>
      <c r="G212" s="9" t="n"/>
      <c r="H212" s="9" t="n"/>
      <c r="I212" s="9" t="n"/>
      <c r="J212" s="3" t="n"/>
      <c r="K212" s="9" t="n"/>
    </row>
    <row r="213">
      <c r="A213" s="4" t="n"/>
      <c r="B213" s="9">
        <f>IF(A213="","",INT((DAY(A213)-1)/7)+1)</f>
        <v/>
      </c>
      <c r="C213" s="9" t="n"/>
      <c r="D213" s="9" t="n"/>
      <c r="E213" s="9" t="n"/>
      <c r="F213" s="9" t="n"/>
      <c r="G213" s="9" t="n"/>
      <c r="H213" s="9" t="n"/>
      <c r="I213" s="9" t="n"/>
      <c r="J213" s="3" t="n"/>
      <c r="K213" s="9" t="n"/>
    </row>
    <row r="214">
      <c r="A214" s="4" t="n"/>
      <c r="B214" s="9">
        <f>IF(A214="","",INT((DAY(A214)-1)/7)+1)</f>
        <v/>
      </c>
      <c r="C214" s="9" t="n"/>
      <c r="D214" s="9" t="n"/>
      <c r="E214" s="9" t="n"/>
      <c r="F214" s="9" t="n"/>
      <c r="G214" s="9" t="n"/>
      <c r="H214" s="9" t="n"/>
      <c r="I214" s="9" t="n"/>
      <c r="J214" s="3" t="n"/>
      <c r="K214" s="9" t="n"/>
    </row>
    <row r="215">
      <c r="A215" s="4" t="n"/>
      <c r="B215" s="9">
        <f>IF(A215="","",INT((DAY(A215)-1)/7)+1)</f>
        <v/>
      </c>
      <c r="C215" s="9" t="n"/>
      <c r="D215" s="9" t="n"/>
      <c r="E215" s="9" t="n"/>
      <c r="F215" s="9" t="n"/>
      <c r="G215" s="9" t="n"/>
      <c r="H215" s="9" t="n"/>
      <c r="I215" s="9" t="n"/>
      <c r="J215" s="3" t="n"/>
      <c r="K215" s="9" t="n"/>
    </row>
    <row r="216">
      <c r="A216" s="4" t="n"/>
      <c r="B216" s="9">
        <f>IF(A216="","",INT((DAY(A216)-1)/7)+1)</f>
        <v/>
      </c>
      <c r="C216" s="9" t="n"/>
      <c r="D216" s="9" t="n"/>
      <c r="E216" s="9" t="n"/>
      <c r="F216" s="9" t="n"/>
      <c r="G216" s="9" t="n"/>
      <c r="H216" s="9" t="n"/>
      <c r="I216" s="9" t="n"/>
      <c r="J216" s="3" t="n"/>
      <c r="K216" s="9" t="n"/>
    </row>
    <row r="217">
      <c r="A217" s="4" t="n"/>
      <c r="B217" s="9">
        <f>IF(A217="","",INT((DAY(A217)-1)/7)+1)</f>
        <v/>
      </c>
      <c r="C217" s="9" t="n"/>
      <c r="D217" s="9" t="n"/>
      <c r="E217" s="9" t="n"/>
      <c r="F217" s="9" t="n"/>
      <c r="G217" s="9" t="n"/>
      <c r="H217" s="9" t="n"/>
      <c r="I217" s="9" t="n"/>
      <c r="J217" s="3" t="n"/>
      <c r="K217" s="9" t="n"/>
    </row>
    <row r="218">
      <c r="A218" s="4" t="n"/>
      <c r="B218" s="9">
        <f>IF(A218="","",INT((DAY(A218)-1)/7)+1)</f>
        <v/>
      </c>
      <c r="C218" s="9" t="n"/>
      <c r="D218" s="9" t="n"/>
      <c r="E218" s="9" t="n"/>
      <c r="F218" s="9" t="n"/>
      <c r="G218" s="9" t="n"/>
      <c r="H218" s="9" t="n"/>
      <c r="I218" s="9" t="n"/>
      <c r="J218" s="3" t="n"/>
      <c r="K218" s="9" t="n"/>
    </row>
    <row r="219">
      <c r="A219" s="4" t="n"/>
      <c r="B219" s="9">
        <f>IF(A219="","",INT((DAY(A219)-1)/7)+1)</f>
        <v/>
      </c>
      <c r="C219" s="9" t="n"/>
      <c r="D219" s="9" t="n"/>
      <c r="E219" s="9" t="n"/>
      <c r="F219" s="9" t="n"/>
      <c r="G219" s="9" t="n"/>
      <c r="H219" s="9" t="n"/>
      <c r="I219" s="9" t="n"/>
      <c r="J219" s="3" t="n"/>
      <c r="K219" s="9" t="n"/>
    </row>
    <row r="220">
      <c r="A220" s="4" t="n"/>
      <c r="B220" s="9">
        <f>IF(A220="","",INT((DAY(A220)-1)/7)+1)</f>
        <v/>
      </c>
      <c r="C220" s="9" t="n"/>
      <c r="D220" s="9" t="n"/>
      <c r="E220" s="9" t="n"/>
      <c r="F220" s="9" t="n"/>
      <c r="G220" s="9" t="n"/>
      <c r="H220" s="9" t="n"/>
      <c r="I220" s="9" t="n"/>
      <c r="J220" s="3" t="n"/>
      <c r="K220" s="9" t="n"/>
    </row>
    <row r="221">
      <c r="A221" s="4" t="n"/>
      <c r="B221" s="9">
        <f>IF(A221="","",INT((DAY(A221)-1)/7)+1)</f>
        <v/>
      </c>
      <c r="C221" s="9" t="n"/>
      <c r="D221" s="9" t="n"/>
      <c r="E221" s="9" t="n"/>
      <c r="F221" s="9" t="n"/>
      <c r="G221" s="9" t="n"/>
      <c r="H221" s="9" t="n"/>
      <c r="I221" s="9" t="n"/>
      <c r="J221" s="3" t="n"/>
      <c r="K221" s="9" t="n"/>
    </row>
    <row r="222">
      <c r="A222" s="4" t="n"/>
      <c r="B222" s="9">
        <f>IF(A222="","",INT((DAY(A222)-1)/7)+1)</f>
        <v/>
      </c>
      <c r="C222" s="9" t="n"/>
      <c r="D222" s="9" t="n"/>
      <c r="E222" s="9" t="n"/>
      <c r="F222" s="9" t="n"/>
      <c r="G222" s="9" t="n"/>
      <c r="H222" s="9" t="n"/>
      <c r="I222" s="9" t="n"/>
      <c r="J222" s="3" t="n"/>
      <c r="K222" s="9" t="n"/>
    </row>
    <row r="223">
      <c r="A223" s="4" t="n"/>
      <c r="B223" s="9">
        <f>IF(A223="","",INT((DAY(A223)-1)/7)+1)</f>
        <v/>
      </c>
      <c r="C223" s="9" t="n"/>
      <c r="D223" s="9" t="n"/>
      <c r="E223" s="9" t="n"/>
      <c r="F223" s="9" t="n"/>
      <c r="G223" s="9" t="n"/>
      <c r="H223" s="9" t="n"/>
      <c r="I223" s="9" t="n"/>
      <c r="J223" s="3" t="n"/>
      <c r="K223" s="9" t="n"/>
    </row>
    <row r="224">
      <c r="A224" s="4" t="n"/>
      <c r="B224" s="9">
        <f>IF(A224="","",INT((DAY(A224)-1)/7)+1)</f>
        <v/>
      </c>
      <c r="C224" s="9" t="n"/>
      <c r="D224" s="9" t="n"/>
      <c r="E224" s="9" t="n"/>
      <c r="F224" s="9" t="n"/>
      <c r="G224" s="9" t="n"/>
      <c r="H224" s="9" t="n"/>
      <c r="I224" s="9" t="n"/>
      <c r="J224" s="3" t="n"/>
      <c r="K224" s="9" t="n"/>
    </row>
    <row r="225">
      <c r="A225" s="4" t="n"/>
      <c r="B225" s="9">
        <f>IF(A225="","",INT((DAY(A225)-1)/7)+1)</f>
        <v/>
      </c>
      <c r="C225" s="9" t="n"/>
      <c r="D225" s="9" t="n"/>
      <c r="E225" s="9" t="n"/>
      <c r="F225" s="9" t="n"/>
      <c r="G225" s="9" t="n"/>
      <c r="H225" s="9" t="n"/>
      <c r="I225" s="9" t="n"/>
      <c r="J225" s="3" t="n"/>
      <c r="K225" s="9" t="n"/>
    </row>
    <row r="226">
      <c r="A226" s="4" t="n"/>
      <c r="B226" s="9">
        <f>IF(A226="","",INT((DAY(A226)-1)/7)+1)</f>
        <v/>
      </c>
      <c r="C226" s="9" t="n"/>
      <c r="D226" s="9" t="n"/>
      <c r="E226" s="9" t="n"/>
      <c r="F226" s="9" t="n"/>
      <c r="G226" s="9" t="n"/>
      <c r="H226" s="9" t="n"/>
      <c r="I226" s="9" t="n"/>
      <c r="J226" s="3" t="n"/>
      <c r="K226" s="9" t="n"/>
    </row>
    <row r="227">
      <c r="A227" s="4" t="n"/>
      <c r="B227" s="9">
        <f>IF(A227="","",INT((DAY(A227)-1)/7)+1)</f>
        <v/>
      </c>
      <c r="C227" s="9" t="n"/>
      <c r="D227" s="9" t="n"/>
      <c r="E227" s="9" t="n"/>
      <c r="F227" s="9" t="n"/>
      <c r="G227" s="9" t="n"/>
      <c r="H227" s="9" t="n"/>
      <c r="I227" s="9" t="n"/>
      <c r="J227" s="3" t="n"/>
      <c r="K227" s="9" t="n"/>
    </row>
    <row r="228">
      <c r="A228" s="4" t="n"/>
      <c r="B228" s="9">
        <f>IF(A228="","",INT((DAY(A228)-1)/7)+1)</f>
        <v/>
      </c>
      <c r="C228" s="9" t="n"/>
      <c r="D228" s="9" t="n"/>
      <c r="E228" s="9" t="n"/>
      <c r="F228" s="9" t="n"/>
      <c r="G228" s="9" t="n"/>
      <c r="H228" s="9" t="n"/>
      <c r="I228" s="9" t="n"/>
      <c r="J228" s="3" t="n"/>
      <c r="K228" s="9" t="n"/>
    </row>
    <row r="229">
      <c r="A229" s="4" t="n"/>
      <c r="B229" s="9">
        <f>IF(A229="","",INT((DAY(A229)-1)/7)+1)</f>
        <v/>
      </c>
      <c r="C229" s="9" t="n"/>
      <c r="D229" s="9" t="n"/>
      <c r="E229" s="9" t="n"/>
      <c r="F229" s="9" t="n"/>
      <c r="G229" s="9" t="n"/>
      <c r="H229" s="9" t="n"/>
      <c r="I229" s="9" t="n"/>
      <c r="J229" s="3" t="n"/>
      <c r="K229" s="9" t="n"/>
    </row>
    <row r="230">
      <c r="A230" s="4" t="n"/>
      <c r="B230" s="9">
        <f>IF(A230="","",INT((DAY(A230)-1)/7)+1)</f>
        <v/>
      </c>
      <c r="C230" s="9" t="n"/>
      <c r="D230" s="9" t="n"/>
      <c r="E230" s="9" t="n"/>
      <c r="F230" s="9" t="n"/>
      <c r="G230" s="9" t="n"/>
      <c r="H230" s="9" t="n"/>
      <c r="I230" s="9" t="n"/>
      <c r="J230" s="3" t="n"/>
      <c r="K230" s="9" t="n"/>
    </row>
    <row r="231">
      <c r="A231" s="4" t="n"/>
      <c r="B231" s="9">
        <f>IF(A231="","",INT((DAY(A231)-1)/7)+1)</f>
        <v/>
      </c>
      <c r="C231" s="9" t="n"/>
      <c r="D231" s="9" t="n"/>
      <c r="E231" s="9" t="n"/>
      <c r="F231" s="9" t="n"/>
      <c r="G231" s="9" t="n"/>
      <c r="H231" s="9" t="n"/>
      <c r="I231" s="9" t="n"/>
      <c r="J231" s="3" t="n"/>
      <c r="K231" s="9" t="n"/>
    </row>
    <row r="232">
      <c r="A232" s="4" t="n"/>
      <c r="B232" s="9">
        <f>IF(A232="","",INT((DAY(A232)-1)/7)+1)</f>
        <v/>
      </c>
      <c r="C232" s="9" t="n"/>
      <c r="D232" s="9" t="n"/>
      <c r="E232" s="9" t="n"/>
      <c r="F232" s="9" t="n"/>
      <c r="G232" s="9" t="n"/>
      <c r="H232" s="9" t="n"/>
      <c r="I232" s="9" t="n"/>
      <c r="J232" s="3" t="n"/>
      <c r="K232" s="9" t="n"/>
    </row>
    <row r="233">
      <c r="A233" s="4" t="n"/>
      <c r="B233" s="9">
        <f>IF(A233="","",INT((DAY(A233)-1)/7)+1)</f>
        <v/>
      </c>
      <c r="C233" s="9" t="n"/>
      <c r="D233" s="9" t="n"/>
      <c r="E233" s="9" t="n"/>
      <c r="F233" s="9" t="n"/>
      <c r="G233" s="9" t="n"/>
      <c r="H233" s="9" t="n"/>
      <c r="I233" s="9" t="n"/>
      <c r="J233" s="3" t="n"/>
      <c r="K233" s="9" t="n"/>
    </row>
    <row r="234">
      <c r="A234" s="4" t="n"/>
      <c r="B234" s="9">
        <f>IF(A234="","",INT((DAY(A234)-1)/7)+1)</f>
        <v/>
      </c>
      <c r="C234" s="9" t="n"/>
      <c r="D234" s="9" t="n"/>
      <c r="E234" s="9" t="n"/>
      <c r="F234" s="9" t="n"/>
      <c r="G234" s="9" t="n"/>
      <c r="H234" s="9" t="n"/>
      <c r="I234" s="9" t="n"/>
      <c r="J234" s="3" t="n"/>
      <c r="K234" s="9" t="n"/>
    </row>
    <row r="235">
      <c r="A235" s="4" t="n"/>
      <c r="B235" s="9">
        <f>IF(A235="","",INT((DAY(A235)-1)/7)+1)</f>
        <v/>
      </c>
      <c r="C235" s="9" t="n"/>
      <c r="D235" s="9" t="n"/>
      <c r="E235" s="9" t="n"/>
      <c r="F235" s="9" t="n"/>
      <c r="G235" s="9" t="n"/>
      <c r="H235" s="9" t="n"/>
      <c r="I235" s="9" t="n"/>
      <c r="J235" s="3" t="n"/>
      <c r="K235" s="9" t="n"/>
    </row>
    <row r="236">
      <c r="A236" s="4" t="n"/>
      <c r="B236" s="9">
        <f>IF(A236="","",INT((DAY(A236)-1)/7)+1)</f>
        <v/>
      </c>
      <c r="C236" s="9" t="n"/>
      <c r="D236" s="9" t="n"/>
      <c r="E236" s="9" t="n"/>
      <c r="F236" s="9" t="n"/>
      <c r="G236" s="9" t="n"/>
      <c r="H236" s="9" t="n"/>
      <c r="I236" s="9" t="n"/>
      <c r="J236" s="3" t="n"/>
      <c r="K236" s="9" t="n"/>
    </row>
    <row r="237">
      <c r="A237" s="4" t="n"/>
      <c r="B237" s="9">
        <f>IF(A237="","",INT((DAY(A237)-1)/7)+1)</f>
        <v/>
      </c>
      <c r="C237" s="9" t="n"/>
      <c r="D237" s="9" t="n"/>
      <c r="E237" s="9" t="n"/>
      <c r="F237" s="9" t="n"/>
      <c r="G237" s="9" t="n"/>
      <c r="H237" s="9" t="n"/>
      <c r="I237" s="9" t="n"/>
      <c r="J237" s="3" t="n"/>
      <c r="K237" s="9" t="n"/>
    </row>
    <row r="238">
      <c r="A238" s="4" t="n"/>
      <c r="B238" s="9">
        <f>IF(A238="","",INT((DAY(A238)-1)/7)+1)</f>
        <v/>
      </c>
      <c r="C238" s="9" t="n"/>
      <c r="D238" s="9" t="n"/>
      <c r="E238" s="9" t="n"/>
      <c r="F238" s="9" t="n"/>
      <c r="G238" s="9" t="n"/>
      <c r="H238" s="9" t="n"/>
      <c r="I238" s="9" t="n"/>
      <c r="J238" s="3" t="n"/>
      <c r="K238" s="9" t="n"/>
    </row>
    <row r="239">
      <c r="A239" s="4" t="n"/>
      <c r="B239" s="9">
        <f>IF(A239="","",INT((DAY(A239)-1)/7)+1)</f>
        <v/>
      </c>
      <c r="C239" s="9" t="n"/>
      <c r="D239" s="9" t="n"/>
      <c r="E239" s="9" t="n"/>
      <c r="F239" s="9" t="n"/>
      <c r="G239" s="9" t="n"/>
      <c r="H239" s="9" t="n"/>
      <c r="I239" s="9" t="n"/>
      <c r="J239" s="3" t="n"/>
      <c r="K239" s="9" t="n"/>
    </row>
    <row r="240">
      <c r="A240" s="4" t="n"/>
      <c r="B240" s="9">
        <f>IF(A240="","",INT((DAY(A240)-1)/7)+1)</f>
        <v/>
      </c>
      <c r="C240" s="9" t="n"/>
      <c r="D240" s="9" t="n"/>
      <c r="E240" s="9" t="n"/>
      <c r="F240" s="9" t="n"/>
      <c r="G240" s="9" t="n"/>
      <c r="H240" s="9" t="n"/>
      <c r="I240" s="9" t="n"/>
      <c r="J240" s="3" t="n"/>
      <c r="K240" s="9" t="n"/>
    </row>
    <row r="241">
      <c r="A241" s="4" t="n"/>
      <c r="B241" s="9">
        <f>IF(A241="","",INT((DAY(A241)-1)/7)+1)</f>
        <v/>
      </c>
      <c r="C241" s="9" t="n"/>
      <c r="D241" s="9" t="n"/>
      <c r="E241" s="9" t="n"/>
      <c r="F241" s="9" t="n"/>
      <c r="G241" s="9" t="n"/>
      <c r="H241" s="9" t="n"/>
      <c r="I241" s="9" t="n"/>
      <c r="J241" s="3" t="n"/>
      <c r="K241" s="9" t="n"/>
    </row>
    <row r="242">
      <c r="A242" s="4" t="n"/>
      <c r="B242" s="9">
        <f>IF(A242="","",INT((DAY(A242)-1)/7)+1)</f>
        <v/>
      </c>
      <c r="C242" s="9" t="n"/>
      <c r="D242" s="9" t="n"/>
      <c r="E242" s="9" t="n"/>
      <c r="F242" s="9" t="n"/>
      <c r="G242" s="9" t="n"/>
      <c r="H242" s="9" t="n"/>
      <c r="I242" s="9" t="n"/>
      <c r="J242" s="3" t="n"/>
      <c r="K242" s="9" t="n"/>
    </row>
    <row r="243">
      <c r="A243" s="4" t="n"/>
      <c r="B243" s="9">
        <f>IF(A243="","",INT((DAY(A243)-1)/7)+1)</f>
        <v/>
      </c>
      <c r="C243" s="9" t="n"/>
      <c r="D243" s="9" t="n"/>
      <c r="E243" s="9" t="n"/>
      <c r="F243" s="9" t="n"/>
      <c r="G243" s="9" t="n"/>
      <c r="H243" s="9" t="n"/>
      <c r="I243" s="9" t="n"/>
      <c r="J243" s="3" t="n"/>
      <c r="K243" s="9" t="n"/>
    </row>
    <row r="244">
      <c r="A244" s="4" t="n"/>
      <c r="B244" s="9">
        <f>IF(A244="","",INT((DAY(A244)-1)/7)+1)</f>
        <v/>
      </c>
      <c r="C244" s="9" t="n"/>
      <c r="D244" s="9" t="n"/>
      <c r="E244" s="9" t="n"/>
      <c r="F244" s="9" t="n"/>
      <c r="G244" s="9" t="n"/>
      <c r="H244" s="9" t="n"/>
      <c r="I244" s="9" t="n"/>
      <c r="J244" s="3" t="n"/>
      <c r="K244" s="9" t="n"/>
    </row>
    <row r="245">
      <c r="A245" s="4" t="n"/>
      <c r="B245" s="9">
        <f>IF(A245="","",INT((DAY(A245)-1)/7)+1)</f>
        <v/>
      </c>
      <c r="C245" s="9" t="n"/>
      <c r="D245" s="9" t="n"/>
      <c r="E245" s="9" t="n"/>
      <c r="F245" s="9" t="n"/>
      <c r="G245" s="9" t="n"/>
      <c r="H245" s="9" t="n"/>
      <c r="I245" s="9" t="n"/>
      <c r="J245" s="3" t="n"/>
      <c r="K245" s="9" t="n"/>
    </row>
    <row r="246">
      <c r="A246" s="4" t="n"/>
      <c r="B246" s="9">
        <f>IF(A246="","",INT((DAY(A246)-1)/7)+1)</f>
        <v/>
      </c>
      <c r="C246" s="9" t="n"/>
      <c r="D246" s="9" t="n"/>
      <c r="E246" s="9" t="n"/>
      <c r="F246" s="9" t="n"/>
      <c r="G246" s="9" t="n"/>
      <c r="H246" s="9" t="n"/>
      <c r="I246" s="9" t="n"/>
      <c r="J246" s="3" t="n"/>
      <c r="K246" s="9" t="n"/>
    </row>
    <row r="247">
      <c r="A247" s="4" t="n"/>
      <c r="B247" s="9">
        <f>IF(A247="","",INT((DAY(A247)-1)/7)+1)</f>
        <v/>
      </c>
      <c r="C247" s="9" t="n"/>
      <c r="D247" s="9" t="n"/>
      <c r="E247" s="9" t="n"/>
      <c r="F247" s="9" t="n"/>
      <c r="G247" s="9" t="n"/>
      <c r="H247" s="9" t="n"/>
      <c r="I247" s="9" t="n"/>
      <c r="J247" s="3" t="n"/>
      <c r="K247" s="9" t="n"/>
    </row>
    <row r="248">
      <c r="A248" s="4" t="n"/>
      <c r="B248" s="9">
        <f>IF(A248="","",INT((DAY(A248)-1)/7)+1)</f>
        <v/>
      </c>
      <c r="C248" s="9" t="n"/>
      <c r="D248" s="9" t="n"/>
      <c r="E248" s="9" t="n"/>
      <c r="F248" s="9" t="n"/>
      <c r="G248" s="9" t="n"/>
      <c r="H248" s="9" t="n"/>
      <c r="I248" s="9" t="n"/>
      <c r="J248" s="3" t="n"/>
      <c r="K248" s="9" t="n"/>
    </row>
    <row r="249">
      <c r="A249" s="4" t="n"/>
      <c r="B249" s="9">
        <f>IF(A249="","",INT((DAY(A249)-1)/7)+1)</f>
        <v/>
      </c>
      <c r="C249" s="9" t="n"/>
      <c r="D249" s="9" t="n"/>
      <c r="E249" s="9" t="n"/>
      <c r="F249" s="9" t="n"/>
      <c r="G249" s="9" t="n"/>
      <c r="H249" s="9" t="n"/>
      <c r="I249" s="9" t="n"/>
      <c r="J249" s="3" t="n"/>
      <c r="K249" s="9" t="n"/>
    </row>
    <row r="250">
      <c r="A250" s="4" t="n"/>
      <c r="B250" s="9">
        <f>IF(A250="","",INT((DAY(A250)-1)/7)+1)</f>
        <v/>
      </c>
      <c r="C250" s="9" t="n"/>
      <c r="D250" s="9" t="n"/>
      <c r="E250" s="9" t="n"/>
      <c r="F250" s="9" t="n"/>
      <c r="G250" s="9" t="n"/>
      <c r="H250" s="9" t="n"/>
      <c r="I250" s="9" t="n"/>
      <c r="J250" s="3" t="n"/>
      <c r="K250" s="9" t="n"/>
    </row>
    <row r="251">
      <c r="A251" s="4" t="n"/>
      <c r="B251" s="9">
        <f>IF(A251="","",INT((DAY(A251)-1)/7)+1)</f>
        <v/>
      </c>
      <c r="C251" s="9" t="n"/>
      <c r="D251" s="9" t="n"/>
      <c r="E251" s="9" t="n"/>
      <c r="F251" s="9" t="n"/>
      <c r="G251" s="9" t="n"/>
      <c r="H251" s="9" t="n"/>
      <c r="I251" s="9" t="n"/>
      <c r="J251" s="3" t="n"/>
      <c r="K251" s="9" t="n"/>
    </row>
    <row r="252">
      <c r="A252" s="4" t="n"/>
      <c r="B252" s="9">
        <f>IF(A252="","",INT((DAY(A252)-1)/7)+1)</f>
        <v/>
      </c>
      <c r="C252" s="9" t="n"/>
      <c r="D252" s="9" t="n"/>
      <c r="E252" s="9" t="n"/>
      <c r="F252" s="9" t="n"/>
      <c r="G252" s="9" t="n"/>
      <c r="H252" s="9" t="n"/>
      <c r="I252" s="9" t="n"/>
      <c r="J252" s="3" t="n"/>
      <c r="K252" s="9" t="n"/>
    </row>
    <row r="253">
      <c r="A253" s="4" t="n"/>
      <c r="B253" s="9">
        <f>IF(A253="","",INT((DAY(A253)-1)/7)+1)</f>
        <v/>
      </c>
      <c r="C253" s="9" t="n"/>
      <c r="D253" s="9" t="n"/>
      <c r="E253" s="9" t="n"/>
      <c r="F253" s="9" t="n"/>
      <c r="G253" s="9" t="n"/>
      <c r="H253" s="9" t="n"/>
      <c r="I253" s="9" t="n"/>
      <c r="J253" s="3" t="n"/>
      <c r="K253" s="9" t="n"/>
    </row>
    <row r="254">
      <c r="A254" s="4" t="n"/>
      <c r="B254" s="9">
        <f>IF(A254="","",INT((DAY(A254)-1)/7)+1)</f>
        <v/>
      </c>
      <c r="C254" s="9" t="n"/>
      <c r="D254" s="9" t="n"/>
      <c r="E254" s="9" t="n"/>
      <c r="F254" s="9" t="n"/>
      <c r="G254" s="9" t="n"/>
      <c r="H254" s="9" t="n"/>
      <c r="I254" s="9" t="n"/>
      <c r="J254" s="3" t="n"/>
      <c r="K254" s="9" t="n"/>
    </row>
    <row r="255">
      <c r="A255" s="4" t="n"/>
      <c r="B255" s="9">
        <f>IF(A255="","",INT((DAY(A255)-1)/7)+1)</f>
        <v/>
      </c>
      <c r="C255" s="9" t="n"/>
      <c r="D255" s="9" t="n"/>
      <c r="E255" s="9" t="n"/>
      <c r="F255" s="9" t="n"/>
      <c r="G255" s="9" t="n"/>
      <c r="H255" s="9" t="n"/>
      <c r="I255" s="9" t="n"/>
      <c r="J255" s="3" t="n"/>
      <c r="K255" s="9" t="n"/>
    </row>
    <row r="256">
      <c r="A256" s="4" t="n"/>
      <c r="B256" s="9">
        <f>IF(A256="","",INT((DAY(A256)-1)/7)+1)</f>
        <v/>
      </c>
      <c r="C256" s="9" t="n"/>
      <c r="D256" s="9" t="n"/>
      <c r="E256" s="9" t="n"/>
      <c r="F256" s="9" t="n"/>
      <c r="G256" s="9" t="n"/>
      <c r="H256" s="9" t="n"/>
      <c r="I256" s="9" t="n"/>
      <c r="J256" s="3" t="n"/>
      <c r="K256" s="9" t="n"/>
    </row>
    <row r="257">
      <c r="A257" s="4" t="n"/>
      <c r="B257" s="9">
        <f>IF(A257="","",INT((DAY(A257)-1)/7)+1)</f>
        <v/>
      </c>
      <c r="C257" s="9" t="n"/>
      <c r="D257" s="9" t="n"/>
      <c r="E257" s="9" t="n"/>
      <c r="F257" s="9" t="n"/>
      <c r="G257" s="9" t="n"/>
      <c r="H257" s="9" t="n"/>
      <c r="I257" s="9" t="n"/>
      <c r="J257" s="3" t="n"/>
      <c r="K257" s="9" t="n"/>
    </row>
    <row r="258">
      <c r="A258" s="4" t="n"/>
      <c r="B258" s="9">
        <f>IF(A258="","",INT((DAY(A258)-1)/7)+1)</f>
        <v/>
      </c>
      <c r="C258" s="9" t="n"/>
      <c r="D258" s="9" t="n"/>
      <c r="E258" s="9" t="n"/>
      <c r="F258" s="9" t="n"/>
      <c r="G258" s="9" t="n"/>
      <c r="H258" s="9" t="n"/>
      <c r="I258" s="9" t="n"/>
      <c r="J258" s="3" t="n"/>
      <c r="K258" s="9" t="n"/>
    </row>
    <row r="259">
      <c r="A259" s="4" t="n"/>
      <c r="B259" s="9">
        <f>IF(A259="","",INT((DAY(A259)-1)/7)+1)</f>
        <v/>
      </c>
      <c r="C259" s="9" t="n"/>
      <c r="D259" s="9" t="n"/>
      <c r="E259" s="9" t="n"/>
      <c r="F259" s="9" t="n"/>
      <c r="G259" s="9" t="n"/>
      <c r="H259" s="9" t="n"/>
      <c r="I259" s="9" t="n"/>
      <c r="J259" s="3" t="n"/>
      <c r="K259" s="9" t="n"/>
    </row>
    <row r="260">
      <c r="A260" s="4" t="n"/>
      <c r="B260" s="9">
        <f>IF(A260="","",INT((DAY(A260)-1)/7)+1)</f>
        <v/>
      </c>
      <c r="C260" s="9" t="n"/>
      <c r="D260" s="9" t="n"/>
      <c r="E260" s="9" t="n"/>
      <c r="F260" s="9" t="n"/>
      <c r="G260" s="9" t="n"/>
      <c r="H260" s="9" t="n"/>
      <c r="I260" s="9" t="n"/>
      <c r="J260" s="3" t="n"/>
      <c r="K260" s="9" t="n"/>
    </row>
    <row r="261">
      <c r="A261" s="4" t="n"/>
      <c r="B261" s="9">
        <f>IF(A261="","",INT((DAY(A261)-1)/7)+1)</f>
        <v/>
      </c>
      <c r="C261" s="9" t="n"/>
      <c r="D261" s="9" t="n"/>
      <c r="E261" s="9" t="n"/>
      <c r="F261" s="9" t="n"/>
      <c r="G261" s="9" t="n"/>
      <c r="H261" s="9" t="n"/>
      <c r="I261" s="9" t="n"/>
      <c r="J261" s="3" t="n"/>
      <c r="K261" s="9" t="n"/>
    </row>
    <row r="262">
      <c r="A262" s="4" t="n"/>
      <c r="B262" s="9">
        <f>IF(A262="","",INT((DAY(A262)-1)/7)+1)</f>
        <v/>
      </c>
      <c r="C262" s="9" t="n"/>
      <c r="D262" s="9" t="n"/>
      <c r="E262" s="9" t="n"/>
      <c r="F262" s="9" t="n"/>
      <c r="G262" s="9" t="n"/>
      <c r="H262" s="9" t="n"/>
      <c r="I262" s="9" t="n"/>
      <c r="J262" s="3" t="n"/>
      <c r="K262" s="9" t="n"/>
    </row>
    <row r="263">
      <c r="A263" s="4" t="n"/>
      <c r="B263" s="9">
        <f>IF(A263="","",INT((DAY(A263)-1)/7)+1)</f>
        <v/>
      </c>
      <c r="C263" s="9" t="n"/>
      <c r="D263" s="9" t="n"/>
      <c r="E263" s="9" t="n"/>
      <c r="F263" s="9" t="n"/>
      <c r="G263" s="9" t="n"/>
      <c r="H263" s="9" t="n"/>
      <c r="I263" s="9" t="n"/>
      <c r="J263" s="3" t="n"/>
      <c r="K263" s="9" t="n"/>
    </row>
    <row r="264">
      <c r="A264" s="4" t="n"/>
      <c r="B264" s="9">
        <f>IF(A264="","",INT((DAY(A264)-1)/7)+1)</f>
        <v/>
      </c>
      <c r="C264" s="9" t="n"/>
      <c r="D264" s="9" t="n"/>
      <c r="E264" s="9" t="n"/>
      <c r="F264" s="9" t="n"/>
      <c r="G264" s="9" t="n"/>
      <c r="H264" s="9" t="n"/>
      <c r="I264" s="9" t="n"/>
      <c r="J264" s="3" t="n"/>
      <c r="K264" s="9" t="n"/>
    </row>
    <row r="265">
      <c r="A265" s="4" t="n"/>
      <c r="B265" s="9">
        <f>IF(A265="","",INT((DAY(A265)-1)/7)+1)</f>
        <v/>
      </c>
      <c r="C265" s="9" t="n"/>
      <c r="D265" s="9" t="n"/>
      <c r="E265" s="9" t="n"/>
      <c r="F265" s="9" t="n"/>
      <c r="G265" s="9" t="n"/>
      <c r="H265" s="9" t="n"/>
      <c r="I265" s="9" t="n"/>
      <c r="J265" s="3" t="n"/>
      <c r="K265" s="9" t="n"/>
    </row>
    <row r="266">
      <c r="A266" s="4" t="n"/>
      <c r="B266" s="9">
        <f>IF(A266="","",INT((DAY(A266)-1)/7)+1)</f>
        <v/>
      </c>
      <c r="C266" s="9" t="n"/>
      <c r="D266" s="9" t="n"/>
      <c r="E266" s="9" t="n"/>
      <c r="F266" s="9" t="n"/>
      <c r="G266" s="9" t="n"/>
      <c r="H266" s="9" t="n"/>
      <c r="I266" s="9" t="n"/>
      <c r="J266" s="3" t="n"/>
      <c r="K266" s="9" t="n"/>
    </row>
    <row r="267">
      <c r="A267" s="4" t="n"/>
      <c r="B267" s="9">
        <f>IF(A267="","",INT((DAY(A267)-1)/7)+1)</f>
        <v/>
      </c>
      <c r="C267" s="9" t="n"/>
      <c r="D267" s="9" t="n"/>
      <c r="E267" s="9" t="n"/>
      <c r="F267" s="9" t="n"/>
      <c r="G267" s="9" t="n"/>
      <c r="H267" s="9" t="n"/>
      <c r="I267" s="9" t="n"/>
      <c r="J267" s="3" t="n"/>
      <c r="K267" s="9" t="n"/>
    </row>
    <row r="268">
      <c r="A268" s="4" t="n"/>
      <c r="B268" s="9">
        <f>IF(A268="","",INT((DAY(A268)-1)/7)+1)</f>
        <v/>
      </c>
      <c r="C268" s="9" t="n"/>
      <c r="D268" s="9" t="n"/>
      <c r="E268" s="9" t="n"/>
      <c r="F268" s="9" t="n"/>
      <c r="G268" s="9" t="n"/>
      <c r="H268" s="9" t="n"/>
      <c r="I268" s="9" t="n"/>
      <c r="J268" s="3" t="n"/>
      <c r="K268" s="9" t="n"/>
    </row>
    <row r="269">
      <c r="A269" s="4" t="n"/>
      <c r="B269" s="9">
        <f>IF(A269="","",INT((DAY(A269)-1)/7)+1)</f>
        <v/>
      </c>
      <c r="C269" s="9" t="n"/>
      <c r="D269" s="9" t="n"/>
      <c r="E269" s="9" t="n"/>
      <c r="F269" s="9" t="n"/>
      <c r="G269" s="9" t="n"/>
      <c r="H269" s="9" t="n"/>
      <c r="I269" s="9" t="n"/>
      <c r="J269" s="3" t="n"/>
      <c r="K269" s="9" t="n"/>
    </row>
    <row r="270">
      <c r="A270" s="4" t="n"/>
      <c r="B270" s="9">
        <f>IF(A270="","",INT((DAY(A270)-1)/7)+1)</f>
        <v/>
      </c>
      <c r="C270" s="9" t="n"/>
      <c r="D270" s="9" t="n"/>
      <c r="E270" s="9" t="n"/>
      <c r="F270" s="9" t="n"/>
      <c r="G270" s="9" t="n"/>
      <c r="H270" s="9" t="n"/>
      <c r="I270" s="9" t="n"/>
      <c r="J270" s="3" t="n"/>
      <c r="K270" s="9" t="n"/>
    </row>
    <row r="271">
      <c r="A271" s="4" t="n"/>
      <c r="B271" s="9">
        <f>IF(A271="","",INT((DAY(A271)-1)/7)+1)</f>
        <v/>
      </c>
      <c r="C271" s="9" t="n"/>
      <c r="D271" s="9" t="n"/>
      <c r="E271" s="9" t="n"/>
      <c r="F271" s="9" t="n"/>
      <c r="G271" s="9" t="n"/>
      <c r="H271" s="9" t="n"/>
      <c r="I271" s="9" t="n"/>
      <c r="J271" s="3" t="n"/>
      <c r="K271" s="9" t="n"/>
    </row>
    <row r="272">
      <c r="A272" s="4" t="n"/>
      <c r="B272" s="9">
        <f>IF(A272="","",INT((DAY(A272)-1)/7)+1)</f>
        <v/>
      </c>
      <c r="C272" s="9" t="n"/>
      <c r="D272" s="9" t="n"/>
      <c r="E272" s="9" t="n"/>
      <c r="F272" s="9" t="n"/>
      <c r="G272" s="9" t="n"/>
      <c r="H272" s="9" t="n"/>
      <c r="I272" s="9" t="n"/>
      <c r="J272" s="3" t="n"/>
      <c r="K272" s="9" t="n"/>
    </row>
    <row r="273">
      <c r="A273" s="4" t="n"/>
      <c r="B273" s="9">
        <f>IF(A273="","",INT((DAY(A273)-1)/7)+1)</f>
        <v/>
      </c>
      <c r="C273" s="9" t="n"/>
      <c r="D273" s="9" t="n"/>
      <c r="E273" s="9" t="n"/>
      <c r="F273" s="9" t="n"/>
      <c r="G273" s="9" t="n"/>
      <c r="H273" s="9" t="n"/>
      <c r="I273" s="9" t="n"/>
      <c r="J273" s="3" t="n"/>
      <c r="K273" s="9" t="n"/>
    </row>
    <row r="274">
      <c r="A274" s="4" t="n"/>
      <c r="B274" s="9">
        <f>IF(A274="","",INT((DAY(A274)-1)/7)+1)</f>
        <v/>
      </c>
      <c r="C274" s="9" t="n"/>
      <c r="D274" s="9" t="n"/>
      <c r="E274" s="9" t="n"/>
      <c r="F274" s="9" t="n"/>
      <c r="G274" s="9" t="n"/>
      <c r="H274" s="9" t="n"/>
      <c r="I274" s="9" t="n"/>
      <c r="J274" s="3" t="n"/>
      <c r="K274" s="9" t="n"/>
    </row>
    <row r="275">
      <c r="A275" s="4" t="n"/>
      <c r="B275" s="9">
        <f>IF(A275="","",INT((DAY(A275)-1)/7)+1)</f>
        <v/>
      </c>
      <c r="C275" s="9" t="n"/>
      <c r="D275" s="9" t="n"/>
      <c r="E275" s="9" t="n"/>
      <c r="F275" s="9" t="n"/>
      <c r="G275" s="9" t="n"/>
      <c r="H275" s="9" t="n"/>
      <c r="I275" s="9" t="n"/>
      <c r="J275" s="3" t="n"/>
      <c r="K275" s="9" t="n"/>
    </row>
    <row r="276">
      <c r="A276" s="4" t="n"/>
      <c r="B276" s="9">
        <f>IF(A276="","",INT((DAY(A276)-1)/7)+1)</f>
        <v/>
      </c>
      <c r="C276" s="9" t="n"/>
      <c r="D276" s="9" t="n"/>
      <c r="E276" s="9" t="n"/>
      <c r="F276" s="9" t="n"/>
      <c r="G276" s="9" t="n"/>
      <c r="H276" s="9" t="n"/>
      <c r="I276" s="9" t="n"/>
      <c r="J276" s="3" t="n"/>
      <c r="K276" s="9" t="n"/>
    </row>
    <row r="277">
      <c r="A277" s="4" t="n"/>
      <c r="B277" s="9">
        <f>IF(A277="","",INT((DAY(A277)-1)/7)+1)</f>
        <v/>
      </c>
      <c r="C277" s="9" t="n"/>
      <c r="D277" s="9" t="n"/>
      <c r="E277" s="9" t="n"/>
      <c r="F277" s="9" t="n"/>
      <c r="G277" s="9" t="n"/>
      <c r="H277" s="9" t="n"/>
      <c r="I277" s="9" t="n"/>
      <c r="J277" s="3" t="n"/>
      <c r="K277" s="9" t="n"/>
    </row>
    <row r="278">
      <c r="A278" s="4" t="n"/>
      <c r="B278" s="9">
        <f>IF(A278="","",INT((DAY(A278)-1)/7)+1)</f>
        <v/>
      </c>
      <c r="C278" s="9" t="n"/>
      <c r="D278" s="9" t="n"/>
      <c r="E278" s="9" t="n"/>
      <c r="F278" s="9" t="n"/>
      <c r="G278" s="9" t="n"/>
      <c r="H278" s="9" t="n"/>
      <c r="I278" s="9" t="n"/>
      <c r="J278" s="3" t="n"/>
      <c r="K278" s="9" t="n"/>
    </row>
    <row r="279">
      <c r="A279" s="4" t="n"/>
      <c r="B279" s="9">
        <f>IF(A279="","",INT((DAY(A279)-1)/7)+1)</f>
        <v/>
      </c>
      <c r="C279" s="9" t="n"/>
      <c r="D279" s="9" t="n"/>
      <c r="E279" s="9" t="n"/>
      <c r="F279" s="9" t="n"/>
      <c r="G279" s="9" t="n"/>
      <c r="H279" s="9" t="n"/>
      <c r="I279" s="9" t="n"/>
      <c r="J279" s="3" t="n"/>
      <c r="K279" s="9" t="n"/>
    </row>
    <row r="280">
      <c r="A280" s="4" t="n"/>
      <c r="B280" s="9">
        <f>IF(A280="","",INT((DAY(A280)-1)/7)+1)</f>
        <v/>
      </c>
      <c r="C280" s="9" t="n"/>
      <c r="D280" s="9" t="n"/>
      <c r="E280" s="9" t="n"/>
      <c r="F280" s="9" t="n"/>
      <c r="G280" s="9" t="n"/>
      <c r="H280" s="9" t="n"/>
      <c r="I280" s="9" t="n"/>
      <c r="J280" s="3" t="n"/>
      <c r="K280" s="9" t="n"/>
    </row>
    <row r="281">
      <c r="A281" s="4" t="n"/>
      <c r="B281" s="9">
        <f>IF(A281="","",INT((DAY(A281)-1)/7)+1)</f>
        <v/>
      </c>
      <c r="C281" s="9" t="n"/>
      <c r="D281" s="9" t="n"/>
      <c r="E281" s="9" t="n"/>
      <c r="F281" s="9" t="n"/>
      <c r="G281" s="9" t="n"/>
      <c r="H281" s="9" t="n"/>
      <c r="I281" s="9" t="n"/>
      <c r="J281" s="3" t="n"/>
      <c r="K281" s="9" t="n"/>
    </row>
    <row r="282">
      <c r="A282" s="4" t="n"/>
      <c r="B282" s="9">
        <f>IF(A282="","",INT((DAY(A282)-1)/7)+1)</f>
        <v/>
      </c>
      <c r="C282" s="9" t="n"/>
      <c r="D282" s="9" t="n"/>
      <c r="E282" s="9" t="n"/>
      <c r="F282" s="9" t="n"/>
      <c r="G282" s="9" t="n"/>
      <c r="H282" s="9" t="n"/>
      <c r="I282" s="9" t="n"/>
      <c r="J282" s="3" t="n"/>
      <c r="K282" s="9" t="n"/>
    </row>
    <row r="283">
      <c r="A283" s="4" t="n"/>
      <c r="B283" s="9">
        <f>IF(A283="","",INT((DAY(A283)-1)/7)+1)</f>
        <v/>
      </c>
      <c r="C283" s="9" t="n"/>
      <c r="D283" s="9" t="n"/>
      <c r="E283" s="9" t="n"/>
      <c r="F283" s="9" t="n"/>
      <c r="G283" s="9" t="n"/>
      <c r="H283" s="9" t="n"/>
      <c r="I283" s="9" t="n"/>
      <c r="J283" s="3" t="n"/>
      <c r="K283" s="9" t="n"/>
    </row>
    <row r="284">
      <c r="A284" s="4" t="n"/>
      <c r="B284" s="9">
        <f>IF(A284="","",INT((DAY(A284)-1)/7)+1)</f>
        <v/>
      </c>
      <c r="C284" s="9" t="n"/>
      <c r="D284" s="9" t="n"/>
      <c r="E284" s="9" t="n"/>
      <c r="F284" s="9" t="n"/>
      <c r="G284" s="9" t="n"/>
      <c r="H284" s="9" t="n"/>
      <c r="I284" s="9" t="n"/>
      <c r="J284" s="3" t="n"/>
      <c r="K284" s="9" t="n"/>
    </row>
    <row r="285">
      <c r="A285" s="4" t="n"/>
      <c r="B285" s="9">
        <f>IF(A285="","",INT((DAY(A285)-1)/7)+1)</f>
        <v/>
      </c>
      <c r="C285" s="9" t="n"/>
      <c r="D285" s="9" t="n"/>
      <c r="E285" s="9" t="n"/>
      <c r="F285" s="9" t="n"/>
      <c r="G285" s="9" t="n"/>
      <c r="H285" s="9" t="n"/>
      <c r="I285" s="9" t="n"/>
      <c r="J285" s="3" t="n"/>
      <c r="K285" s="9" t="n"/>
    </row>
    <row r="286">
      <c r="A286" s="4" t="n"/>
      <c r="B286" s="9">
        <f>IF(A286="","",INT((DAY(A286)-1)/7)+1)</f>
        <v/>
      </c>
      <c r="C286" s="9" t="n"/>
      <c r="D286" s="9" t="n"/>
      <c r="E286" s="9" t="n"/>
      <c r="F286" s="9" t="n"/>
      <c r="G286" s="9" t="n"/>
      <c r="H286" s="9" t="n"/>
      <c r="I286" s="9" t="n"/>
      <c r="J286" s="3" t="n"/>
      <c r="K286" s="9" t="n"/>
    </row>
    <row r="287">
      <c r="A287" s="4" t="n"/>
      <c r="B287" s="9">
        <f>IF(A287="","",INT((DAY(A287)-1)/7)+1)</f>
        <v/>
      </c>
      <c r="C287" s="9" t="n"/>
      <c r="D287" s="9" t="n"/>
      <c r="E287" s="9" t="n"/>
      <c r="F287" s="9" t="n"/>
      <c r="G287" s="9" t="n"/>
      <c r="H287" s="9" t="n"/>
      <c r="I287" s="9" t="n"/>
      <c r="J287" s="3" t="n"/>
      <c r="K287" s="9" t="n"/>
    </row>
    <row r="288">
      <c r="A288" s="4" t="n"/>
      <c r="B288" s="9">
        <f>IF(A288="","",INT((DAY(A288)-1)/7)+1)</f>
        <v/>
      </c>
      <c r="C288" s="9" t="n"/>
      <c r="D288" s="9" t="n"/>
      <c r="E288" s="9" t="n"/>
      <c r="F288" s="9" t="n"/>
      <c r="G288" s="9" t="n"/>
      <c r="H288" s="9" t="n"/>
      <c r="I288" s="9" t="n"/>
      <c r="J288" s="3" t="n"/>
      <c r="K288" s="9" t="n"/>
    </row>
    <row r="289">
      <c r="A289" s="4" t="n"/>
      <c r="B289" s="9">
        <f>IF(A289="","",INT((DAY(A289)-1)/7)+1)</f>
        <v/>
      </c>
      <c r="C289" s="9" t="n"/>
      <c r="D289" s="9" t="n"/>
      <c r="E289" s="9" t="n"/>
      <c r="F289" s="9" t="n"/>
      <c r="G289" s="9" t="n"/>
      <c r="H289" s="9" t="n"/>
      <c r="I289" s="9" t="n"/>
      <c r="J289" s="3" t="n"/>
      <c r="K289" s="9" t="n"/>
    </row>
    <row r="290">
      <c r="A290" s="4" t="n"/>
      <c r="B290" s="9">
        <f>IF(A290="","",INT((DAY(A290)-1)/7)+1)</f>
        <v/>
      </c>
      <c r="C290" s="9" t="n"/>
      <c r="D290" s="9" t="n"/>
      <c r="E290" s="9" t="n"/>
      <c r="F290" s="9" t="n"/>
      <c r="G290" s="9" t="n"/>
      <c r="H290" s="9" t="n"/>
      <c r="I290" s="9" t="n"/>
      <c r="J290" s="3" t="n"/>
      <c r="K290" s="9" t="n"/>
    </row>
    <row r="291">
      <c r="A291" s="4" t="n"/>
      <c r="B291" s="9">
        <f>IF(A291="","",INT((DAY(A291)-1)/7)+1)</f>
        <v/>
      </c>
      <c r="C291" s="9" t="n"/>
      <c r="D291" s="9" t="n"/>
      <c r="E291" s="9" t="n"/>
      <c r="F291" s="9" t="n"/>
      <c r="G291" s="9" t="n"/>
      <c r="H291" s="9" t="n"/>
      <c r="I291" s="9" t="n"/>
      <c r="J291" s="3" t="n"/>
      <c r="K291" s="9" t="n"/>
    </row>
    <row r="292">
      <c r="A292" s="4" t="n"/>
      <c r="B292" s="9">
        <f>IF(A292="","",INT((DAY(A292)-1)/7)+1)</f>
        <v/>
      </c>
      <c r="C292" s="9" t="n"/>
      <c r="D292" s="9" t="n"/>
      <c r="E292" s="9" t="n"/>
      <c r="F292" s="9" t="n"/>
      <c r="G292" s="9" t="n"/>
      <c r="H292" s="9" t="n"/>
      <c r="I292" s="9" t="n"/>
      <c r="J292" s="3" t="n"/>
      <c r="K292" s="9" t="n"/>
    </row>
    <row r="293">
      <c r="A293" s="4" t="n"/>
      <c r="B293" s="9">
        <f>IF(A293="","",INT((DAY(A293)-1)/7)+1)</f>
        <v/>
      </c>
      <c r="C293" s="9" t="n"/>
      <c r="D293" s="9" t="n"/>
      <c r="E293" s="9" t="n"/>
      <c r="F293" s="9" t="n"/>
      <c r="G293" s="9" t="n"/>
      <c r="H293" s="9" t="n"/>
      <c r="I293" s="9" t="n"/>
      <c r="J293" s="3" t="n"/>
      <c r="K293" s="9" t="n"/>
    </row>
    <row r="294">
      <c r="A294" s="4" t="n"/>
      <c r="B294" s="9">
        <f>IF(A294="","",INT((DAY(A294)-1)/7)+1)</f>
        <v/>
      </c>
      <c r="C294" s="9" t="n"/>
      <c r="D294" s="9" t="n"/>
      <c r="E294" s="9" t="n"/>
      <c r="F294" s="9" t="n"/>
      <c r="G294" s="9" t="n"/>
      <c r="H294" s="9" t="n"/>
      <c r="I294" s="9" t="n"/>
      <c r="J294" s="3" t="n"/>
      <c r="K294" s="9" t="n"/>
    </row>
    <row r="295">
      <c r="A295" s="4" t="n"/>
      <c r="B295" s="9">
        <f>IF(A295="","",INT((DAY(A295)-1)/7)+1)</f>
        <v/>
      </c>
      <c r="C295" s="9" t="n"/>
      <c r="D295" s="9" t="n"/>
      <c r="E295" s="9" t="n"/>
      <c r="F295" s="9" t="n"/>
      <c r="G295" s="9" t="n"/>
      <c r="H295" s="9" t="n"/>
      <c r="I295" s="9" t="n"/>
      <c r="J295" s="3" t="n"/>
      <c r="K295" s="9" t="n"/>
    </row>
    <row r="296">
      <c r="A296" s="4" t="n"/>
      <c r="B296" s="9">
        <f>IF(A296="","",INT((DAY(A296)-1)/7)+1)</f>
        <v/>
      </c>
      <c r="C296" s="9" t="n"/>
      <c r="D296" s="9" t="n"/>
      <c r="E296" s="9" t="n"/>
      <c r="F296" s="9" t="n"/>
      <c r="G296" s="9" t="n"/>
      <c r="H296" s="9" t="n"/>
      <c r="I296" s="9" t="n"/>
      <c r="J296" s="3" t="n"/>
      <c r="K296" s="9" t="n"/>
    </row>
    <row r="297">
      <c r="A297" s="4" t="n"/>
      <c r="B297" s="9">
        <f>IF(A297="","",INT((DAY(A297)-1)/7)+1)</f>
        <v/>
      </c>
      <c r="C297" s="9" t="n"/>
      <c r="D297" s="9" t="n"/>
      <c r="E297" s="9" t="n"/>
      <c r="F297" s="9" t="n"/>
      <c r="G297" s="9" t="n"/>
      <c r="H297" s="9" t="n"/>
      <c r="I297" s="9" t="n"/>
      <c r="J297" s="3" t="n"/>
      <c r="K297" s="9" t="n"/>
    </row>
    <row r="298">
      <c r="A298" s="4" t="n"/>
      <c r="B298" s="9">
        <f>IF(A298="","",INT((DAY(A298)-1)/7)+1)</f>
        <v/>
      </c>
      <c r="C298" s="9" t="n"/>
      <c r="D298" s="9" t="n"/>
      <c r="E298" s="9" t="n"/>
      <c r="F298" s="9" t="n"/>
      <c r="G298" s="9" t="n"/>
      <c r="H298" s="9" t="n"/>
      <c r="I298" s="9" t="n"/>
      <c r="J298" s="3" t="n"/>
      <c r="K298" s="9" t="n"/>
    </row>
    <row r="299">
      <c r="A299" s="4" t="n"/>
      <c r="B299" s="9">
        <f>IF(A299="","",INT((DAY(A299)-1)/7)+1)</f>
        <v/>
      </c>
      <c r="C299" s="9" t="n"/>
      <c r="D299" s="9" t="n"/>
      <c r="E299" s="9" t="n"/>
      <c r="F299" s="9" t="n"/>
      <c r="G299" s="9" t="n"/>
      <c r="H299" s="9" t="n"/>
      <c r="I299" s="9" t="n"/>
      <c r="J299" s="3" t="n"/>
      <c r="K299" s="9" t="n"/>
    </row>
    <row r="300">
      <c r="A300" s="4" t="n"/>
      <c r="B300" s="9">
        <f>IF(A300="","",INT((DAY(A300)-1)/7)+1)</f>
        <v/>
      </c>
      <c r="C300" s="9" t="n"/>
      <c r="D300" s="9" t="n"/>
      <c r="E300" s="9" t="n"/>
      <c r="F300" s="9" t="n"/>
      <c r="G300" s="9" t="n"/>
      <c r="H300" s="9" t="n"/>
      <c r="I300" s="9" t="n"/>
      <c r="J300" s="3" t="n"/>
      <c r="K300" s="9" t="n"/>
    </row>
    <row r="301">
      <c r="A301" s="4" t="n"/>
      <c r="B301" s="9">
        <f>IF(A301="","",INT((DAY(A301)-1)/7)+1)</f>
        <v/>
      </c>
      <c r="C301" s="9" t="n"/>
      <c r="D301" s="9" t="n"/>
      <c r="E301" s="9" t="n"/>
      <c r="F301" s="9" t="n"/>
      <c r="G301" s="9" t="n"/>
      <c r="H301" s="9" t="n"/>
      <c r="I301" s="9" t="n"/>
      <c r="J301" s="3" t="n"/>
      <c r="K301" s="9" t="n"/>
    </row>
    <row r="302">
      <c r="A302" s="4" t="n"/>
      <c r="B302" s="9">
        <f>IF(A302="","",INT((DAY(A302)-1)/7)+1)</f>
        <v/>
      </c>
      <c r="C302" s="9" t="n"/>
      <c r="D302" s="9" t="n"/>
      <c r="E302" s="9" t="n"/>
      <c r="F302" s="9" t="n"/>
      <c r="G302" s="9" t="n"/>
      <c r="H302" s="9" t="n"/>
      <c r="I302" s="9" t="n"/>
      <c r="J302" s="3" t="n"/>
      <c r="K302" s="9" t="n"/>
    </row>
    <row r="303">
      <c r="A303" s="4" t="n"/>
      <c r="B303" s="9">
        <f>IF(A303="","",INT((DAY(A303)-1)/7)+1)</f>
        <v/>
      </c>
      <c r="C303" s="9" t="n"/>
      <c r="D303" s="9" t="n"/>
      <c r="E303" s="9" t="n"/>
      <c r="F303" s="9" t="n"/>
      <c r="G303" s="9" t="n"/>
      <c r="H303" s="9" t="n"/>
      <c r="I303" s="9" t="n"/>
      <c r="J303" s="3" t="n"/>
      <c r="K303" s="9" t="n"/>
    </row>
    <row r="304">
      <c r="A304" s="4" t="n"/>
      <c r="B304" s="9">
        <f>IF(A304="","",INT((DAY(A304)-1)/7)+1)</f>
        <v/>
      </c>
      <c r="C304" s="9" t="n"/>
      <c r="D304" s="9" t="n"/>
      <c r="E304" s="9" t="n"/>
      <c r="F304" s="9" t="n"/>
      <c r="G304" s="9" t="n"/>
      <c r="H304" s="9" t="n"/>
      <c r="I304" s="9" t="n"/>
      <c r="J304" s="3" t="n"/>
      <c r="K304" s="9" t="n"/>
    </row>
    <row r="305">
      <c r="A305" s="4" t="n"/>
      <c r="B305" s="9">
        <f>IF(A305="","",INT((DAY(A305)-1)/7)+1)</f>
        <v/>
      </c>
      <c r="C305" s="9" t="n"/>
      <c r="D305" s="9" t="n"/>
      <c r="E305" s="9" t="n"/>
      <c r="F305" s="9" t="n"/>
      <c r="G305" s="9" t="n"/>
      <c r="H305" s="9" t="n"/>
      <c r="I305" s="9" t="n"/>
      <c r="J305" s="3" t="n"/>
      <c r="K305" s="9" t="n"/>
    </row>
    <row r="306">
      <c r="A306" s="4" t="n"/>
      <c r="B306" s="9">
        <f>IF(A306="","",INT((DAY(A306)-1)/7)+1)</f>
        <v/>
      </c>
      <c r="C306" s="9" t="n"/>
      <c r="D306" s="9" t="n"/>
      <c r="E306" s="9" t="n"/>
      <c r="F306" s="9" t="n"/>
      <c r="G306" s="9" t="n"/>
      <c r="H306" s="9" t="n"/>
      <c r="I306" s="9" t="n"/>
      <c r="J306" s="3" t="n"/>
      <c r="K306" s="9" t="n"/>
    </row>
    <row r="307">
      <c r="A307" s="4" t="n"/>
      <c r="B307" s="9">
        <f>IF(A307="","",INT((DAY(A307)-1)/7)+1)</f>
        <v/>
      </c>
      <c r="C307" s="9" t="n"/>
      <c r="D307" s="9" t="n"/>
      <c r="E307" s="9" t="n"/>
      <c r="F307" s="9" t="n"/>
      <c r="G307" s="9" t="n"/>
      <c r="H307" s="9" t="n"/>
      <c r="I307" s="9" t="n"/>
      <c r="J307" s="3" t="n"/>
      <c r="K307" s="9" t="n"/>
    </row>
    <row r="308">
      <c r="A308" s="4" t="n"/>
      <c r="B308" s="9">
        <f>IF(A308="","",INT((DAY(A308)-1)/7)+1)</f>
        <v/>
      </c>
      <c r="C308" s="9" t="n"/>
      <c r="D308" s="9" t="n"/>
      <c r="E308" s="9" t="n"/>
      <c r="F308" s="9" t="n"/>
      <c r="G308" s="9" t="n"/>
      <c r="H308" s="9" t="n"/>
      <c r="I308" s="9" t="n"/>
      <c r="J308" s="3" t="n"/>
      <c r="K308" s="9" t="n"/>
    </row>
    <row r="309">
      <c r="A309" s="4" t="n"/>
      <c r="B309" s="9">
        <f>IF(A309="","",INT((DAY(A309)-1)/7)+1)</f>
        <v/>
      </c>
      <c r="C309" s="9" t="n"/>
      <c r="D309" s="9" t="n"/>
      <c r="E309" s="9" t="n"/>
      <c r="F309" s="9" t="n"/>
      <c r="G309" s="9" t="n"/>
      <c r="H309" s="9" t="n"/>
      <c r="I309" s="9" t="n"/>
      <c r="J309" s="3" t="n"/>
      <c r="K309" s="9" t="n"/>
    </row>
    <row r="310">
      <c r="A310" s="4" t="n"/>
      <c r="B310" s="9">
        <f>IF(A310="","",INT((DAY(A310)-1)/7)+1)</f>
        <v/>
      </c>
      <c r="C310" s="9" t="n"/>
      <c r="D310" s="9" t="n"/>
      <c r="E310" s="9" t="n"/>
      <c r="F310" s="9" t="n"/>
      <c r="G310" s="9" t="n"/>
      <c r="H310" s="9" t="n"/>
      <c r="I310" s="9" t="n"/>
      <c r="J310" s="3" t="n"/>
      <c r="K310" s="9" t="n"/>
    </row>
    <row r="311">
      <c r="A311" s="4" t="n"/>
      <c r="B311" s="9">
        <f>IF(A311="","",INT((DAY(A311)-1)/7)+1)</f>
        <v/>
      </c>
      <c r="C311" s="9" t="n"/>
      <c r="D311" s="9" t="n"/>
      <c r="E311" s="9" t="n"/>
      <c r="F311" s="9" t="n"/>
      <c r="G311" s="9" t="n"/>
      <c r="H311" s="9" t="n"/>
      <c r="I311" s="9" t="n"/>
      <c r="J311" s="3" t="n"/>
      <c r="K311" s="9" t="n"/>
    </row>
    <row r="312">
      <c r="A312" s="4" t="n"/>
      <c r="B312" s="9">
        <f>IF(A312="","",INT((DAY(A312)-1)/7)+1)</f>
        <v/>
      </c>
      <c r="C312" s="9" t="n"/>
      <c r="D312" s="9" t="n"/>
      <c r="E312" s="9" t="n"/>
      <c r="F312" s="9" t="n"/>
      <c r="G312" s="9" t="n"/>
      <c r="H312" s="9" t="n"/>
      <c r="I312" s="9" t="n"/>
      <c r="J312" s="3" t="n"/>
      <c r="K312" s="9" t="n"/>
    </row>
    <row r="313">
      <c r="A313" s="4" t="n"/>
      <c r="B313" s="9">
        <f>IF(A313="","",INT((DAY(A313)-1)/7)+1)</f>
        <v/>
      </c>
      <c r="C313" s="9" t="n"/>
      <c r="D313" s="9" t="n"/>
      <c r="E313" s="9" t="n"/>
      <c r="F313" s="9" t="n"/>
      <c r="G313" s="9" t="n"/>
      <c r="H313" s="9" t="n"/>
      <c r="I313" s="9" t="n"/>
      <c r="J313" s="3" t="n"/>
      <c r="K313" s="9" t="n"/>
    </row>
    <row r="314">
      <c r="A314" s="4" t="n"/>
      <c r="B314" s="9">
        <f>IF(A314="","",INT((DAY(A314)-1)/7)+1)</f>
        <v/>
      </c>
      <c r="C314" s="9" t="n"/>
      <c r="D314" s="9" t="n"/>
      <c r="E314" s="9" t="n"/>
      <c r="F314" s="9" t="n"/>
      <c r="G314" s="9" t="n"/>
      <c r="H314" s="9" t="n"/>
      <c r="I314" s="9" t="n"/>
      <c r="J314" s="3" t="n"/>
      <c r="K314" s="9" t="n"/>
    </row>
    <row r="315">
      <c r="A315" s="4" t="n"/>
      <c r="B315" s="9">
        <f>IF(A315="","",INT((DAY(A315)-1)/7)+1)</f>
        <v/>
      </c>
      <c r="C315" s="9" t="n"/>
      <c r="D315" s="9" t="n"/>
      <c r="E315" s="9" t="n"/>
      <c r="F315" s="9" t="n"/>
      <c r="G315" s="9" t="n"/>
      <c r="H315" s="9" t="n"/>
      <c r="I315" s="9" t="n"/>
      <c r="J315" s="3" t="n"/>
      <c r="K315" s="9" t="n"/>
    </row>
    <row r="316">
      <c r="A316" s="4" t="n"/>
      <c r="B316" s="9">
        <f>IF(A316="","",INT((DAY(A316)-1)/7)+1)</f>
        <v/>
      </c>
      <c r="C316" s="9" t="n"/>
      <c r="D316" s="9" t="n"/>
      <c r="E316" s="9" t="n"/>
      <c r="F316" s="9" t="n"/>
      <c r="G316" s="9" t="n"/>
      <c r="H316" s="9" t="n"/>
      <c r="I316" s="9" t="n"/>
      <c r="J316" s="3" t="n"/>
      <c r="K316" s="9" t="n"/>
    </row>
    <row r="317">
      <c r="A317" s="4" t="n"/>
      <c r="B317" s="9">
        <f>IF(A317="","",INT((DAY(A317)-1)/7)+1)</f>
        <v/>
      </c>
      <c r="C317" s="9" t="n"/>
      <c r="D317" s="9" t="n"/>
      <c r="E317" s="9" t="n"/>
      <c r="F317" s="9" t="n"/>
      <c r="G317" s="9" t="n"/>
      <c r="H317" s="9" t="n"/>
      <c r="I317" s="9" t="n"/>
      <c r="J317" s="3" t="n"/>
      <c r="K317" s="9" t="n"/>
    </row>
    <row r="318">
      <c r="A318" s="4" t="n"/>
      <c r="B318" s="9">
        <f>IF(A318="","",INT((DAY(A318)-1)/7)+1)</f>
        <v/>
      </c>
      <c r="C318" s="9" t="n"/>
      <c r="D318" s="9" t="n"/>
      <c r="E318" s="9" t="n"/>
      <c r="F318" s="9" t="n"/>
      <c r="G318" s="9" t="n"/>
      <c r="H318" s="9" t="n"/>
      <c r="I318" s="9" t="n"/>
      <c r="J318" s="3" t="n"/>
      <c r="K318" s="9" t="n"/>
    </row>
    <row r="319">
      <c r="A319" s="4" t="n"/>
      <c r="B319" s="9">
        <f>IF(A319="","",INT((DAY(A319)-1)/7)+1)</f>
        <v/>
      </c>
      <c r="C319" s="9" t="n"/>
      <c r="D319" s="9" t="n"/>
      <c r="E319" s="9" t="n"/>
      <c r="F319" s="9" t="n"/>
      <c r="G319" s="9" t="n"/>
      <c r="H319" s="9" t="n"/>
      <c r="I319" s="9" t="n"/>
      <c r="J319" s="3" t="n"/>
      <c r="K319" s="9" t="n"/>
    </row>
    <row r="320">
      <c r="A320" s="4" t="n"/>
      <c r="B320" s="9">
        <f>IF(A320="","",INT((DAY(A320)-1)/7)+1)</f>
        <v/>
      </c>
      <c r="C320" s="9" t="n"/>
      <c r="D320" s="9" t="n"/>
      <c r="E320" s="9" t="n"/>
      <c r="F320" s="9" t="n"/>
      <c r="G320" s="9" t="n"/>
      <c r="H320" s="9" t="n"/>
      <c r="I320" s="9" t="n"/>
      <c r="J320" s="3" t="n"/>
      <c r="K320" s="9" t="n"/>
    </row>
    <row r="321">
      <c r="A321" s="4" t="n"/>
      <c r="B321" s="9">
        <f>IF(A321="","",INT((DAY(A321)-1)/7)+1)</f>
        <v/>
      </c>
      <c r="C321" s="9" t="n"/>
      <c r="D321" s="9" t="n"/>
      <c r="E321" s="9" t="n"/>
      <c r="F321" s="9" t="n"/>
      <c r="G321" s="9" t="n"/>
      <c r="H321" s="9" t="n"/>
      <c r="I321" s="9" t="n"/>
      <c r="J321" s="3" t="n"/>
      <c r="K321" s="9" t="n"/>
    </row>
    <row r="322">
      <c r="A322" s="4" t="n"/>
      <c r="B322" s="9">
        <f>IF(A322="","",INT((DAY(A322)-1)/7)+1)</f>
        <v/>
      </c>
      <c r="C322" s="9" t="n"/>
      <c r="D322" s="9" t="n"/>
      <c r="E322" s="9" t="n"/>
      <c r="F322" s="9" t="n"/>
      <c r="G322" s="9" t="n"/>
      <c r="H322" s="9" t="n"/>
      <c r="I322" s="9" t="n"/>
      <c r="J322" s="3" t="n"/>
      <c r="K322" s="9" t="n"/>
    </row>
    <row r="323">
      <c r="A323" s="4" t="n"/>
      <c r="B323" s="9">
        <f>IF(A323="","",INT((DAY(A323)-1)/7)+1)</f>
        <v/>
      </c>
      <c r="C323" s="9" t="n"/>
      <c r="D323" s="9" t="n"/>
      <c r="E323" s="9" t="n"/>
      <c r="F323" s="9" t="n"/>
      <c r="G323" s="9" t="n"/>
      <c r="H323" s="9" t="n"/>
      <c r="I323" s="9" t="n"/>
      <c r="J323" s="3" t="n"/>
      <c r="K323" s="9" t="n"/>
    </row>
    <row r="324">
      <c r="A324" s="4" t="n"/>
      <c r="B324" s="9">
        <f>IF(A324="","",INT((DAY(A324)-1)/7)+1)</f>
        <v/>
      </c>
      <c r="C324" s="9" t="n"/>
      <c r="D324" s="9" t="n"/>
      <c r="E324" s="9" t="n"/>
      <c r="F324" s="9" t="n"/>
      <c r="G324" s="9" t="n"/>
      <c r="H324" s="9" t="n"/>
      <c r="I324" s="9" t="n"/>
      <c r="J324" s="3" t="n"/>
      <c r="K324" s="9" t="n"/>
    </row>
    <row r="325">
      <c r="A325" s="4" t="n"/>
      <c r="B325" s="9">
        <f>IF(A325="","",INT((DAY(A325)-1)/7)+1)</f>
        <v/>
      </c>
      <c r="C325" s="9" t="n"/>
      <c r="D325" s="9" t="n"/>
      <c r="E325" s="9" t="n"/>
      <c r="F325" s="9" t="n"/>
      <c r="G325" s="9" t="n"/>
      <c r="H325" s="9" t="n"/>
      <c r="I325" s="9" t="n"/>
      <c r="J325" s="3" t="n"/>
      <c r="K325" s="9" t="n"/>
    </row>
    <row r="326">
      <c r="A326" s="4" t="n"/>
      <c r="B326" s="9">
        <f>IF(A326="","",INT((DAY(A326)-1)/7)+1)</f>
        <v/>
      </c>
      <c r="C326" s="9" t="n"/>
      <c r="D326" s="9" t="n"/>
      <c r="E326" s="9" t="n"/>
      <c r="F326" s="9" t="n"/>
      <c r="G326" s="9" t="n"/>
      <c r="H326" s="9" t="n"/>
      <c r="I326" s="9" t="n"/>
      <c r="J326" s="3" t="n"/>
      <c r="K326" s="9" t="n"/>
    </row>
    <row r="327">
      <c r="A327" s="4" t="n"/>
      <c r="B327" s="9">
        <f>IF(A327="","",INT((DAY(A327)-1)/7)+1)</f>
        <v/>
      </c>
      <c r="C327" s="9" t="n"/>
      <c r="D327" s="9" t="n"/>
      <c r="E327" s="9" t="n"/>
      <c r="F327" s="9" t="n"/>
      <c r="G327" s="9" t="n"/>
      <c r="H327" s="9" t="n"/>
      <c r="I327" s="9" t="n"/>
      <c r="J327" s="3" t="n"/>
      <c r="K327" s="9" t="n"/>
    </row>
    <row r="328">
      <c r="A328" s="4" t="n"/>
      <c r="B328" s="9">
        <f>IF(A328="","",INT((DAY(A328)-1)/7)+1)</f>
        <v/>
      </c>
      <c r="C328" s="9" t="n"/>
      <c r="D328" s="9" t="n"/>
      <c r="E328" s="9" t="n"/>
      <c r="F328" s="9" t="n"/>
      <c r="G328" s="9" t="n"/>
      <c r="H328" s="9" t="n"/>
      <c r="I328" s="9" t="n"/>
      <c r="J328" s="3" t="n"/>
      <c r="K328" s="9" t="n"/>
    </row>
    <row r="329">
      <c r="A329" s="4" t="n"/>
      <c r="B329" s="9">
        <f>IF(A329="","",INT((DAY(A329)-1)/7)+1)</f>
        <v/>
      </c>
      <c r="C329" s="9" t="n"/>
      <c r="D329" s="9" t="n"/>
      <c r="E329" s="9" t="n"/>
      <c r="F329" s="9" t="n"/>
      <c r="G329" s="9" t="n"/>
      <c r="H329" s="9" t="n"/>
      <c r="I329" s="9" t="n"/>
      <c r="J329" s="3" t="n"/>
      <c r="K329" s="9" t="n"/>
    </row>
    <row r="330">
      <c r="A330" s="4" t="n"/>
      <c r="B330" s="9">
        <f>IF(A330="","",INT((DAY(A330)-1)/7)+1)</f>
        <v/>
      </c>
      <c r="C330" s="9" t="n"/>
      <c r="D330" s="9" t="n"/>
      <c r="E330" s="9" t="n"/>
      <c r="F330" s="9" t="n"/>
      <c r="G330" s="9" t="n"/>
      <c r="H330" s="9" t="n"/>
      <c r="I330" s="9" t="n"/>
      <c r="J330" s="3" t="n"/>
      <c r="K330" s="9" t="n"/>
    </row>
    <row r="331">
      <c r="A331" s="4" t="n"/>
      <c r="B331" s="9">
        <f>IF(A331="","",INT((DAY(A331)-1)/7)+1)</f>
        <v/>
      </c>
      <c r="C331" s="9" t="n"/>
      <c r="D331" s="9" t="n"/>
      <c r="E331" s="9" t="n"/>
      <c r="F331" s="9" t="n"/>
      <c r="G331" s="9" t="n"/>
      <c r="H331" s="9" t="n"/>
      <c r="I331" s="9" t="n"/>
      <c r="J331" s="3" t="n"/>
      <c r="K331" s="9" t="n"/>
    </row>
    <row r="332">
      <c r="A332" s="4" t="n"/>
      <c r="B332" s="9">
        <f>IF(A332="","",INT((DAY(A332)-1)/7)+1)</f>
        <v/>
      </c>
      <c r="C332" s="9" t="n"/>
      <c r="D332" s="9" t="n"/>
      <c r="E332" s="9" t="n"/>
      <c r="F332" s="9" t="n"/>
      <c r="G332" s="9" t="n"/>
      <c r="H332" s="9" t="n"/>
      <c r="I332" s="9" t="n"/>
      <c r="J332" s="3" t="n"/>
      <c r="K332" s="9" t="n"/>
    </row>
    <row r="333">
      <c r="A333" s="4" t="n"/>
      <c r="B333" s="9">
        <f>IF(A333="","",INT((DAY(A333)-1)/7)+1)</f>
        <v/>
      </c>
      <c r="C333" s="9" t="n"/>
      <c r="D333" s="9" t="n"/>
      <c r="E333" s="9" t="n"/>
      <c r="F333" s="9" t="n"/>
      <c r="G333" s="9" t="n"/>
      <c r="H333" s="9" t="n"/>
      <c r="I333" s="9" t="n"/>
      <c r="J333" s="3" t="n"/>
      <c r="K333" s="9" t="n"/>
    </row>
    <row r="334">
      <c r="A334" s="4" t="n"/>
      <c r="B334" s="9">
        <f>IF(A334="","",INT((DAY(A334)-1)/7)+1)</f>
        <v/>
      </c>
      <c r="C334" s="9" t="n"/>
      <c r="D334" s="9" t="n"/>
      <c r="E334" s="9" t="n"/>
      <c r="F334" s="9" t="n"/>
      <c r="G334" s="9" t="n"/>
      <c r="H334" s="9" t="n"/>
      <c r="I334" s="9" t="n"/>
      <c r="J334" s="3" t="n"/>
      <c r="K334" s="9" t="n"/>
    </row>
    <row r="335">
      <c r="A335" s="4" t="n"/>
      <c r="B335" s="9">
        <f>IF(A335="","",INT((DAY(A335)-1)/7)+1)</f>
        <v/>
      </c>
      <c r="C335" s="9" t="n"/>
      <c r="D335" s="9" t="n"/>
      <c r="E335" s="9" t="n"/>
      <c r="F335" s="9" t="n"/>
      <c r="G335" s="9" t="n"/>
      <c r="H335" s="9" t="n"/>
      <c r="I335" s="9" t="n"/>
      <c r="J335" s="3" t="n"/>
      <c r="K335" s="9" t="n"/>
    </row>
    <row r="336">
      <c r="A336" s="4" t="n"/>
      <c r="B336" s="9">
        <f>IF(A336="","",INT((DAY(A336)-1)/7)+1)</f>
        <v/>
      </c>
      <c r="C336" s="9" t="n"/>
      <c r="D336" s="9" t="n"/>
      <c r="E336" s="9" t="n"/>
      <c r="F336" s="9" t="n"/>
      <c r="G336" s="9" t="n"/>
      <c r="H336" s="9" t="n"/>
      <c r="I336" s="9" t="n"/>
      <c r="J336" s="3" t="n"/>
      <c r="K336" s="9" t="n"/>
    </row>
    <row r="337">
      <c r="A337" s="4" t="n"/>
      <c r="B337" s="9">
        <f>IF(A337="","",INT((DAY(A337)-1)/7)+1)</f>
        <v/>
      </c>
      <c r="C337" s="9" t="n"/>
      <c r="D337" s="9" t="n"/>
      <c r="E337" s="9" t="n"/>
      <c r="F337" s="9" t="n"/>
      <c r="G337" s="9" t="n"/>
      <c r="H337" s="9" t="n"/>
      <c r="I337" s="9" t="n"/>
      <c r="J337" s="3" t="n"/>
      <c r="K337" s="9" t="n"/>
    </row>
    <row r="338">
      <c r="A338" s="4" t="n"/>
      <c r="B338" s="9">
        <f>IF(A338="","",INT((DAY(A338)-1)/7)+1)</f>
        <v/>
      </c>
      <c r="C338" s="9" t="n"/>
      <c r="D338" s="9" t="n"/>
      <c r="E338" s="9" t="n"/>
      <c r="F338" s="9" t="n"/>
      <c r="G338" s="9" t="n"/>
      <c r="H338" s="9" t="n"/>
      <c r="I338" s="9" t="n"/>
      <c r="J338" s="3" t="n"/>
      <c r="K338" s="9" t="n"/>
    </row>
    <row r="339">
      <c r="A339" s="4" t="n"/>
      <c r="B339" s="9">
        <f>IF(A339="","",INT((DAY(A339)-1)/7)+1)</f>
        <v/>
      </c>
      <c r="C339" s="9" t="n"/>
      <c r="D339" s="9" t="n"/>
      <c r="E339" s="9" t="n"/>
      <c r="F339" s="9" t="n"/>
      <c r="G339" s="9" t="n"/>
      <c r="H339" s="9" t="n"/>
      <c r="I339" s="9" t="n"/>
      <c r="J339" s="3" t="n"/>
      <c r="K339" s="9" t="n"/>
    </row>
    <row r="340">
      <c r="A340" s="4" t="n"/>
      <c r="B340" s="9">
        <f>IF(A340="","",INT((DAY(A340)-1)/7)+1)</f>
        <v/>
      </c>
      <c r="C340" s="9" t="n"/>
      <c r="D340" s="9" t="n"/>
      <c r="E340" s="9" t="n"/>
      <c r="F340" s="9" t="n"/>
      <c r="G340" s="9" t="n"/>
      <c r="H340" s="9" t="n"/>
      <c r="I340" s="9" t="n"/>
      <c r="J340" s="3" t="n"/>
      <c r="K340" s="9" t="n"/>
    </row>
    <row r="341">
      <c r="A341" s="4" t="n"/>
      <c r="B341" s="9">
        <f>IF(A341="","",INT((DAY(A341)-1)/7)+1)</f>
        <v/>
      </c>
      <c r="C341" s="9" t="n"/>
      <c r="D341" s="9" t="n"/>
      <c r="E341" s="9" t="n"/>
      <c r="F341" s="9" t="n"/>
      <c r="G341" s="9" t="n"/>
      <c r="H341" s="9" t="n"/>
      <c r="I341" s="9" t="n"/>
      <c r="J341" s="3" t="n"/>
      <c r="K341" s="9" t="n"/>
    </row>
    <row r="342">
      <c r="A342" s="4" t="n"/>
      <c r="B342" s="9">
        <f>IF(A342="","",INT((DAY(A342)-1)/7)+1)</f>
        <v/>
      </c>
      <c r="C342" s="9" t="n"/>
      <c r="D342" s="9" t="n"/>
      <c r="E342" s="9" t="n"/>
      <c r="F342" s="9" t="n"/>
      <c r="G342" s="9" t="n"/>
      <c r="H342" s="9" t="n"/>
      <c r="I342" s="9" t="n"/>
      <c r="J342" s="3" t="n"/>
      <c r="K342" s="9" t="n"/>
    </row>
    <row r="343">
      <c r="A343" s="4" t="n"/>
      <c r="B343" s="9">
        <f>IF(A343="","",INT((DAY(A343)-1)/7)+1)</f>
        <v/>
      </c>
      <c r="C343" s="9" t="n"/>
      <c r="D343" s="9" t="n"/>
      <c r="E343" s="9" t="n"/>
      <c r="F343" s="9" t="n"/>
      <c r="G343" s="9" t="n"/>
      <c r="H343" s="9" t="n"/>
      <c r="I343" s="9" t="n"/>
      <c r="J343" s="3" t="n"/>
      <c r="K343" s="9" t="n"/>
    </row>
    <row r="344">
      <c r="A344" s="4" t="n"/>
      <c r="B344" s="9">
        <f>IF(A344="","",INT((DAY(A344)-1)/7)+1)</f>
        <v/>
      </c>
      <c r="C344" s="9" t="n"/>
      <c r="D344" s="9" t="n"/>
      <c r="E344" s="9" t="n"/>
      <c r="F344" s="9" t="n"/>
      <c r="G344" s="9" t="n"/>
      <c r="H344" s="9" t="n"/>
      <c r="I344" s="9" t="n"/>
      <c r="J344" s="3" t="n"/>
      <c r="K344" s="9" t="n"/>
    </row>
    <row r="345">
      <c r="A345" s="4" t="n"/>
      <c r="B345" s="9">
        <f>IF(A345="","",INT((DAY(A345)-1)/7)+1)</f>
        <v/>
      </c>
      <c r="C345" s="9" t="n"/>
      <c r="D345" s="9" t="n"/>
      <c r="E345" s="9" t="n"/>
      <c r="F345" s="9" t="n"/>
      <c r="G345" s="9" t="n"/>
      <c r="H345" s="9" t="n"/>
      <c r="I345" s="9" t="n"/>
      <c r="J345" s="3" t="n"/>
      <c r="K345" s="9" t="n"/>
    </row>
    <row r="346">
      <c r="A346" s="4" t="n"/>
      <c r="B346" s="9">
        <f>IF(A346="","",INT((DAY(A346)-1)/7)+1)</f>
        <v/>
      </c>
      <c r="C346" s="9" t="n"/>
      <c r="D346" s="9" t="n"/>
      <c r="E346" s="9" t="n"/>
      <c r="F346" s="9" t="n"/>
      <c r="G346" s="9" t="n"/>
      <c r="H346" s="9" t="n"/>
      <c r="I346" s="9" t="n"/>
      <c r="J346" s="3" t="n"/>
      <c r="K346" s="9" t="n"/>
    </row>
    <row r="347">
      <c r="A347" s="4" t="n"/>
      <c r="B347" s="9">
        <f>IF(A347="","",INT((DAY(A347)-1)/7)+1)</f>
        <v/>
      </c>
      <c r="C347" s="9" t="n"/>
      <c r="D347" s="9" t="n"/>
      <c r="E347" s="9" t="n"/>
      <c r="F347" s="9" t="n"/>
      <c r="G347" s="9" t="n"/>
      <c r="H347" s="9" t="n"/>
      <c r="I347" s="9" t="n"/>
      <c r="J347" s="3" t="n"/>
      <c r="K347" s="9" t="n"/>
    </row>
    <row r="348">
      <c r="A348" s="4" t="n"/>
      <c r="B348" s="9">
        <f>IF(A348="","",INT((DAY(A348)-1)/7)+1)</f>
        <v/>
      </c>
      <c r="C348" s="9" t="n"/>
      <c r="D348" s="9" t="n"/>
      <c r="E348" s="9" t="n"/>
      <c r="F348" s="9" t="n"/>
      <c r="G348" s="9" t="n"/>
      <c r="H348" s="9" t="n"/>
      <c r="I348" s="9" t="n"/>
      <c r="J348" s="3" t="n"/>
      <c r="K348" s="9" t="n"/>
    </row>
    <row r="349">
      <c r="A349" s="4" t="n"/>
      <c r="B349" s="9">
        <f>IF(A349="","",INT((DAY(A349)-1)/7)+1)</f>
        <v/>
      </c>
      <c r="C349" s="9" t="n"/>
      <c r="D349" s="9" t="n"/>
      <c r="E349" s="9" t="n"/>
      <c r="F349" s="9" t="n"/>
      <c r="G349" s="9" t="n"/>
      <c r="H349" s="9" t="n"/>
      <c r="I349" s="9" t="n"/>
      <c r="J349" s="3" t="n"/>
      <c r="K349" s="9" t="n"/>
    </row>
    <row r="350">
      <c r="A350" s="4" t="n"/>
      <c r="B350" s="9">
        <f>IF(A350="","",INT((DAY(A350)-1)/7)+1)</f>
        <v/>
      </c>
      <c r="C350" s="9" t="n"/>
      <c r="D350" s="9" t="n"/>
      <c r="E350" s="9" t="n"/>
      <c r="F350" s="9" t="n"/>
      <c r="G350" s="9" t="n"/>
      <c r="H350" s="9" t="n"/>
      <c r="I350" s="9" t="n"/>
      <c r="J350" s="3" t="n"/>
      <c r="K350" s="9" t="n"/>
    </row>
    <row r="351">
      <c r="A351" s="4" t="n"/>
      <c r="B351" s="9">
        <f>IF(A351="","",INT((DAY(A351)-1)/7)+1)</f>
        <v/>
      </c>
      <c r="C351" s="9" t="n"/>
      <c r="D351" s="9" t="n"/>
      <c r="E351" s="9" t="n"/>
      <c r="F351" s="9" t="n"/>
      <c r="G351" s="9" t="n"/>
      <c r="H351" s="9" t="n"/>
      <c r="I351" s="9" t="n"/>
      <c r="J351" s="3" t="n"/>
      <c r="K351" s="9" t="n"/>
    </row>
    <row r="352">
      <c r="A352" s="4" t="n"/>
      <c r="B352" s="9">
        <f>IF(A352="","",INT((DAY(A352)-1)/7)+1)</f>
        <v/>
      </c>
      <c r="C352" s="9" t="n"/>
      <c r="D352" s="9" t="n"/>
      <c r="E352" s="9" t="n"/>
      <c r="F352" s="9" t="n"/>
      <c r="G352" s="9" t="n"/>
      <c r="H352" s="9" t="n"/>
      <c r="I352" s="9" t="n"/>
      <c r="J352" s="3" t="n"/>
      <c r="K352" s="9" t="n"/>
    </row>
    <row r="353">
      <c r="A353" s="4" t="n"/>
      <c r="B353" s="9">
        <f>IF(A353="","",INT((DAY(A353)-1)/7)+1)</f>
        <v/>
      </c>
      <c r="C353" s="9" t="n"/>
      <c r="D353" s="9" t="n"/>
      <c r="E353" s="9" t="n"/>
      <c r="F353" s="9" t="n"/>
      <c r="G353" s="9" t="n"/>
      <c r="H353" s="9" t="n"/>
      <c r="I353" s="9" t="n"/>
      <c r="J353" s="3" t="n"/>
      <c r="K353" s="9" t="n"/>
    </row>
    <row r="354">
      <c r="A354" s="4" t="n"/>
      <c r="B354" s="9">
        <f>IF(A354="","",INT((DAY(A354)-1)/7)+1)</f>
        <v/>
      </c>
      <c r="C354" s="9" t="n"/>
      <c r="D354" s="9" t="n"/>
      <c r="E354" s="9" t="n"/>
      <c r="F354" s="9" t="n"/>
      <c r="G354" s="9" t="n"/>
      <c r="H354" s="9" t="n"/>
      <c r="I354" s="9" t="n"/>
      <c r="J354" s="3" t="n"/>
      <c r="K354" s="9" t="n"/>
    </row>
    <row r="355">
      <c r="A355" s="4" t="n"/>
      <c r="B355" s="9">
        <f>IF(A355="","",INT((DAY(A355)-1)/7)+1)</f>
        <v/>
      </c>
      <c r="C355" s="9" t="n"/>
      <c r="D355" s="9" t="n"/>
      <c r="E355" s="9" t="n"/>
      <c r="F355" s="9" t="n"/>
      <c r="G355" s="9" t="n"/>
      <c r="H355" s="9" t="n"/>
      <c r="I355" s="9" t="n"/>
      <c r="J355" s="3" t="n"/>
      <c r="K355" s="9" t="n"/>
    </row>
    <row r="356">
      <c r="A356" s="4" t="n"/>
      <c r="B356" s="9">
        <f>IF(A356="","",INT((DAY(A356)-1)/7)+1)</f>
        <v/>
      </c>
      <c r="C356" s="9" t="n"/>
      <c r="D356" s="9" t="n"/>
      <c r="E356" s="9" t="n"/>
      <c r="F356" s="9" t="n"/>
      <c r="G356" s="9" t="n"/>
      <c r="H356" s="9" t="n"/>
      <c r="I356" s="9" t="n"/>
      <c r="J356" s="3" t="n"/>
      <c r="K356" s="9" t="n"/>
    </row>
    <row r="357">
      <c r="A357" s="4" t="n"/>
      <c r="B357" s="9">
        <f>IF(A357="","",INT((DAY(A357)-1)/7)+1)</f>
        <v/>
      </c>
      <c r="C357" s="9" t="n"/>
      <c r="D357" s="9" t="n"/>
      <c r="E357" s="9" t="n"/>
      <c r="F357" s="9" t="n"/>
      <c r="G357" s="9" t="n"/>
      <c r="H357" s="9" t="n"/>
      <c r="I357" s="9" t="n"/>
      <c r="J357" s="3" t="n"/>
      <c r="K357" s="9" t="n"/>
    </row>
    <row r="358">
      <c r="A358" s="4" t="n"/>
      <c r="B358" s="9">
        <f>IF(A358="","",INT((DAY(A358)-1)/7)+1)</f>
        <v/>
      </c>
      <c r="C358" s="9" t="n"/>
      <c r="D358" s="9" t="n"/>
      <c r="E358" s="9" t="n"/>
      <c r="F358" s="9" t="n"/>
      <c r="G358" s="9" t="n"/>
      <c r="H358" s="9" t="n"/>
      <c r="I358" s="9" t="n"/>
      <c r="J358" s="3" t="n"/>
      <c r="K358" s="9" t="n"/>
    </row>
    <row r="359">
      <c r="A359" s="4" t="n"/>
      <c r="B359" s="9">
        <f>IF(A359="","",INT((DAY(A359)-1)/7)+1)</f>
        <v/>
      </c>
      <c r="C359" s="9" t="n"/>
      <c r="D359" s="9" t="n"/>
      <c r="E359" s="9" t="n"/>
      <c r="F359" s="9" t="n"/>
      <c r="G359" s="9" t="n"/>
      <c r="H359" s="9" t="n"/>
      <c r="I359" s="9" t="n"/>
      <c r="J359" s="3" t="n"/>
      <c r="K359" s="9" t="n"/>
    </row>
    <row r="360">
      <c r="A360" s="4" t="n"/>
      <c r="B360" s="9">
        <f>IF(A360="","",INT((DAY(A360)-1)/7)+1)</f>
        <v/>
      </c>
      <c r="C360" s="9" t="n"/>
      <c r="D360" s="9" t="n"/>
      <c r="E360" s="9" t="n"/>
      <c r="F360" s="9" t="n"/>
      <c r="G360" s="9" t="n"/>
      <c r="H360" s="9" t="n"/>
      <c r="I360" s="9" t="n"/>
      <c r="J360" s="3" t="n"/>
      <c r="K360" s="9" t="n"/>
    </row>
    <row r="361">
      <c r="A361" s="4" t="n"/>
      <c r="B361" s="9">
        <f>IF(A361="","",INT((DAY(A361)-1)/7)+1)</f>
        <v/>
      </c>
      <c r="C361" s="9" t="n"/>
      <c r="D361" s="9" t="n"/>
      <c r="E361" s="9" t="n"/>
      <c r="F361" s="9" t="n"/>
      <c r="G361" s="9" t="n"/>
      <c r="H361" s="9" t="n"/>
      <c r="I361" s="9" t="n"/>
      <c r="J361" s="3" t="n"/>
      <c r="K361" s="9" t="n"/>
    </row>
    <row r="362">
      <c r="A362" s="4" t="n"/>
      <c r="B362" s="9">
        <f>IF(A362="","",INT((DAY(A362)-1)/7)+1)</f>
        <v/>
      </c>
      <c r="C362" s="9" t="n"/>
      <c r="D362" s="9" t="n"/>
      <c r="E362" s="9" t="n"/>
      <c r="F362" s="9" t="n"/>
      <c r="G362" s="9" t="n"/>
      <c r="H362" s="9" t="n"/>
      <c r="I362" s="9" t="n"/>
      <c r="J362" s="3" t="n"/>
      <c r="K362" s="9" t="n"/>
    </row>
    <row r="363">
      <c r="A363" s="4" t="n"/>
      <c r="B363" s="9">
        <f>IF(A363="","",INT((DAY(A363)-1)/7)+1)</f>
        <v/>
      </c>
      <c r="C363" s="9" t="n"/>
      <c r="D363" s="9" t="n"/>
      <c r="E363" s="9" t="n"/>
      <c r="F363" s="9" t="n"/>
      <c r="G363" s="9" t="n"/>
      <c r="H363" s="9" t="n"/>
      <c r="I363" s="9" t="n"/>
      <c r="J363" s="3" t="n"/>
      <c r="K363" s="9" t="n"/>
    </row>
    <row r="364">
      <c r="A364" s="4" t="n"/>
      <c r="B364" s="9">
        <f>IF(A364="","",INT((DAY(A364)-1)/7)+1)</f>
        <v/>
      </c>
      <c r="C364" s="9" t="n"/>
      <c r="D364" s="9" t="n"/>
      <c r="E364" s="9" t="n"/>
      <c r="F364" s="9" t="n"/>
      <c r="G364" s="9" t="n"/>
      <c r="H364" s="9" t="n"/>
      <c r="I364" s="9" t="n"/>
      <c r="J364" s="3" t="n"/>
      <c r="K364" s="9" t="n"/>
    </row>
    <row r="365">
      <c r="A365" s="4" t="n"/>
      <c r="B365" s="9">
        <f>IF(A365="","",INT((DAY(A365)-1)/7)+1)</f>
        <v/>
      </c>
      <c r="C365" s="9" t="n"/>
      <c r="D365" s="9" t="n"/>
      <c r="E365" s="9" t="n"/>
      <c r="F365" s="9" t="n"/>
      <c r="G365" s="9" t="n"/>
      <c r="H365" s="9" t="n"/>
      <c r="I365" s="9" t="n"/>
      <c r="J365" s="3" t="n"/>
      <c r="K365" s="9" t="n"/>
    </row>
    <row r="366">
      <c r="A366" s="4" t="n"/>
      <c r="B366" s="9">
        <f>IF(A366="","",INT((DAY(A366)-1)/7)+1)</f>
        <v/>
      </c>
      <c r="C366" s="9" t="n"/>
      <c r="D366" s="9" t="n"/>
      <c r="E366" s="9" t="n"/>
      <c r="F366" s="9" t="n"/>
      <c r="G366" s="9" t="n"/>
      <c r="H366" s="9" t="n"/>
      <c r="I366" s="9" t="n"/>
      <c r="J366" s="3" t="n"/>
      <c r="K366" s="9" t="n"/>
    </row>
    <row r="367">
      <c r="A367" s="4" t="n"/>
      <c r="B367" s="9">
        <f>IF(A367="","",INT((DAY(A367)-1)/7)+1)</f>
        <v/>
      </c>
      <c r="C367" s="9" t="n"/>
      <c r="D367" s="9" t="n"/>
      <c r="E367" s="9" t="n"/>
      <c r="F367" s="9" t="n"/>
      <c r="G367" s="9" t="n"/>
      <c r="H367" s="9" t="n"/>
      <c r="I367" s="9" t="n"/>
      <c r="J367" s="3" t="n"/>
      <c r="K367" s="9" t="n"/>
    </row>
    <row r="368">
      <c r="A368" s="4" t="n"/>
      <c r="B368" s="9">
        <f>IF(A368="","",INT((DAY(A368)-1)/7)+1)</f>
        <v/>
      </c>
      <c r="C368" s="9" t="n"/>
      <c r="D368" s="9" t="n"/>
      <c r="E368" s="9" t="n"/>
      <c r="F368" s="9" t="n"/>
      <c r="G368" s="9" t="n"/>
      <c r="H368" s="9" t="n"/>
      <c r="I368" s="9" t="n"/>
      <c r="J368" s="3" t="n"/>
      <c r="K368" s="9" t="n"/>
    </row>
    <row r="369">
      <c r="A369" s="4" t="n"/>
      <c r="B369" s="9">
        <f>IF(A369="","",INT((DAY(A369)-1)/7)+1)</f>
        <v/>
      </c>
      <c r="C369" s="9" t="n"/>
      <c r="D369" s="9" t="n"/>
      <c r="E369" s="9" t="n"/>
      <c r="F369" s="9" t="n"/>
      <c r="G369" s="9" t="n"/>
      <c r="H369" s="9" t="n"/>
      <c r="I369" s="9" t="n"/>
      <c r="J369" s="3" t="n"/>
      <c r="K369" s="9" t="n"/>
    </row>
    <row r="370">
      <c r="A370" s="4" t="n"/>
      <c r="B370" s="9">
        <f>IF(A370="","",INT((DAY(A370)-1)/7)+1)</f>
        <v/>
      </c>
      <c r="C370" s="9" t="n"/>
      <c r="D370" s="9" t="n"/>
      <c r="E370" s="9" t="n"/>
      <c r="F370" s="9" t="n"/>
      <c r="G370" s="9" t="n"/>
      <c r="H370" s="9" t="n"/>
      <c r="I370" s="9" t="n"/>
      <c r="J370" s="3" t="n"/>
      <c r="K370" s="9" t="n"/>
    </row>
    <row r="371">
      <c r="A371" s="4" t="n"/>
      <c r="B371" s="9">
        <f>IF(A371="","",INT((DAY(A371)-1)/7)+1)</f>
        <v/>
      </c>
      <c r="C371" s="9" t="n"/>
      <c r="D371" s="9" t="n"/>
      <c r="E371" s="9" t="n"/>
      <c r="F371" s="9" t="n"/>
      <c r="G371" s="9" t="n"/>
      <c r="H371" s="9" t="n"/>
      <c r="I371" s="9" t="n"/>
      <c r="J371" s="3" t="n"/>
      <c r="K371" s="9" t="n"/>
    </row>
    <row r="372">
      <c r="A372" s="4" t="n"/>
      <c r="B372" s="9">
        <f>IF(A372="","",INT((DAY(A372)-1)/7)+1)</f>
        <v/>
      </c>
      <c r="C372" s="9" t="n"/>
      <c r="D372" s="9" t="n"/>
      <c r="E372" s="9" t="n"/>
      <c r="F372" s="9" t="n"/>
      <c r="G372" s="9" t="n"/>
      <c r="H372" s="9" t="n"/>
      <c r="I372" s="9" t="n"/>
      <c r="J372" s="3" t="n"/>
      <c r="K372" s="9" t="n"/>
    </row>
    <row r="373">
      <c r="A373" s="4" t="n"/>
      <c r="B373" s="9">
        <f>IF(A373="","",INT((DAY(A373)-1)/7)+1)</f>
        <v/>
      </c>
      <c r="C373" s="9" t="n"/>
      <c r="D373" s="9" t="n"/>
      <c r="E373" s="9" t="n"/>
      <c r="F373" s="9" t="n"/>
      <c r="G373" s="9" t="n"/>
      <c r="H373" s="9" t="n"/>
      <c r="I373" s="9" t="n"/>
      <c r="J373" s="3" t="n"/>
      <c r="K373" s="9" t="n"/>
    </row>
    <row r="374">
      <c r="A374" s="4" t="n"/>
      <c r="B374" s="9">
        <f>IF(A374="","",INT((DAY(A374)-1)/7)+1)</f>
        <v/>
      </c>
      <c r="C374" s="9" t="n"/>
      <c r="D374" s="9" t="n"/>
      <c r="E374" s="9" t="n"/>
      <c r="F374" s="9" t="n"/>
      <c r="G374" s="9" t="n"/>
      <c r="H374" s="9" t="n"/>
      <c r="I374" s="9" t="n"/>
      <c r="J374" s="3" t="n"/>
      <c r="K374" s="9" t="n"/>
    </row>
    <row r="375">
      <c r="A375" s="4" t="n"/>
      <c r="B375" s="9">
        <f>IF(A375="","",INT((DAY(A375)-1)/7)+1)</f>
        <v/>
      </c>
      <c r="C375" s="9" t="n"/>
      <c r="D375" s="9" t="n"/>
      <c r="E375" s="9" t="n"/>
      <c r="F375" s="9" t="n"/>
      <c r="G375" s="9" t="n"/>
      <c r="H375" s="9" t="n"/>
      <c r="I375" s="9" t="n"/>
      <c r="J375" s="3" t="n"/>
      <c r="K375" s="9" t="n"/>
    </row>
    <row r="376">
      <c r="A376" s="4" t="n"/>
      <c r="B376" s="9">
        <f>IF(A376="","",INT((DAY(A376)-1)/7)+1)</f>
        <v/>
      </c>
      <c r="C376" s="9" t="n"/>
      <c r="D376" s="9" t="n"/>
      <c r="E376" s="9" t="n"/>
      <c r="F376" s="9" t="n"/>
      <c r="G376" s="9" t="n"/>
      <c r="H376" s="9" t="n"/>
      <c r="I376" s="9" t="n"/>
      <c r="J376" s="3" t="n"/>
      <c r="K376" s="9" t="n"/>
    </row>
    <row r="377">
      <c r="A377" s="4" t="n"/>
      <c r="B377" s="9">
        <f>IF(A377="","",INT((DAY(A377)-1)/7)+1)</f>
        <v/>
      </c>
      <c r="C377" s="9" t="n"/>
      <c r="D377" s="9" t="n"/>
      <c r="E377" s="9" t="n"/>
      <c r="F377" s="9" t="n"/>
      <c r="G377" s="9" t="n"/>
      <c r="H377" s="9" t="n"/>
      <c r="I377" s="9" t="n"/>
      <c r="J377" s="3" t="n"/>
      <c r="K377" s="9" t="n"/>
    </row>
    <row r="378">
      <c r="A378" s="4" t="n"/>
      <c r="B378" s="9">
        <f>IF(A378="","",INT((DAY(A378)-1)/7)+1)</f>
        <v/>
      </c>
      <c r="C378" s="9" t="n"/>
      <c r="D378" s="9" t="n"/>
      <c r="E378" s="9" t="n"/>
      <c r="F378" s="9" t="n"/>
      <c r="G378" s="9" t="n"/>
      <c r="H378" s="9" t="n"/>
      <c r="I378" s="9" t="n"/>
      <c r="J378" s="3" t="n"/>
      <c r="K378" s="9" t="n"/>
    </row>
    <row r="379">
      <c r="A379" s="4" t="n"/>
      <c r="B379" s="9">
        <f>IF(A379="","",INT((DAY(A379)-1)/7)+1)</f>
        <v/>
      </c>
      <c r="C379" s="9" t="n"/>
      <c r="D379" s="9" t="n"/>
      <c r="E379" s="9" t="n"/>
      <c r="F379" s="9" t="n"/>
      <c r="G379" s="9" t="n"/>
      <c r="H379" s="9" t="n"/>
      <c r="I379" s="9" t="n"/>
      <c r="J379" s="3" t="n"/>
      <c r="K379" s="9" t="n"/>
    </row>
    <row r="380">
      <c r="A380" s="4" t="n"/>
      <c r="B380" s="9">
        <f>IF(A380="","",INT((DAY(A380)-1)/7)+1)</f>
        <v/>
      </c>
      <c r="C380" s="9" t="n"/>
      <c r="D380" s="9" t="n"/>
      <c r="E380" s="9" t="n"/>
      <c r="F380" s="9" t="n"/>
      <c r="G380" s="9" t="n"/>
      <c r="H380" s="9" t="n"/>
      <c r="I380" s="9" t="n"/>
      <c r="J380" s="3" t="n"/>
      <c r="K380" s="9" t="n"/>
    </row>
    <row r="381">
      <c r="A381" s="4" t="n"/>
      <c r="B381" s="9">
        <f>IF(A381="","",INT((DAY(A381)-1)/7)+1)</f>
        <v/>
      </c>
      <c r="C381" s="9" t="n"/>
      <c r="D381" s="9" t="n"/>
      <c r="E381" s="9" t="n"/>
      <c r="F381" s="9" t="n"/>
      <c r="G381" s="9" t="n"/>
      <c r="H381" s="9" t="n"/>
      <c r="I381" s="9" t="n"/>
      <c r="J381" s="3" t="n"/>
      <c r="K381" s="9" t="n"/>
    </row>
    <row r="382">
      <c r="A382" s="4" t="n"/>
      <c r="B382" s="9">
        <f>IF(A382="","",INT((DAY(A382)-1)/7)+1)</f>
        <v/>
      </c>
      <c r="C382" s="9" t="n"/>
      <c r="D382" s="9" t="n"/>
      <c r="E382" s="9" t="n"/>
      <c r="F382" s="9" t="n"/>
      <c r="G382" s="9" t="n"/>
      <c r="H382" s="9" t="n"/>
      <c r="I382" s="9" t="n"/>
      <c r="J382" s="3" t="n"/>
      <c r="K382" s="9" t="n"/>
    </row>
    <row r="383">
      <c r="A383" s="4" t="n"/>
      <c r="B383" s="9">
        <f>IF(A383="","",INT((DAY(A383)-1)/7)+1)</f>
        <v/>
      </c>
      <c r="C383" s="9" t="n"/>
      <c r="D383" s="9" t="n"/>
      <c r="E383" s="9" t="n"/>
      <c r="F383" s="9" t="n"/>
      <c r="G383" s="9" t="n"/>
      <c r="H383" s="9" t="n"/>
      <c r="I383" s="9" t="n"/>
      <c r="J383" s="3" t="n"/>
      <c r="K383" s="9" t="n"/>
    </row>
    <row r="384">
      <c r="A384" s="4" t="n"/>
      <c r="B384" s="9">
        <f>IF(A384="","",INT((DAY(A384)-1)/7)+1)</f>
        <v/>
      </c>
      <c r="C384" s="9" t="n"/>
      <c r="D384" s="9" t="n"/>
      <c r="E384" s="9" t="n"/>
      <c r="F384" s="9" t="n"/>
      <c r="G384" s="9" t="n"/>
      <c r="H384" s="9" t="n"/>
      <c r="I384" s="9" t="n"/>
      <c r="J384" s="3" t="n"/>
      <c r="K384" s="9" t="n"/>
    </row>
    <row r="385">
      <c r="A385" s="4" t="n"/>
      <c r="B385" s="9">
        <f>IF(A385="","",INT((DAY(A385)-1)/7)+1)</f>
        <v/>
      </c>
      <c r="C385" s="9" t="n"/>
      <c r="D385" s="9" t="n"/>
      <c r="E385" s="9" t="n"/>
      <c r="F385" s="9" t="n"/>
      <c r="G385" s="9" t="n"/>
      <c r="H385" s="9" t="n"/>
      <c r="I385" s="9" t="n"/>
      <c r="J385" s="3" t="n"/>
      <c r="K385" s="9" t="n"/>
    </row>
    <row r="386">
      <c r="A386" s="4" t="n"/>
      <c r="B386" s="9">
        <f>IF(A386="","",INT((DAY(A386)-1)/7)+1)</f>
        <v/>
      </c>
      <c r="C386" s="9" t="n"/>
      <c r="D386" s="9" t="n"/>
      <c r="E386" s="9" t="n"/>
      <c r="F386" s="9" t="n"/>
      <c r="G386" s="9" t="n"/>
      <c r="H386" s="9" t="n"/>
      <c r="I386" s="9" t="n"/>
      <c r="J386" s="3" t="n"/>
      <c r="K386" s="9" t="n"/>
    </row>
    <row r="387">
      <c r="A387" s="4" t="n"/>
      <c r="B387" s="9">
        <f>IF(A387="","",INT((DAY(A387)-1)/7)+1)</f>
        <v/>
      </c>
      <c r="C387" s="9" t="n"/>
      <c r="D387" s="9" t="n"/>
      <c r="E387" s="9" t="n"/>
      <c r="F387" s="9" t="n"/>
      <c r="G387" s="9" t="n"/>
      <c r="H387" s="9" t="n"/>
      <c r="I387" s="9" t="n"/>
      <c r="J387" s="3" t="n"/>
      <c r="K387" s="9" t="n"/>
    </row>
    <row r="388">
      <c r="A388" s="4" t="n"/>
      <c r="B388" s="9">
        <f>IF(A388="","",INT((DAY(A388)-1)/7)+1)</f>
        <v/>
      </c>
      <c r="C388" s="9" t="n"/>
      <c r="D388" s="9" t="n"/>
      <c r="E388" s="9" t="n"/>
      <c r="F388" s="9" t="n"/>
      <c r="G388" s="9" t="n"/>
      <c r="H388" s="9" t="n"/>
      <c r="I388" s="9" t="n"/>
      <c r="J388" s="3" t="n"/>
      <c r="K388" s="9" t="n"/>
    </row>
    <row r="389">
      <c r="A389" s="4" t="n"/>
      <c r="B389" s="9">
        <f>IF(A389="","",INT((DAY(A389)-1)/7)+1)</f>
        <v/>
      </c>
      <c r="C389" s="9" t="n"/>
      <c r="D389" s="9" t="n"/>
      <c r="E389" s="9" t="n"/>
      <c r="F389" s="9" t="n"/>
      <c r="G389" s="9" t="n"/>
      <c r="H389" s="9" t="n"/>
      <c r="I389" s="9" t="n"/>
      <c r="J389" s="3" t="n"/>
      <c r="K389" s="9" t="n"/>
    </row>
    <row r="390">
      <c r="A390" s="4" t="n"/>
      <c r="B390" s="9">
        <f>IF(A390="","",INT((DAY(A390)-1)/7)+1)</f>
        <v/>
      </c>
      <c r="C390" s="9" t="n"/>
      <c r="D390" s="9" t="n"/>
      <c r="E390" s="9" t="n"/>
      <c r="F390" s="9" t="n"/>
      <c r="G390" s="9" t="n"/>
      <c r="H390" s="9" t="n"/>
      <c r="I390" s="9" t="n"/>
      <c r="J390" s="3" t="n"/>
      <c r="K390" s="9" t="n"/>
    </row>
    <row r="391">
      <c r="A391" s="4" t="n"/>
      <c r="B391" s="9">
        <f>IF(A391="","",INT((DAY(A391)-1)/7)+1)</f>
        <v/>
      </c>
      <c r="C391" s="9" t="n"/>
      <c r="D391" s="9" t="n"/>
      <c r="E391" s="9" t="n"/>
      <c r="F391" s="9" t="n"/>
      <c r="G391" s="9" t="n"/>
      <c r="H391" s="9" t="n"/>
      <c r="I391" s="9" t="n"/>
      <c r="J391" s="3" t="n"/>
      <c r="K391" s="9" t="n"/>
    </row>
    <row r="392">
      <c r="A392" s="4" t="n"/>
      <c r="B392" s="9">
        <f>IF(A392="","",INT((DAY(A392)-1)/7)+1)</f>
        <v/>
      </c>
      <c r="C392" s="9" t="n"/>
      <c r="D392" s="9" t="n"/>
      <c r="E392" s="9" t="n"/>
      <c r="F392" s="9" t="n"/>
      <c r="G392" s="9" t="n"/>
      <c r="H392" s="9" t="n"/>
      <c r="I392" s="9" t="n"/>
      <c r="J392" s="3" t="n"/>
      <c r="K392" s="9" t="n"/>
    </row>
    <row r="393">
      <c r="A393" s="4" t="n"/>
      <c r="B393" s="9">
        <f>IF(A393="","",INT((DAY(A393)-1)/7)+1)</f>
        <v/>
      </c>
      <c r="C393" s="9" t="n"/>
      <c r="D393" s="9" t="n"/>
      <c r="E393" s="9" t="n"/>
      <c r="F393" s="9" t="n"/>
      <c r="G393" s="9" t="n"/>
      <c r="H393" s="9" t="n"/>
      <c r="I393" s="9" t="n"/>
      <c r="J393" s="3" t="n"/>
      <c r="K393" s="9" t="n"/>
    </row>
    <row r="394">
      <c r="A394" s="4" t="n"/>
      <c r="B394" s="9">
        <f>IF(A394="","",INT((DAY(A394)-1)/7)+1)</f>
        <v/>
      </c>
      <c r="C394" s="9" t="n"/>
      <c r="D394" s="9" t="n"/>
      <c r="E394" s="9" t="n"/>
      <c r="F394" s="9" t="n"/>
      <c r="G394" s="9" t="n"/>
      <c r="H394" s="9" t="n"/>
      <c r="I394" s="9" t="n"/>
      <c r="J394" s="3" t="n"/>
      <c r="K394" s="9" t="n"/>
    </row>
    <row r="395">
      <c r="A395" s="4" t="n"/>
      <c r="B395" s="9">
        <f>IF(A395="","",INT((DAY(A395)-1)/7)+1)</f>
        <v/>
      </c>
      <c r="C395" s="9" t="n"/>
      <c r="D395" s="9" t="n"/>
      <c r="E395" s="9" t="n"/>
      <c r="F395" s="9" t="n"/>
      <c r="G395" s="9" t="n"/>
      <c r="H395" s="9" t="n"/>
      <c r="I395" s="9" t="n"/>
      <c r="J395" s="3" t="n"/>
      <c r="K395" s="9" t="n"/>
    </row>
    <row r="396">
      <c r="A396" s="4" t="n"/>
      <c r="B396" s="9">
        <f>IF(A396="","",INT((DAY(A396)-1)/7)+1)</f>
        <v/>
      </c>
      <c r="C396" s="9" t="n"/>
      <c r="D396" s="9" t="n"/>
      <c r="E396" s="9" t="n"/>
      <c r="F396" s="9" t="n"/>
      <c r="G396" s="9" t="n"/>
      <c r="H396" s="9" t="n"/>
      <c r="I396" s="9" t="n"/>
      <c r="J396" s="3" t="n"/>
      <c r="K396" s="9" t="n"/>
    </row>
    <row r="397">
      <c r="A397" s="4" t="n"/>
      <c r="B397" s="9">
        <f>IF(A397="","",INT((DAY(A397)-1)/7)+1)</f>
        <v/>
      </c>
      <c r="C397" s="9" t="n"/>
      <c r="D397" s="9" t="n"/>
      <c r="E397" s="9" t="n"/>
      <c r="F397" s="9" t="n"/>
      <c r="G397" s="9" t="n"/>
      <c r="H397" s="9" t="n"/>
      <c r="I397" s="9" t="n"/>
      <c r="J397" s="3" t="n"/>
      <c r="K397" s="9" t="n"/>
    </row>
    <row r="398">
      <c r="A398" s="4" t="n"/>
      <c r="B398" s="9">
        <f>IF(A398="","",INT((DAY(A398)-1)/7)+1)</f>
        <v/>
      </c>
      <c r="C398" s="9" t="n"/>
      <c r="D398" s="9" t="n"/>
      <c r="E398" s="9" t="n"/>
      <c r="F398" s="9" t="n"/>
      <c r="G398" s="9" t="n"/>
      <c r="H398" s="9" t="n"/>
      <c r="I398" s="9" t="n"/>
      <c r="J398" s="3" t="n"/>
      <c r="K398" s="9" t="n"/>
    </row>
    <row r="399">
      <c r="A399" s="4" t="n"/>
      <c r="B399" s="9">
        <f>IF(A399="","",INT((DAY(A399)-1)/7)+1)</f>
        <v/>
      </c>
      <c r="C399" s="9" t="n"/>
      <c r="D399" s="9" t="n"/>
      <c r="E399" s="9" t="n"/>
      <c r="F399" s="9" t="n"/>
      <c r="G399" s="9" t="n"/>
      <c r="H399" s="9" t="n"/>
      <c r="I399" s="9" t="n"/>
      <c r="J399" s="3" t="n"/>
      <c r="K399" s="9" t="n"/>
    </row>
    <row r="400">
      <c r="A400" s="4" t="n"/>
      <c r="B400" s="9">
        <f>IF(A400="","",INT((DAY(A400)-1)/7)+1)</f>
        <v/>
      </c>
      <c r="C400" s="9" t="n"/>
      <c r="D400" s="9" t="n"/>
      <c r="E400" s="9" t="n"/>
      <c r="F400" s="9" t="n"/>
      <c r="G400" s="9" t="n"/>
      <c r="H400" s="9" t="n"/>
      <c r="I400" s="9" t="n"/>
      <c r="J400" s="3" t="n"/>
      <c r="K400" s="9" t="n"/>
    </row>
    <row r="401">
      <c r="A401" s="4" t="n"/>
      <c r="B401" s="9">
        <f>IF(A401="","",INT((DAY(A401)-1)/7)+1)</f>
        <v/>
      </c>
      <c r="C401" s="9" t="n"/>
      <c r="D401" s="9" t="n"/>
      <c r="E401" s="9" t="n"/>
      <c r="F401" s="9" t="n"/>
      <c r="G401" s="9" t="n"/>
      <c r="H401" s="9" t="n"/>
      <c r="I401" s="9" t="n"/>
      <c r="J401" s="3" t="n"/>
      <c r="K401" s="9" t="n"/>
    </row>
    <row r="402">
      <c r="A402" s="4" t="n"/>
      <c r="B402" s="9">
        <f>IF(A402="","",INT((DAY(A402)-1)/7)+1)</f>
        <v/>
      </c>
      <c r="C402" s="9" t="n"/>
      <c r="D402" s="9" t="n"/>
      <c r="E402" s="9" t="n"/>
      <c r="F402" s="9" t="n"/>
      <c r="G402" s="9" t="n"/>
      <c r="H402" s="9" t="n"/>
      <c r="I402" s="9" t="n"/>
      <c r="J402" s="3" t="n"/>
      <c r="K402" s="9" t="n"/>
    </row>
    <row r="403">
      <c r="A403" s="4" t="n"/>
      <c r="B403" s="9">
        <f>IF(A403="","",INT((DAY(A403)-1)/7)+1)</f>
        <v/>
      </c>
      <c r="C403" s="9" t="n"/>
      <c r="D403" s="9" t="n"/>
      <c r="E403" s="9" t="n"/>
      <c r="F403" s="9" t="n"/>
      <c r="G403" s="9" t="n"/>
      <c r="H403" s="9" t="n"/>
      <c r="I403" s="9" t="n"/>
      <c r="J403" s="3" t="n"/>
      <c r="K403" s="9" t="n"/>
    </row>
    <row r="404">
      <c r="A404" s="4" t="n"/>
      <c r="B404" s="9">
        <f>IF(A404="","",INT((DAY(A404)-1)/7)+1)</f>
        <v/>
      </c>
      <c r="C404" s="9" t="n"/>
      <c r="D404" s="9" t="n"/>
      <c r="E404" s="9" t="n"/>
      <c r="F404" s="9" t="n"/>
      <c r="G404" s="9" t="n"/>
      <c r="H404" s="9" t="n"/>
      <c r="I404" s="9" t="n"/>
      <c r="J404" s="3" t="n"/>
      <c r="K404" s="9" t="n"/>
    </row>
    <row r="405">
      <c r="A405" s="4" t="n"/>
      <c r="B405" s="9">
        <f>IF(A405="","",INT((DAY(A405)-1)/7)+1)</f>
        <v/>
      </c>
      <c r="C405" s="9" t="n"/>
      <c r="D405" s="9" t="n"/>
      <c r="E405" s="9" t="n"/>
      <c r="F405" s="9" t="n"/>
      <c r="G405" s="9" t="n"/>
      <c r="H405" s="9" t="n"/>
      <c r="I405" s="9" t="n"/>
      <c r="J405" s="3" t="n"/>
      <c r="K405" s="9" t="n"/>
    </row>
    <row r="406">
      <c r="A406" s="4" t="n"/>
      <c r="B406" s="9">
        <f>IF(A406="","",INT((DAY(A406)-1)/7)+1)</f>
        <v/>
      </c>
      <c r="C406" s="9" t="n"/>
      <c r="D406" s="9" t="n"/>
      <c r="E406" s="9" t="n"/>
      <c r="F406" s="9" t="n"/>
      <c r="G406" s="9" t="n"/>
      <c r="H406" s="9" t="n"/>
      <c r="I406" s="9" t="n"/>
      <c r="J406" s="3" t="n"/>
      <c r="K406" s="9" t="n"/>
    </row>
    <row r="407">
      <c r="A407" s="4" t="n"/>
      <c r="B407" s="9">
        <f>IF(A407="","",INT((DAY(A407)-1)/7)+1)</f>
        <v/>
      </c>
      <c r="C407" s="9" t="n"/>
      <c r="D407" s="9" t="n"/>
      <c r="E407" s="9" t="n"/>
      <c r="F407" s="9" t="n"/>
      <c r="G407" s="9" t="n"/>
      <c r="H407" s="9" t="n"/>
      <c r="I407" s="9" t="n"/>
      <c r="J407" s="3" t="n"/>
      <c r="K407" s="9" t="n"/>
    </row>
    <row r="408">
      <c r="A408" s="4" t="n"/>
      <c r="B408" s="9">
        <f>IF(A408="","",INT((DAY(A408)-1)/7)+1)</f>
        <v/>
      </c>
      <c r="C408" s="9" t="n"/>
      <c r="D408" s="9" t="n"/>
      <c r="E408" s="9" t="n"/>
      <c r="F408" s="9" t="n"/>
      <c r="G408" s="9" t="n"/>
      <c r="H408" s="9" t="n"/>
      <c r="I408" s="9" t="n"/>
      <c r="J408" s="3" t="n"/>
      <c r="K408" s="9" t="n"/>
    </row>
    <row r="409">
      <c r="A409" s="4" t="n"/>
      <c r="B409" s="9">
        <f>IF(A409="","",INT((DAY(A409)-1)/7)+1)</f>
        <v/>
      </c>
      <c r="C409" s="9" t="n"/>
      <c r="D409" s="9" t="n"/>
      <c r="E409" s="9" t="n"/>
      <c r="F409" s="9" t="n"/>
      <c r="G409" s="9" t="n"/>
      <c r="H409" s="9" t="n"/>
      <c r="I409" s="9" t="n"/>
      <c r="J409" s="3" t="n"/>
      <c r="K409" s="9" t="n"/>
    </row>
    <row r="410">
      <c r="A410" s="4" t="n"/>
      <c r="B410" s="9">
        <f>IF(A410="","",INT((DAY(A410)-1)/7)+1)</f>
        <v/>
      </c>
      <c r="C410" s="9" t="n"/>
      <c r="D410" s="9" t="n"/>
      <c r="E410" s="9" t="n"/>
      <c r="F410" s="9" t="n"/>
      <c r="G410" s="9" t="n"/>
      <c r="H410" s="9" t="n"/>
      <c r="I410" s="9" t="n"/>
      <c r="J410" s="3" t="n"/>
      <c r="K410" s="9" t="n"/>
    </row>
    <row r="411">
      <c r="A411" s="4" t="n"/>
      <c r="B411" s="9">
        <f>IF(A411="","",INT((DAY(A411)-1)/7)+1)</f>
        <v/>
      </c>
      <c r="C411" s="9" t="n"/>
      <c r="D411" s="9" t="n"/>
      <c r="E411" s="9" t="n"/>
      <c r="F411" s="9" t="n"/>
      <c r="G411" s="9" t="n"/>
      <c r="H411" s="9" t="n"/>
      <c r="I411" s="9" t="n"/>
      <c r="J411" s="3" t="n"/>
      <c r="K411" s="9" t="n"/>
    </row>
    <row r="412">
      <c r="A412" s="4" t="n"/>
      <c r="B412" s="9">
        <f>IF(A412="","",INT((DAY(A412)-1)/7)+1)</f>
        <v/>
      </c>
      <c r="C412" s="9" t="n"/>
      <c r="D412" s="9" t="n"/>
      <c r="E412" s="9" t="n"/>
      <c r="F412" s="9" t="n"/>
      <c r="G412" s="9" t="n"/>
      <c r="H412" s="9" t="n"/>
      <c r="I412" s="9" t="n"/>
      <c r="J412" s="3" t="n"/>
      <c r="K412" s="9" t="n"/>
    </row>
    <row r="413">
      <c r="A413" s="4" t="n"/>
      <c r="B413" s="9">
        <f>IF(A413="","",INT((DAY(A413)-1)/7)+1)</f>
        <v/>
      </c>
      <c r="C413" s="9" t="n"/>
      <c r="D413" s="9" t="n"/>
      <c r="E413" s="9" t="n"/>
      <c r="F413" s="9" t="n"/>
      <c r="G413" s="9" t="n"/>
      <c r="H413" s="9" t="n"/>
      <c r="I413" s="9" t="n"/>
      <c r="J413" s="3" t="n"/>
      <c r="K413" s="9" t="n"/>
    </row>
    <row r="414">
      <c r="A414" s="4" t="n"/>
      <c r="B414" s="9">
        <f>IF(A414="","",INT((DAY(A414)-1)/7)+1)</f>
        <v/>
      </c>
      <c r="C414" s="9" t="n"/>
      <c r="D414" s="9" t="n"/>
      <c r="E414" s="9" t="n"/>
      <c r="F414" s="9" t="n"/>
      <c r="G414" s="9" t="n"/>
      <c r="H414" s="9" t="n"/>
      <c r="I414" s="9" t="n"/>
      <c r="J414" s="3" t="n"/>
      <c r="K414" s="9" t="n"/>
    </row>
    <row r="415">
      <c r="A415" s="4" t="n"/>
      <c r="B415" s="9">
        <f>IF(A415="","",INT((DAY(A415)-1)/7)+1)</f>
        <v/>
      </c>
      <c r="C415" s="9" t="n"/>
      <c r="D415" s="9" t="n"/>
      <c r="E415" s="9" t="n"/>
      <c r="F415" s="9" t="n"/>
      <c r="G415" s="9" t="n"/>
      <c r="H415" s="9" t="n"/>
      <c r="I415" s="9" t="n"/>
      <c r="J415" s="3" t="n"/>
      <c r="K415" s="9" t="n"/>
    </row>
    <row r="416">
      <c r="A416" s="4" t="n"/>
      <c r="B416" s="9">
        <f>IF(A416="","",INT((DAY(A416)-1)/7)+1)</f>
        <v/>
      </c>
      <c r="C416" s="9" t="n"/>
      <c r="D416" s="9" t="n"/>
      <c r="E416" s="9" t="n"/>
      <c r="F416" s="9" t="n"/>
      <c r="G416" s="9" t="n"/>
      <c r="H416" s="9" t="n"/>
      <c r="I416" s="9" t="n"/>
      <c r="J416" s="3" t="n"/>
      <c r="K416" s="9" t="n"/>
    </row>
    <row r="417">
      <c r="A417" s="4" t="n"/>
      <c r="B417" s="9">
        <f>IF(A417="","",INT((DAY(A417)-1)/7)+1)</f>
        <v/>
      </c>
      <c r="C417" s="9" t="n"/>
      <c r="D417" s="9" t="n"/>
      <c r="E417" s="9" t="n"/>
      <c r="F417" s="9" t="n"/>
      <c r="G417" s="9" t="n"/>
      <c r="H417" s="9" t="n"/>
      <c r="I417" s="9" t="n"/>
      <c r="J417" s="3" t="n"/>
      <c r="K417" s="9" t="n"/>
    </row>
    <row r="418">
      <c r="A418" s="4" t="n"/>
      <c r="B418" s="9">
        <f>IF(A418="","",INT((DAY(A418)-1)/7)+1)</f>
        <v/>
      </c>
      <c r="C418" s="9" t="n"/>
      <c r="D418" s="9" t="n"/>
      <c r="E418" s="9" t="n"/>
      <c r="F418" s="9" t="n"/>
      <c r="G418" s="9" t="n"/>
      <c r="H418" s="9" t="n"/>
      <c r="I418" s="9" t="n"/>
      <c r="J418" s="3" t="n"/>
      <c r="K418" s="9" t="n"/>
    </row>
    <row r="419">
      <c r="A419" s="4" t="n"/>
      <c r="B419" s="9">
        <f>IF(A419="","",INT((DAY(A419)-1)/7)+1)</f>
        <v/>
      </c>
      <c r="C419" s="9" t="n"/>
      <c r="D419" s="9" t="n"/>
      <c r="E419" s="9" t="n"/>
      <c r="F419" s="9" t="n"/>
      <c r="G419" s="9" t="n"/>
      <c r="H419" s="9" t="n"/>
      <c r="I419" s="9" t="n"/>
      <c r="J419" s="3" t="n"/>
      <c r="K419" s="9" t="n"/>
    </row>
    <row r="420">
      <c r="A420" s="4" t="n"/>
      <c r="B420" s="9">
        <f>IF(A420="","",INT((DAY(A420)-1)/7)+1)</f>
        <v/>
      </c>
      <c r="C420" s="9" t="n"/>
      <c r="D420" s="9" t="n"/>
      <c r="E420" s="9" t="n"/>
      <c r="F420" s="9" t="n"/>
      <c r="G420" s="9" t="n"/>
      <c r="H420" s="9" t="n"/>
      <c r="I420" s="9" t="n"/>
      <c r="J420" s="3" t="n"/>
      <c r="K420" s="9" t="n"/>
    </row>
    <row r="421">
      <c r="A421" s="4" t="n"/>
      <c r="B421" s="9">
        <f>IF(A421="","",INT((DAY(A421)-1)/7)+1)</f>
        <v/>
      </c>
      <c r="C421" s="9" t="n"/>
      <c r="D421" s="9" t="n"/>
      <c r="E421" s="9" t="n"/>
      <c r="F421" s="9" t="n"/>
      <c r="G421" s="9" t="n"/>
      <c r="H421" s="9" t="n"/>
      <c r="I421" s="9" t="n"/>
      <c r="J421" s="3" t="n"/>
      <c r="K421" s="9" t="n"/>
    </row>
    <row r="422">
      <c r="A422" s="4" t="n"/>
      <c r="B422" s="9">
        <f>IF(A422="","",INT((DAY(A422)-1)/7)+1)</f>
        <v/>
      </c>
      <c r="C422" s="9" t="n"/>
      <c r="D422" s="9" t="n"/>
      <c r="E422" s="9" t="n"/>
      <c r="F422" s="9" t="n"/>
      <c r="G422" s="9" t="n"/>
      <c r="H422" s="9" t="n"/>
      <c r="I422" s="9" t="n"/>
      <c r="J422" s="3" t="n"/>
      <c r="K422" s="9" t="n"/>
    </row>
    <row r="423">
      <c r="A423" s="4" t="n"/>
      <c r="B423" s="9">
        <f>IF(A423="","",INT((DAY(A423)-1)/7)+1)</f>
        <v/>
      </c>
      <c r="C423" s="9" t="n"/>
      <c r="D423" s="9" t="n"/>
      <c r="E423" s="9" t="n"/>
      <c r="F423" s="9" t="n"/>
      <c r="G423" s="9" t="n"/>
      <c r="H423" s="9" t="n"/>
      <c r="I423" s="9" t="n"/>
      <c r="J423" s="3" t="n"/>
      <c r="K423" s="9" t="n"/>
    </row>
    <row r="424">
      <c r="A424" s="4" t="n"/>
      <c r="B424" s="9">
        <f>IF(A424="","",INT((DAY(A424)-1)/7)+1)</f>
        <v/>
      </c>
      <c r="C424" s="9" t="n"/>
      <c r="D424" s="9" t="n"/>
      <c r="E424" s="9" t="n"/>
      <c r="F424" s="9" t="n"/>
      <c r="G424" s="9" t="n"/>
      <c r="H424" s="9" t="n"/>
      <c r="I424" s="9" t="n"/>
      <c r="J424" s="3" t="n"/>
      <c r="K424" s="9" t="n"/>
    </row>
    <row r="425">
      <c r="A425" s="4" t="n"/>
      <c r="B425" s="9">
        <f>IF(A425="","",INT((DAY(A425)-1)/7)+1)</f>
        <v/>
      </c>
      <c r="C425" s="9" t="n"/>
      <c r="D425" s="9" t="n"/>
      <c r="E425" s="9" t="n"/>
      <c r="F425" s="9" t="n"/>
      <c r="G425" s="9" t="n"/>
      <c r="H425" s="9" t="n"/>
      <c r="I425" s="9" t="n"/>
      <c r="J425" s="3" t="n"/>
      <c r="K425" s="9" t="n"/>
    </row>
    <row r="426">
      <c r="A426" s="4" t="n"/>
      <c r="B426" s="9">
        <f>IF(A426="","",INT((DAY(A426)-1)/7)+1)</f>
        <v/>
      </c>
      <c r="C426" s="9" t="n"/>
      <c r="D426" s="9" t="n"/>
      <c r="E426" s="9" t="n"/>
      <c r="F426" s="9" t="n"/>
      <c r="G426" s="9" t="n"/>
      <c r="H426" s="9" t="n"/>
      <c r="I426" s="9" t="n"/>
      <c r="J426" s="3" t="n"/>
      <c r="K426" s="9" t="n"/>
    </row>
    <row r="427">
      <c r="A427" s="4" t="n"/>
      <c r="B427" s="9">
        <f>IF(A427="","",INT((DAY(A427)-1)/7)+1)</f>
        <v/>
      </c>
      <c r="C427" s="9" t="n"/>
      <c r="D427" s="9" t="n"/>
      <c r="E427" s="9" t="n"/>
      <c r="F427" s="9" t="n"/>
      <c r="G427" s="9" t="n"/>
      <c r="H427" s="9" t="n"/>
      <c r="I427" s="9" t="n"/>
      <c r="J427" s="3" t="n"/>
      <c r="K427" s="9" t="n"/>
    </row>
    <row r="428">
      <c r="A428" s="4" t="n"/>
      <c r="B428" s="9">
        <f>IF(A428="","",INT((DAY(A428)-1)/7)+1)</f>
        <v/>
      </c>
      <c r="C428" s="9" t="n"/>
      <c r="D428" s="9" t="n"/>
      <c r="E428" s="9" t="n"/>
      <c r="F428" s="9" t="n"/>
      <c r="G428" s="9" t="n"/>
      <c r="H428" s="9" t="n"/>
      <c r="I428" s="9" t="n"/>
      <c r="J428" s="3" t="n"/>
      <c r="K428" s="9" t="n"/>
    </row>
    <row r="429">
      <c r="A429" s="4" t="n"/>
      <c r="B429" s="9">
        <f>IF(A429="","",INT((DAY(A429)-1)/7)+1)</f>
        <v/>
      </c>
      <c r="C429" s="9" t="n"/>
      <c r="D429" s="9" t="n"/>
      <c r="E429" s="9" t="n"/>
      <c r="F429" s="9" t="n"/>
      <c r="G429" s="9" t="n"/>
      <c r="H429" s="9" t="n"/>
      <c r="I429" s="9" t="n"/>
      <c r="J429" s="3" t="n"/>
      <c r="K429" s="9" t="n"/>
    </row>
    <row r="430">
      <c r="A430" s="4" t="n"/>
      <c r="B430" s="9">
        <f>IF(A430="","",INT((DAY(A430)-1)/7)+1)</f>
        <v/>
      </c>
      <c r="C430" s="9" t="n"/>
      <c r="D430" s="9" t="n"/>
      <c r="E430" s="9" t="n"/>
      <c r="F430" s="9" t="n"/>
      <c r="G430" s="9" t="n"/>
      <c r="H430" s="9" t="n"/>
      <c r="I430" s="9" t="n"/>
      <c r="J430" s="3" t="n"/>
      <c r="K430" s="9" t="n"/>
    </row>
    <row r="431">
      <c r="A431" s="4" t="n"/>
      <c r="B431" s="9">
        <f>IF(A431="","",INT((DAY(A431)-1)/7)+1)</f>
        <v/>
      </c>
      <c r="C431" s="9" t="n"/>
      <c r="D431" s="9" t="n"/>
      <c r="E431" s="9" t="n"/>
      <c r="F431" s="9" t="n"/>
      <c r="G431" s="9" t="n"/>
      <c r="H431" s="9" t="n"/>
      <c r="I431" s="9" t="n"/>
      <c r="J431" s="3" t="n"/>
      <c r="K431" s="9" t="n"/>
    </row>
    <row r="432">
      <c r="A432" s="4" t="n"/>
      <c r="B432" s="9">
        <f>IF(A432="","",INT((DAY(A432)-1)/7)+1)</f>
        <v/>
      </c>
      <c r="C432" s="9" t="n"/>
      <c r="D432" s="9" t="n"/>
      <c r="E432" s="9" t="n"/>
      <c r="F432" s="9" t="n"/>
      <c r="G432" s="9" t="n"/>
      <c r="H432" s="9" t="n"/>
      <c r="I432" s="9" t="n"/>
      <c r="J432" s="3" t="n"/>
      <c r="K432" s="9" t="n"/>
    </row>
    <row r="433">
      <c r="A433" s="4" t="n"/>
      <c r="B433" s="9">
        <f>IF(A433="","",INT((DAY(A433)-1)/7)+1)</f>
        <v/>
      </c>
      <c r="C433" s="9" t="n"/>
      <c r="D433" s="9" t="n"/>
      <c r="E433" s="9" t="n"/>
      <c r="F433" s="9" t="n"/>
      <c r="G433" s="9" t="n"/>
      <c r="H433" s="9" t="n"/>
      <c r="I433" s="9" t="n"/>
      <c r="J433" s="3" t="n"/>
      <c r="K433" s="9" t="n"/>
    </row>
    <row r="434">
      <c r="A434" s="4" t="n"/>
      <c r="B434" s="9">
        <f>IF(A434="","",INT((DAY(A434)-1)/7)+1)</f>
        <v/>
      </c>
      <c r="C434" s="9" t="n"/>
      <c r="D434" s="9" t="n"/>
      <c r="E434" s="9" t="n"/>
      <c r="F434" s="9" t="n"/>
      <c r="G434" s="9" t="n"/>
      <c r="H434" s="9" t="n"/>
      <c r="I434" s="9" t="n"/>
      <c r="J434" s="3" t="n"/>
      <c r="K434" s="9" t="n"/>
    </row>
    <row r="435">
      <c r="A435" s="4" t="n"/>
      <c r="B435" s="9">
        <f>IF(A435="","",INT((DAY(A435)-1)/7)+1)</f>
        <v/>
      </c>
      <c r="C435" s="9" t="n"/>
      <c r="D435" s="9" t="n"/>
      <c r="E435" s="9" t="n"/>
      <c r="F435" s="9" t="n"/>
      <c r="G435" s="9" t="n"/>
      <c r="H435" s="9" t="n"/>
      <c r="I435" s="9" t="n"/>
      <c r="J435" s="3" t="n"/>
      <c r="K435" s="9" t="n"/>
    </row>
    <row r="436">
      <c r="A436" s="4" t="n"/>
      <c r="B436" s="9">
        <f>IF(A436="","",INT((DAY(A436)-1)/7)+1)</f>
        <v/>
      </c>
      <c r="C436" s="9" t="n"/>
      <c r="D436" s="9" t="n"/>
      <c r="E436" s="9" t="n"/>
      <c r="F436" s="9" t="n"/>
      <c r="G436" s="9" t="n"/>
      <c r="H436" s="9" t="n"/>
      <c r="I436" s="9" t="n"/>
      <c r="J436" s="3" t="n"/>
      <c r="K436" s="9" t="n"/>
    </row>
    <row r="437">
      <c r="A437" s="4" t="n"/>
      <c r="B437" s="9">
        <f>IF(A437="","",INT((DAY(A437)-1)/7)+1)</f>
        <v/>
      </c>
      <c r="C437" s="9" t="n"/>
      <c r="D437" s="9" t="n"/>
      <c r="E437" s="9" t="n"/>
      <c r="F437" s="9" t="n"/>
      <c r="G437" s="9" t="n"/>
      <c r="H437" s="9" t="n"/>
      <c r="I437" s="9" t="n"/>
      <c r="J437" s="3" t="n"/>
      <c r="K437" s="9" t="n"/>
    </row>
    <row r="438">
      <c r="A438" s="4" t="n"/>
      <c r="B438" s="9">
        <f>IF(A438="","",INT((DAY(A438)-1)/7)+1)</f>
        <v/>
      </c>
      <c r="C438" s="9" t="n"/>
      <c r="D438" s="9" t="n"/>
      <c r="E438" s="9" t="n"/>
      <c r="F438" s="9" t="n"/>
      <c r="G438" s="9" t="n"/>
      <c r="H438" s="9" t="n"/>
      <c r="I438" s="9" t="n"/>
      <c r="J438" s="3" t="n"/>
      <c r="K438" s="9" t="n"/>
    </row>
    <row r="439">
      <c r="A439" s="4" t="n"/>
      <c r="B439" s="9">
        <f>IF(A439="","",INT((DAY(A439)-1)/7)+1)</f>
        <v/>
      </c>
      <c r="C439" s="9" t="n"/>
      <c r="D439" s="9" t="n"/>
      <c r="E439" s="9" t="n"/>
      <c r="F439" s="9" t="n"/>
      <c r="G439" s="9" t="n"/>
      <c r="H439" s="9" t="n"/>
      <c r="I439" s="9" t="n"/>
      <c r="J439" s="3" t="n"/>
      <c r="K439" s="9" t="n"/>
    </row>
    <row r="440">
      <c r="A440" s="4" t="n"/>
      <c r="B440" s="9">
        <f>IF(A440="","",INT((DAY(A440)-1)/7)+1)</f>
        <v/>
      </c>
      <c r="C440" s="9" t="n"/>
      <c r="D440" s="9" t="n"/>
      <c r="E440" s="9" t="n"/>
      <c r="F440" s="9" t="n"/>
      <c r="G440" s="9" t="n"/>
      <c r="H440" s="9" t="n"/>
      <c r="I440" s="9" t="n"/>
      <c r="J440" s="3" t="n"/>
      <c r="K440" s="9" t="n"/>
    </row>
    <row r="441">
      <c r="A441" s="4" t="n"/>
      <c r="B441" s="9">
        <f>IF(A441="","",INT((DAY(A441)-1)/7)+1)</f>
        <v/>
      </c>
      <c r="C441" s="9" t="n"/>
      <c r="D441" s="9" t="n"/>
      <c r="E441" s="9" t="n"/>
      <c r="F441" s="9" t="n"/>
      <c r="G441" s="9" t="n"/>
      <c r="H441" s="9" t="n"/>
      <c r="I441" s="9" t="n"/>
      <c r="J441" s="3" t="n"/>
      <c r="K441" s="9" t="n"/>
    </row>
    <row r="442">
      <c r="A442" s="4" t="n"/>
      <c r="B442" s="9">
        <f>IF(A442="","",INT((DAY(A442)-1)/7)+1)</f>
        <v/>
      </c>
      <c r="C442" s="9" t="n"/>
      <c r="D442" s="9" t="n"/>
      <c r="E442" s="9" t="n"/>
      <c r="F442" s="9" t="n"/>
      <c r="G442" s="9" t="n"/>
      <c r="H442" s="9" t="n"/>
      <c r="I442" s="9" t="n"/>
      <c r="J442" s="3" t="n"/>
      <c r="K442" s="9" t="n"/>
    </row>
    <row r="443">
      <c r="A443" s="4" t="n"/>
      <c r="B443" s="9">
        <f>IF(A443="","",INT((DAY(A443)-1)/7)+1)</f>
        <v/>
      </c>
      <c r="C443" s="9" t="n"/>
      <c r="D443" s="9" t="n"/>
      <c r="E443" s="9" t="n"/>
      <c r="F443" s="9" t="n"/>
      <c r="G443" s="9" t="n"/>
      <c r="H443" s="9" t="n"/>
      <c r="I443" s="9" t="n"/>
      <c r="J443" s="3" t="n"/>
      <c r="K443" s="9" t="n"/>
    </row>
    <row r="444">
      <c r="A444" s="4" t="n"/>
      <c r="B444" s="9">
        <f>IF(A444="","",INT((DAY(A444)-1)/7)+1)</f>
        <v/>
      </c>
      <c r="C444" s="9" t="n"/>
      <c r="D444" s="9" t="n"/>
      <c r="E444" s="9" t="n"/>
      <c r="F444" s="9" t="n"/>
      <c r="G444" s="9" t="n"/>
      <c r="H444" s="9" t="n"/>
      <c r="I444" s="9" t="n"/>
      <c r="J444" s="3" t="n"/>
      <c r="K444" s="9" t="n"/>
    </row>
    <row r="445">
      <c r="A445" s="4" t="n"/>
      <c r="B445" s="9">
        <f>IF(A445="","",INT((DAY(A445)-1)/7)+1)</f>
        <v/>
      </c>
      <c r="C445" s="9" t="n"/>
      <c r="D445" s="9" t="n"/>
      <c r="E445" s="9" t="n"/>
      <c r="F445" s="9" t="n"/>
      <c r="G445" s="9" t="n"/>
      <c r="H445" s="9" t="n"/>
      <c r="I445" s="9" t="n"/>
      <c r="J445" s="3" t="n"/>
      <c r="K445" s="9" t="n"/>
    </row>
    <row r="446">
      <c r="A446" s="4" t="n"/>
      <c r="B446" s="9">
        <f>IF(A446="","",INT((DAY(A446)-1)/7)+1)</f>
        <v/>
      </c>
      <c r="C446" s="9" t="n"/>
      <c r="D446" s="9" t="n"/>
      <c r="E446" s="9" t="n"/>
      <c r="F446" s="9" t="n"/>
      <c r="G446" s="9" t="n"/>
      <c r="H446" s="9" t="n"/>
      <c r="I446" s="9" t="n"/>
      <c r="J446" s="3" t="n"/>
      <c r="K446" s="9" t="n"/>
    </row>
    <row r="447">
      <c r="A447" s="4" t="n"/>
      <c r="B447" s="9">
        <f>IF(A447="","",INT((DAY(A447)-1)/7)+1)</f>
        <v/>
      </c>
      <c r="C447" s="9" t="n"/>
      <c r="D447" s="9" t="n"/>
      <c r="E447" s="9" t="n"/>
      <c r="F447" s="9" t="n"/>
      <c r="G447" s="9" t="n"/>
      <c r="H447" s="9" t="n"/>
      <c r="I447" s="9" t="n"/>
      <c r="J447" s="3" t="n"/>
      <c r="K447" s="9" t="n"/>
    </row>
    <row r="448">
      <c r="A448" s="4" t="n"/>
      <c r="B448" s="9">
        <f>IF(A448="","",INT((DAY(A448)-1)/7)+1)</f>
        <v/>
      </c>
      <c r="C448" s="9" t="n"/>
      <c r="D448" s="9" t="n"/>
      <c r="E448" s="9" t="n"/>
      <c r="F448" s="9" t="n"/>
      <c r="G448" s="9" t="n"/>
      <c r="H448" s="9" t="n"/>
      <c r="I448" s="9" t="n"/>
      <c r="J448" s="3" t="n"/>
      <c r="K448" s="9" t="n"/>
    </row>
    <row r="449">
      <c r="A449" s="4" t="n"/>
      <c r="B449" s="9">
        <f>IF(A449="","",INT((DAY(A449)-1)/7)+1)</f>
        <v/>
      </c>
      <c r="C449" s="9" t="n"/>
      <c r="D449" s="9" t="n"/>
      <c r="E449" s="9" t="n"/>
      <c r="F449" s="9" t="n"/>
      <c r="G449" s="9" t="n"/>
      <c r="H449" s="9" t="n"/>
      <c r="I449" s="9" t="n"/>
      <c r="J449" s="3" t="n"/>
      <c r="K449" s="9" t="n"/>
    </row>
    <row r="450">
      <c r="A450" s="4" t="n"/>
      <c r="B450" s="9">
        <f>IF(A450="","",INT((DAY(A450)-1)/7)+1)</f>
        <v/>
      </c>
      <c r="C450" s="9" t="n"/>
      <c r="D450" s="9" t="n"/>
      <c r="E450" s="9" t="n"/>
      <c r="F450" s="9" t="n"/>
      <c r="G450" s="9" t="n"/>
      <c r="H450" s="9" t="n"/>
      <c r="I450" s="9" t="n"/>
      <c r="J450" s="3" t="n"/>
      <c r="K450" s="9" t="n"/>
    </row>
    <row r="451">
      <c r="A451" s="4" t="n"/>
      <c r="B451" s="9">
        <f>IF(A451="","",INT((DAY(A451)-1)/7)+1)</f>
        <v/>
      </c>
      <c r="C451" s="9" t="n"/>
      <c r="D451" s="9" t="n"/>
      <c r="E451" s="9" t="n"/>
      <c r="F451" s="9" t="n"/>
      <c r="G451" s="9" t="n"/>
      <c r="H451" s="9" t="n"/>
      <c r="I451" s="9" t="n"/>
      <c r="J451" s="3" t="n"/>
      <c r="K451" s="9" t="n"/>
    </row>
    <row r="452">
      <c r="A452" s="4" t="n"/>
      <c r="B452" s="9">
        <f>IF(A452="","",INT((DAY(A452)-1)/7)+1)</f>
        <v/>
      </c>
      <c r="C452" s="9" t="n"/>
      <c r="D452" s="9" t="n"/>
      <c r="E452" s="9" t="n"/>
      <c r="F452" s="9" t="n"/>
      <c r="G452" s="9" t="n"/>
      <c r="H452" s="9" t="n"/>
      <c r="I452" s="9" t="n"/>
      <c r="J452" s="3" t="n"/>
      <c r="K452" s="9" t="n"/>
    </row>
    <row r="453">
      <c r="A453" s="4" t="n"/>
      <c r="B453" s="9">
        <f>IF(A453="","",INT((DAY(A453)-1)/7)+1)</f>
        <v/>
      </c>
      <c r="C453" s="9" t="n"/>
      <c r="D453" s="9" t="n"/>
      <c r="E453" s="9" t="n"/>
      <c r="F453" s="9" t="n"/>
      <c r="G453" s="9" t="n"/>
      <c r="H453" s="9" t="n"/>
      <c r="I453" s="9" t="n"/>
      <c r="J453" s="3" t="n"/>
      <c r="K453" s="9" t="n"/>
    </row>
    <row r="454">
      <c r="A454" s="4" t="n"/>
      <c r="B454" s="9">
        <f>IF(A454="","",INT((DAY(A454)-1)/7)+1)</f>
        <v/>
      </c>
      <c r="C454" s="9" t="n"/>
      <c r="D454" s="9" t="n"/>
      <c r="E454" s="9" t="n"/>
      <c r="F454" s="9" t="n"/>
      <c r="G454" s="9" t="n"/>
      <c r="H454" s="9" t="n"/>
      <c r="I454" s="9" t="n"/>
      <c r="J454" s="3" t="n"/>
      <c r="K454" s="9" t="n"/>
    </row>
    <row r="455">
      <c r="A455" s="4" t="n"/>
      <c r="B455" s="9">
        <f>IF(A455="","",INT((DAY(A455)-1)/7)+1)</f>
        <v/>
      </c>
      <c r="C455" s="9" t="n"/>
      <c r="D455" s="9" t="n"/>
      <c r="E455" s="9" t="n"/>
      <c r="F455" s="9" t="n"/>
      <c r="G455" s="9" t="n"/>
      <c r="H455" s="9" t="n"/>
      <c r="I455" s="9" t="n"/>
      <c r="J455" s="3" t="n"/>
      <c r="K455" s="9" t="n"/>
    </row>
    <row r="456">
      <c r="A456" s="4" t="n"/>
      <c r="B456" s="9">
        <f>IF(A456="","",INT((DAY(A456)-1)/7)+1)</f>
        <v/>
      </c>
      <c r="C456" s="9" t="n"/>
      <c r="D456" s="9" t="n"/>
      <c r="E456" s="9" t="n"/>
      <c r="F456" s="9" t="n"/>
      <c r="G456" s="9" t="n"/>
      <c r="H456" s="9" t="n"/>
      <c r="I456" s="9" t="n"/>
      <c r="J456" s="3" t="n"/>
      <c r="K456" s="9" t="n"/>
    </row>
    <row r="457">
      <c r="A457" s="4" t="n"/>
      <c r="B457" s="9">
        <f>IF(A457="","",INT((DAY(A457)-1)/7)+1)</f>
        <v/>
      </c>
      <c r="C457" s="9" t="n"/>
      <c r="D457" s="9" t="n"/>
      <c r="E457" s="9" t="n"/>
      <c r="F457" s="9" t="n"/>
      <c r="G457" s="9" t="n"/>
      <c r="H457" s="9" t="n"/>
      <c r="I457" s="9" t="n"/>
      <c r="J457" s="3" t="n"/>
      <c r="K457" s="9" t="n"/>
    </row>
    <row r="458">
      <c r="A458" s="4" t="n"/>
      <c r="B458" s="9">
        <f>IF(A458="","",INT((DAY(A458)-1)/7)+1)</f>
        <v/>
      </c>
      <c r="C458" s="9" t="n"/>
      <c r="D458" s="9" t="n"/>
      <c r="E458" s="9" t="n"/>
      <c r="F458" s="9" t="n"/>
      <c r="G458" s="9" t="n"/>
      <c r="H458" s="9" t="n"/>
      <c r="I458" s="9" t="n"/>
      <c r="J458" s="3" t="n"/>
      <c r="K458" s="9" t="n"/>
    </row>
    <row r="459">
      <c r="A459" s="4" t="n"/>
      <c r="B459" s="9">
        <f>IF(A459="","",INT((DAY(A459)-1)/7)+1)</f>
        <v/>
      </c>
      <c r="C459" s="9" t="n"/>
      <c r="D459" s="9" t="n"/>
      <c r="E459" s="9" t="n"/>
      <c r="F459" s="9" t="n"/>
      <c r="G459" s="9" t="n"/>
      <c r="H459" s="9" t="n"/>
      <c r="I459" s="9" t="n"/>
      <c r="J459" s="3" t="n"/>
      <c r="K459" s="9" t="n"/>
    </row>
    <row r="460">
      <c r="A460" s="4" t="n"/>
      <c r="B460" s="9">
        <f>IF(A460="","",INT((DAY(A460)-1)/7)+1)</f>
        <v/>
      </c>
      <c r="C460" s="9" t="n"/>
      <c r="D460" s="9" t="n"/>
      <c r="E460" s="9" t="n"/>
      <c r="F460" s="9" t="n"/>
      <c r="G460" s="9" t="n"/>
      <c r="H460" s="9" t="n"/>
      <c r="I460" s="9" t="n"/>
      <c r="J460" s="3" t="n"/>
      <c r="K460" s="9" t="n"/>
    </row>
    <row r="461">
      <c r="A461" s="4" t="n"/>
      <c r="B461" s="9">
        <f>IF(A461="","",INT((DAY(A461)-1)/7)+1)</f>
        <v/>
      </c>
      <c r="C461" s="9" t="n"/>
      <c r="D461" s="9" t="n"/>
      <c r="E461" s="9" t="n"/>
      <c r="F461" s="9" t="n"/>
      <c r="G461" s="9" t="n"/>
      <c r="H461" s="9" t="n"/>
      <c r="I461" s="9" t="n"/>
      <c r="J461" s="3" t="n"/>
      <c r="K461" s="9" t="n"/>
    </row>
    <row r="462">
      <c r="A462" s="4" t="n"/>
      <c r="B462" s="9">
        <f>IF(A462="","",INT((DAY(A462)-1)/7)+1)</f>
        <v/>
      </c>
      <c r="C462" s="9" t="n"/>
      <c r="D462" s="9" t="n"/>
      <c r="E462" s="9" t="n"/>
      <c r="F462" s="9" t="n"/>
      <c r="G462" s="9" t="n"/>
      <c r="H462" s="9" t="n"/>
      <c r="I462" s="9" t="n"/>
      <c r="J462" s="3" t="n"/>
      <c r="K462" s="9" t="n"/>
    </row>
    <row r="463">
      <c r="A463" s="4" t="n"/>
      <c r="B463" s="9">
        <f>IF(A463="","",INT((DAY(A463)-1)/7)+1)</f>
        <v/>
      </c>
      <c r="C463" s="9" t="n"/>
      <c r="D463" s="9" t="n"/>
      <c r="E463" s="9" t="n"/>
      <c r="F463" s="9" t="n"/>
      <c r="G463" s="9" t="n"/>
      <c r="H463" s="9" t="n"/>
      <c r="I463" s="9" t="n"/>
      <c r="J463" s="3" t="n"/>
      <c r="K463" s="9" t="n"/>
    </row>
    <row r="464">
      <c r="A464" s="4" t="n"/>
      <c r="B464" s="9">
        <f>IF(A464="","",INT((DAY(A464)-1)/7)+1)</f>
        <v/>
      </c>
      <c r="C464" s="9" t="n"/>
      <c r="D464" s="9" t="n"/>
      <c r="E464" s="9" t="n"/>
      <c r="F464" s="9" t="n"/>
      <c r="G464" s="9" t="n"/>
      <c r="H464" s="9" t="n"/>
      <c r="I464" s="9" t="n"/>
      <c r="J464" s="3" t="n"/>
      <c r="K464" s="9" t="n"/>
    </row>
    <row r="465">
      <c r="A465" s="4" t="n"/>
      <c r="B465" s="9">
        <f>IF(A465="","",INT((DAY(A465)-1)/7)+1)</f>
        <v/>
      </c>
      <c r="C465" s="9" t="n"/>
      <c r="D465" s="9" t="n"/>
      <c r="E465" s="9" t="n"/>
      <c r="F465" s="9" t="n"/>
      <c r="G465" s="9" t="n"/>
      <c r="H465" s="9" t="n"/>
      <c r="I465" s="9" t="n"/>
      <c r="J465" s="3" t="n"/>
      <c r="K465" s="9" t="n"/>
    </row>
    <row r="466">
      <c r="A466" s="4" t="n"/>
      <c r="B466" s="9">
        <f>IF(A466="","",INT((DAY(A466)-1)/7)+1)</f>
        <v/>
      </c>
      <c r="C466" s="9" t="n"/>
      <c r="D466" s="9" t="n"/>
      <c r="E466" s="9" t="n"/>
      <c r="F466" s="9" t="n"/>
      <c r="G466" s="9" t="n"/>
      <c r="H466" s="9" t="n"/>
      <c r="I466" s="9" t="n"/>
      <c r="J466" s="3" t="n"/>
      <c r="K466" s="9" t="n"/>
    </row>
    <row r="467">
      <c r="A467" s="4" t="n"/>
      <c r="B467" s="9">
        <f>IF(A467="","",INT((DAY(A467)-1)/7)+1)</f>
        <v/>
      </c>
      <c r="C467" s="9" t="n"/>
      <c r="D467" s="9" t="n"/>
      <c r="E467" s="9" t="n"/>
      <c r="F467" s="9" t="n"/>
      <c r="G467" s="9" t="n"/>
      <c r="H467" s="9" t="n"/>
      <c r="I467" s="9" t="n"/>
      <c r="J467" s="3" t="n"/>
      <c r="K467" s="9" t="n"/>
    </row>
    <row r="468">
      <c r="A468" s="4" t="n"/>
      <c r="B468" s="9">
        <f>IF(A468="","",INT((DAY(A468)-1)/7)+1)</f>
        <v/>
      </c>
      <c r="C468" s="9" t="n"/>
      <c r="D468" s="9" t="n"/>
      <c r="E468" s="9" t="n"/>
      <c r="F468" s="9" t="n"/>
      <c r="G468" s="9" t="n"/>
      <c r="H468" s="9" t="n"/>
      <c r="I468" s="9" t="n"/>
      <c r="J468" s="3" t="n"/>
      <c r="K468" s="9" t="n"/>
    </row>
    <row r="469">
      <c r="A469" s="4" t="n"/>
      <c r="B469" s="9">
        <f>IF(A469="","",INT((DAY(A469)-1)/7)+1)</f>
        <v/>
      </c>
      <c r="C469" s="9" t="n"/>
      <c r="D469" s="9" t="n"/>
      <c r="E469" s="9" t="n"/>
      <c r="F469" s="9" t="n"/>
      <c r="G469" s="9" t="n"/>
      <c r="H469" s="9" t="n"/>
      <c r="I469" s="9" t="n"/>
      <c r="J469" s="3" t="n"/>
      <c r="K469" s="9" t="n"/>
    </row>
    <row r="470">
      <c r="A470" s="4" t="n"/>
      <c r="B470" s="9">
        <f>IF(A470="","",INT((DAY(A470)-1)/7)+1)</f>
        <v/>
      </c>
      <c r="C470" s="9" t="n"/>
      <c r="D470" s="9" t="n"/>
      <c r="E470" s="9" t="n"/>
      <c r="F470" s="9" t="n"/>
      <c r="G470" s="9" t="n"/>
      <c r="H470" s="9" t="n"/>
      <c r="I470" s="9" t="n"/>
      <c r="J470" s="3" t="n"/>
      <c r="K470" s="9" t="n"/>
    </row>
    <row r="471">
      <c r="A471" s="4" t="n"/>
      <c r="B471" s="9">
        <f>IF(A471="","",INT((DAY(A471)-1)/7)+1)</f>
        <v/>
      </c>
      <c r="C471" s="9" t="n"/>
      <c r="D471" s="9" t="n"/>
      <c r="E471" s="9" t="n"/>
      <c r="F471" s="9" t="n"/>
      <c r="G471" s="9" t="n"/>
      <c r="H471" s="9" t="n"/>
      <c r="I471" s="9" t="n"/>
      <c r="J471" s="3" t="n"/>
      <c r="K471" s="9" t="n"/>
    </row>
    <row r="472">
      <c r="A472" s="4" t="n"/>
      <c r="B472" s="9">
        <f>IF(A472="","",INT((DAY(A472)-1)/7)+1)</f>
        <v/>
      </c>
      <c r="C472" s="9" t="n"/>
      <c r="D472" s="9" t="n"/>
      <c r="E472" s="9" t="n"/>
      <c r="F472" s="9" t="n"/>
      <c r="G472" s="9" t="n"/>
      <c r="H472" s="9" t="n"/>
      <c r="I472" s="9" t="n"/>
      <c r="J472" s="3" t="n"/>
      <c r="K472" s="9" t="n"/>
    </row>
    <row r="473">
      <c r="A473" s="4" t="n"/>
      <c r="B473" s="9">
        <f>IF(A473="","",INT((DAY(A473)-1)/7)+1)</f>
        <v/>
      </c>
      <c r="C473" s="9" t="n"/>
      <c r="D473" s="9" t="n"/>
      <c r="E473" s="9" t="n"/>
      <c r="F473" s="9" t="n"/>
      <c r="G473" s="9" t="n"/>
      <c r="H473" s="9" t="n"/>
      <c r="I473" s="9" t="n"/>
      <c r="J473" s="3" t="n"/>
      <c r="K473" s="9" t="n"/>
    </row>
    <row r="474">
      <c r="A474" s="4" t="n"/>
      <c r="B474" s="9">
        <f>IF(A474="","",INT((DAY(A474)-1)/7)+1)</f>
        <v/>
      </c>
      <c r="C474" s="9" t="n"/>
      <c r="D474" s="9" t="n"/>
      <c r="E474" s="9" t="n"/>
      <c r="F474" s="9" t="n"/>
      <c r="G474" s="9" t="n"/>
      <c r="H474" s="9" t="n"/>
      <c r="I474" s="9" t="n"/>
      <c r="J474" s="3" t="n"/>
      <c r="K474" s="9" t="n"/>
    </row>
    <row r="475">
      <c r="A475" s="4" t="n"/>
      <c r="B475" s="9">
        <f>IF(A475="","",INT((DAY(A475)-1)/7)+1)</f>
        <v/>
      </c>
      <c r="C475" s="9" t="n"/>
      <c r="D475" s="9" t="n"/>
      <c r="E475" s="9" t="n"/>
      <c r="F475" s="9" t="n"/>
      <c r="G475" s="9" t="n"/>
      <c r="H475" s="9" t="n"/>
      <c r="I475" s="9" t="n"/>
      <c r="J475" s="3" t="n"/>
      <c r="K475" s="9" t="n"/>
    </row>
    <row r="476">
      <c r="A476" s="4" t="n"/>
      <c r="B476" s="9">
        <f>IF(A476="","",INT((DAY(A476)-1)/7)+1)</f>
        <v/>
      </c>
      <c r="C476" s="9" t="n"/>
      <c r="D476" s="9" t="n"/>
      <c r="E476" s="9" t="n"/>
      <c r="F476" s="9" t="n"/>
      <c r="G476" s="9" t="n"/>
      <c r="H476" s="9" t="n"/>
      <c r="I476" s="9" t="n"/>
      <c r="J476" s="3" t="n"/>
      <c r="K476" s="9" t="n"/>
    </row>
    <row r="477">
      <c r="A477" s="4" t="n"/>
      <c r="B477" s="9">
        <f>IF(A477="","",INT((DAY(A477)-1)/7)+1)</f>
        <v/>
      </c>
      <c r="C477" s="9" t="n"/>
      <c r="D477" s="9" t="n"/>
      <c r="E477" s="9" t="n"/>
      <c r="F477" s="9" t="n"/>
      <c r="G477" s="9" t="n"/>
      <c r="H477" s="9" t="n"/>
      <c r="I477" s="9" t="n"/>
      <c r="J477" s="3" t="n"/>
      <c r="K477" s="9" t="n"/>
    </row>
    <row r="478">
      <c r="A478" s="4" t="n"/>
      <c r="B478" s="9">
        <f>IF(A478="","",INT((DAY(A478)-1)/7)+1)</f>
        <v/>
      </c>
      <c r="C478" s="9" t="n"/>
      <c r="D478" s="9" t="n"/>
      <c r="E478" s="9" t="n"/>
      <c r="F478" s="9" t="n"/>
      <c r="G478" s="9" t="n"/>
      <c r="H478" s="9" t="n"/>
      <c r="I478" s="9" t="n"/>
      <c r="J478" s="3" t="n"/>
      <c r="K478" s="9" t="n"/>
    </row>
    <row r="479">
      <c r="A479" s="4" t="n"/>
      <c r="B479" s="9">
        <f>IF(A479="","",INT((DAY(A479)-1)/7)+1)</f>
        <v/>
      </c>
      <c r="C479" s="9" t="n"/>
      <c r="D479" s="9" t="n"/>
      <c r="E479" s="9" t="n"/>
      <c r="F479" s="9" t="n"/>
      <c r="G479" s="9" t="n"/>
      <c r="H479" s="9" t="n"/>
      <c r="I479" s="9" t="n"/>
      <c r="J479" s="3" t="n"/>
      <c r="K479" s="9" t="n"/>
    </row>
    <row r="480">
      <c r="A480" s="4" t="n"/>
      <c r="B480" s="9">
        <f>IF(A480="","",INT((DAY(A480)-1)/7)+1)</f>
        <v/>
      </c>
      <c r="C480" s="9" t="n"/>
      <c r="D480" s="9" t="n"/>
      <c r="E480" s="9" t="n"/>
      <c r="F480" s="9" t="n"/>
      <c r="G480" s="9" t="n"/>
      <c r="H480" s="9" t="n"/>
      <c r="I480" s="9" t="n"/>
      <c r="J480" s="3" t="n"/>
      <c r="K480" s="9" t="n"/>
    </row>
    <row r="481">
      <c r="A481" s="4" t="n"/>
      <c r="B481" s="9">
        <f>IF(A481="","",INT((DAY(A481)-1)/7)+1)</f>
        <v/>
      </c>
      <c r="C481" s="9" t="n"/>
      <c r="D481" s="9" t="n"/>
      <c r="E481" s="9" t="n"/>
      <c r="F481" s="9" t="n"/>
      <c r="G481" s="9" t="n"/>
      <c r="H481" s="9" t="n"/>
      <c r="I481" s="9" t="n"/>
      <c r="J481" s="3" t="n"/>
      <c r="K481" s="9" t="n"/>
    </row>
    <row r="482">
      <c r="A482" s="4" t="n"/>
      <c r="B482" s="9">
        <f>IF(A482="","",INT((DAY(A482)-1)/7)+1)</f>
        <v/>
      </c>
      <c r="C482" s="9" t="n"/>
      <c r="D482" s="9" t="n"/>
      <c r="E482" s="9" t="n"/>
      <c r="F482" s="9" t="n"/>
      <c r="G482" s="9" t="n"/>
      <c r="H482" s="9" t="n"/>
      <c r="I482" s="9" t="n"/>
      <c r="J482" s="3" t="n"/>
      <c r="K482" s="9" t="n"/>
    </row>
    <row r="483">
      <c r="A483" s="4" t="n"/>
      <c r="B483" s="9">
        <f>IF(A483="","",INT((DAY(A483)-1)/7)+1)</f>
        <v/>
      </c>
      <c r="C483" s="9" t="n"/>
      <c r="D483" s="9" t="n"/>
      <c r="E483" s="9" t="n"/>
      <c r="F483" s="9" t="n"/>
      <c r="G483" s="9" t="n"/>
      <c r="H483" s="9" t="n"/>
      <c r="I483" s="9" t="n"/>
      <c r="J483" s="3" t="n"/>
      <c r="K483" s="9" t="n"/>
    </row>
    <row r="484">
      <c r="A484" s="4" t="n"/>
      <c r="B484" s="9">
        <f>IF(A484="","",INT((DAY(A484)-1)/7)+1)</f>
        <v/>
      </c>
      <c r="C484" s="9" t="n"/>
      <c r="D484" s="9" t="n"/>
      <c r="E484" s="9" t="n"/>
      <c r="F484" s="9" t="n"/>
      <c r="G484" s="9" t="n"/>
      <c r="H484" s="9" t="n"/>
      <c r="I484" s="9" t="n"/>
      <c r="J484" s="3" t="n"/>
      <c r="K484" s="9" t="n"/>
    </row>
    <row r="485">
      <c r="A485" s="4" t="n"/>
      <c r="B485" s="9">
        <f>IF(A485="","",INT((DAY(A485)-1)/7)+1)</f>
        <v/>
      </c>
      <c r="C485" s="9" t="n"/>
      <c r="D485" s="9" t="n"/>
      <c r="E485" s="9" t="n"/>
      <c r="F485" s="9" t="n"/>
      <c r="G485" s="9" t="n"/>
      <c r="H485" s="9" t="n"/>
      <c r="I485" s="9" t="n"/>
      <c r="J485" s="3" t="n"/>
      <c r="K485" s="9" t="n"/>
    </row>
    <row r="486">
      <c r="A486" s="4" t="n"/>
      <c r="B486" s="9">
        <f>IF(A486="","",INT((DAY(A486)-1)/7)+1)</f>
        <v/>
      </c>
      <c r="C486" s="9" t="n"/>
      <c r="D486" s="9" t="n"/>
      <c r="E486" s="9" t="n"/>
      <c r="F486" s="9" t="n"/>
      <c r="G486" s="9" t="n"/>
      <c r="H486" s="9" t="n"/>
      <c r="I486" s="9" t="n"/>
      <c r="J486" s="3" t="n"/>
      <c r="K486" s="9" t="n"/>
    </row>
    <row r="487">
      <c r="A487" s="4" t="n"/>
      <c r="B487" s="9">
        <f>IF(A487="","",INT((DAY(A487)-1)/7)+1)</f>
        <v/>
      </c>
      <c r="C487" s="9" t="n"/>
      <c r="D487" s="9" t="n"/>
      <c r="E487" s="9" t="n"/>
      <c r="F487" s="9" t="n"/>
      <c r="G487" s="9" t="n"/>
      <c r="H487" s="9" t="n"/>
      <c r="I487" s="9" t="n"/>
      <c r="J487" s="3" t="n"/>
      <c r="K487" s="9" t="n"/>
    </row>
    <row r="488">
      <c r="A488" s="4" t="n"/>
      <c r="B488" s="9">
        <f>IF(A488="","",INT((DAY(A488)-1)/7)+1)</f>
        <v/>
      </c>
      <c r="C488" s="9" t="n"/>
      <c r="D488" s="9" t="n"/>
      <c r="E488" s="9" t="n"/>
      <c r="F488" s="9" t="n"/>
      <c r="G488" s="9" t="n"/>
      <c r="H488" s="9" t="n"/>
      <c r="I488" s="9" t="n"/>
      <c r="J488" s="3" t="n"/>
      <c r="K488" s="9" t="n"/>
    </row>
    <row r="489">
      <c r="A489" s="4" t="n"/>
      <c r="B489" s="9">
        <f>IF(A489="","",INT((DAY(A489)-1)/7)+1)</f>
        <v/>
      </c>
      <c r="C489" s="9" t="n"/>
      <c r="D489" s="9" t="n"/>
      <c r="E489" s="9" t="n"/>
      <c r="F489" s="9" t="n"/>
      <c r="G489" s="9" t="n"/>
      <c r="H489" s="9" t="n"/>
      <c r="I489" s="9" t="n"/>
      <c r="J489" s="3" t="n"/>
      <c r="K489" s="9" t="n"/>
    </row>
    <row r="490">
      <c r="A490" s="4" t="n"/>
      <c r="B490" s="9">
        <f>IF(A490="","",INT((DAY(A490)-1)/7)+1)</f>
        <v/>
      </c>
      <c r="C490" s="9" t="n"/>
      <c r="D490" s="9" t="n"/>
      <c r="E490" s="9" t="n"/>
      <c r="F490" s="9" t="n"/>
      <c r="G490" s="9" t="n"/>
      <c r="H490" s="9" t="n"/>
      <c r="I490" s="9" t="n"/>
      <c r="J490" s="3" t="n"/>
      <c r="K490" s="9" t="n"/>
    </row>
    <row r="491">
      <c r="A491" s="4" t="n"/>
      <c r="B491" s="9">
        <f>IF(A491="","",INT((DAY(A491)-1)/7)+1)</f>
        <v/>
      </c>
      <c r="C491" s="9" t="n"/>
      <c r="D491" s="9" t="n"/>
      <c r="E491" s="9" t="n"/>
      <c r="F491" s="9" t="n"/>
      <c r="G491" s="9" t="n"/>
      <c r="H491" s="9" t="n"/>
      <c r="I491" s="9" t="n"/>
      <c r="J491" s="3" t="n"/>
      <c r="K491" s="9" t="n"/>
    </row>
    <row r="492">
      <c r="A492" s="4" t="n"/>
      <c r="B492" s="9">
        <f>IF(A492="","",INT((DAY(A492)-1)/7)+1)</f>
        <v/>
      </c>
      <c r="C492" s="9" t="n"/>
      <c r="D492" s="9" t="n"/>
      <c r="E492" s="9" t="n"/>
      <c r="F492" s="9" t="n"/>
      <c r="G492" s="9" t="n"/>
      <c r="H492" s="9" t="n"/>
      <c r="I492" s="9" t="n"/>
      <c r="J492" s="3" t="n"/>
      <c r="K492" s="9" t="n"/>
    </row>
    <row r="493">
      <c r="A493" s="4" t="n"/>
      <c r="B493" s="9">
        <f>IF(A493="","",INT((DAY(A493)-1)/7)+1)</f>
        <v/>
      </c>
      <c r="C493" s="9" t="n"/>
      <c r="D493" s="9" t="n"/>
      <c r="E493" s="9" t="n"/>
      <c r="F493" s="9" t="n"/>
      <c r="G493" s="9" t="n"/>
      <c r="H493" s="9" t="n"/>
      <c r="I493" s="9" t="n"/>
      <c r="J493" s="3" t="n"/>
      <c r="K493" s="9" t="n"/>
    </row>
    <row r="494">
      <c r="A494" s="4" t="n"/>
      <c r="B494" s="9">
        <f>IF(A494="","",INT((DAY(A494)-1)/7)+1)</f>
        <v/>
      </c>
      <c r="C494" s="9" t="n"/>
      <c r="D494" s="9" t="n"/>
      <c r="E494" s="9" t="n"/>
      <c r="F494" s="9" t="n"/>
      <c r="G494" s="9" t="n"/>
      <c r="H494" s="9" t="n"/>
      <c r="I494" s="9" t="n"/>
      <c r="J494" s="3" t="n"/>
      <c r="K494" s="9" t="n"/>
    </row>
    <row r="495">
      <c r="A495" s="4" t="n"/>
      <c r="B495" s="9">
        <f>IF(A495="","",INT((DAY(A495)-1)/7)+1)</f>
        <v/>
      </c>
      <c r="C495" s="9" t="n"/>
      <c r="D495" s="9" t="n"/>
      <c r="E495" s="9" t="n"/>
      <c r="F495" s="9" t="n"/>
      <c r="G495" s="9" t="n"/>
      <c r="H495" s="9" t="n"/>
      <c r="I495" s="9" t="n"/>
      <c r="J495" s="3" t="n"/>
      <c r="K495" s="9" t="n"/>
    </row>
    <row r="496">
      <c r="A496" s="4" t="n"/>
      <c r="B496" s="9">
        <f>IF(A496="","",INT((DAY(A496)-1)/7)+1)</f>
        <v/>
      </c>
      <c r="C496" s="9" t="n"/>
      <c r="D496" s="9" t="n"/>
      <c r="E496" s="9" t="n"/>
      <c r="F496" s="9" t="n"/>
      <c r="G496" s="9" t="n"/>
      <c r="H496" s="9" t="n"/>
      <c r="I496" s="9" t="n"/>
      <c r="J496" s="3" t="n"/>
      <c r="K496" s="9" t="n"/>
    </row>
    <row r="497">
      <c r="A497" s="4" t="n"/>
      <c r="B497" s="9">
        <f>IF(A497="","",INT((DAY(A497)-1)/7)+1)</f>
        <v/>
      </c>
      <c r="C497" s="9" t="n"/>
      <c r="D497" s="9" t="n"/>
      <c r="E497" s="9" t="n"/>
      <c r="F497" s="9" t="n"/>
      <c r="G497" s="9" t="n"/>
      <c r="H497" s="9" t="n"/>
      <c r="I497" s="9" t="n"/>
      <c r="J497" s="3" t="n"/>
      <c r="K497" s="9" t="n"/>
    </row>
    <row r="498">
      <c r="A498" s="4" t="n"/>
      <c r="B498" s="9">
        <f>IF(A498="","",INT((DAY(A498)-1)/7)+1)</f>
        <v/>
      </c>
      <c r="C498" s="9" t="n"/>
      <c r="D498" s="9" t="n"/>
      <c r="E498" s="9" t="n"/>
      <c r="F498" s="9" t="n"/>
      <c r="G498" s="9" t="n"/>
      <c r="H498" s="9" t="n"/>
      <c r="I498" s="9" t="n"/>
      <c r="J498" s="3" t="n"/>
      <c r="K498" s="9" t="n"/>
    </row>
    <row r="499">
      <c r="A499" s="4" t="n"/>
      <c r="B499" s="9">
        <f>IF(A499="","",INT((DAY(A499)-1)/7)+1)</f>
        <v/>
      </c>
      <c r="C499" s="9" t="n"/>
      <c r="D499" s="9" t="n"/>
      <c r="E499" s="9" t="n"/>
      <c r="F499" s="9" t="n"/>
      <c r="G499" s="9" t="n"/>
      <c r="H499" s="9" t="n"/>
      <c r="I499" s="9" t="n"/>
      <c r="J499" s="3" t="n"/>
      <c r="K499" s="9" t="n"/>
    </row>
    <row r="500">
      <c r="A500" s="4" t="n"/>
      <c r="B500" s="9">
        <f>IF(A500="","",INT((DAY(A500)-1)/7)+1)</f>
        <v/>
      </c>
      <c r="C500" s="9" t="n"/>
      <c r="D500" s="9" t="n"/>
      <c r="E500" s="9" t="n"/>
      <c r="F500" s="9" t="n"/>
      <c r="G500" s="9" t="n"/>
      <c r="H500" s="9" t="n"/>
      <c r="I500" s="9" t="n"/>
      <c r="J500" s="3" t="n"/>
      <c r="K500" s="9" t="n"/>
    </row>
    <row r="501">
      <c r="A501" s="4" t="n"/>
      <c r="B501" s="9">
        <f>IF(A501="","",INT((DAY(A501)-1)/7)+1)</f>
        <v/>
      </c>
      <c r="C501" s="9" t="n"/>
      <c r="D501" s="9" t="n"/>
      <c r="E501" s="9" t="n"/>
      <c r="F501" s="9" t="n"/>
      <c r="G501" s="9" t="n"/>
      <c r="H501" s="9" t="n"/>
      <c r="I501" s="9" t="n"/>
      <c r="J501" s="3" t="n"/>
      <c r="K501" s="9" t="n"/>
    </row>
    <row r="502">
      <c r="A502" s="4" t="n"/>
      <c r="B502" s="9">
        <f>IF(A502="","",INT((DAY(A502)-1)/7)+1)</f>
        <v/>
      </c>
      <c r="C502" s="9" t="n"/>
      <c r="D502" s="9" t="n"/>
      <c r="E502" s="9" t="n"/>
      <c r="F502" s="9" t="n"/>
      <c r="G502" s="9" t="n"/>
      <c r="H502" s="9" t="n"/>
      <c r="I502" s="9" t="n"/>
      <c r="J502" s="3" t="n"/>
      <c r="K502" s="9" t="n"/>
    </row>
    <row r="503">
      <c r="A503" s="4" t="n"/>
      <c r="B503" s="9">
        <f>IF(A503="","",INT((DAY(A503)-1)/7)+1)</f>
        <v/>
      </c>
      <c r="C503" s="9" t="n"/>
      <c r="D503" s="9" t="n"/>
      <c r="E503" s="9" t="n"/>
      <c r="F503" s="9" t="n"/>
      <c r="G503" s="9" t="n"/>
      <c r="H503" s="9" t="n"/>
      <c r="I503" s="9" t="n"/>
      <c r="J503" s="3" t="n"/>
      <c r="K503" s="9" t="n"/>
    </row>
    <row r="504">
      <c r="A504" s="4" t="n"/>
      <c r="B504" s="9">
        <f>IF(A504="","",INT((DAY(A504)-1)/7)+1)</f>
        <v/>
      </c>
      <c r="C504" s="9" t="n"/>
      <c r="D504" s="9" t="n"/>
      <c r="E504" s="9" t="n"/>
      <c r="F504" s="9" t="n"/>
      <c r="G504" s="9" t="n"/>
      <c r="H504" s="9" t="n"/>
      <c r="I504" s="9" t="n"/>
      <c r="J504" s="3" t="n"/>
      <c r="K504" s="9" t="n"/>
    </row>
    <row r="505">
      <c r="A505" s="4" t="n"/>
      <c r="B505" s="9">
        <f>IF(A505="","",INT((DAY(A505)-1)/7)+1)</f>
        <v/>
      </c>
      <c r="C505" s="9" t="n"/>
      <c r="D505" s="9" t="n"/>
      <c r="E505" s="9" t="n"/>
      <c r="F505" s="9" t="n"/>
      <c r="G505" s="9" t="n"/>
      <c r="H505" s="9" t="n"/>
      <c r="I505" s="9" t="n"/>
      <c r="J505" s="3" t="n"/>
      <c r="K505" s="9" t="n"/>
    </row>
    <row r="506">
      <c r="A506" s="4" t="n"/>
      <c r="B506" s="9">
        <f>IF(A506="","",INT((DAY(A506)-1)/7)+1)</f>
        <v/>
      </c>
      <c r="C506" s="9" t="n"/>
      <c r="D506" s="9" t="n"/>
      <c r="E506" s="9" t="n"/>
      <c r="F506" s="9" t="n"/>
      <c r="G506" s="9" t="n"/>
      <c r="H506" s="9" t="n"/>
      <c r="I506" s="9" t="n"/>
      <c r="J506" s="3" t="n"/>
      <c r="K506" s="9" t="n"/>
    </row>
    <row r="507">
      <c r="A507" s="4" t="n"/>
      <c r="B507" s="9">
        <f>IF(A507="","",INT((DAY(A507)-1)/7)+1)</f>
        <v/>
      </c>
      <c r="C507" s="9" t="n"/>
      <c r="D507" s="9" t="n"/>
      <c r="E507" s="9" t="n"/>
      <c r="F507" s="9" t="n"/>
      <c r="G507" s="9" t="n"/>
      <c r="H507" s="9" t="n"/>
      <c r="I507" s="9" t="n"/>
      <c r="J507" s="3" t="n"/>
      <c r="K507" s="9" t="n"/>
    </row>
    <row r="508">
      <c r="A508" s="4" t="n"/>
      <c r="B508" s="9">
        <f>IF(A508="","",INT((DAY(A508)-1)/7)+1)</f>
        <v/>
      </c>
      <c r="C508" s="9" t="n"/>
      <c r="D508" s="9" t="n"/>
      <c r="E508" s="9" t="n"/>
      <c r="F508" s="9" t="n"/>
      <c r="G508" s="9" t="n"/>
      <c r="H508" s="9" t="n"/>
      <c r="I508" s="9" t="n"/>
      <c r="J508" s="3" t="n"/>
      <c r="K508" s="9" t="n"/>
    </row>
    <row r="509">
      <c r="A509" s="4" t="n"/>
      <c r="B509" s="9">
        <f>IF(A509="","",INT((DAY(A509)-1)/7)+1)</f>
        <v/>
      </c>
      <c r="C509" s="9" t="n"/>
      <c r="D509" s="9" t="n"/>
      <c r="E509" s="9" t="n"/>
      <c r="F509" s="9" t="n"/>
      <c r="G509" s="9" t="n"/>
      <c r="H509" s="9" t="n"/>
      <c r="I509" s="9" t="n"/>
      <c r="J509" s="3" t="n"/>
      <c r="K509" s="9" t="n"/>
    </row>
    <row r="510">
      <c r="A510" s="4" t="n"/>
      <c r="B510" s="9">
        <f>IF(A510="","",INT((DAY(A510)-1)/7)+1)</f>
        <v/>
      </c>
      <c r="C510" s="9" t="n"/>
      <c r="D510" s="9" t="n"/>
      <c r="E510" s="9" t="n"/>
      <c r="F510" s="9" t="n"/>
      <c r="G510" s="9" t="n"/>
      <c r="H510" s="9" t="n"/>
      <c r="I510" s="9" t="n"/>
      <c r="J510" s="3" t="n"/>
      <c r="K510" s="9" t="n"/>
    </row>
    <row r="511">
      <c r="A511" s="4" t="n"/>
      <c r="B511" s="9">
        <f>IF(A511="","",INT((DAY(A511)-1)/7)+1)</f>
        <v/>
      </c>
      <c r="C511" s="9" t="n"/>
      <c r="D511" s="9" t="n"/>
      <c r="E511" s="9" t="n"/>
      <c r="F511" s="9" t="n"/>
      <c r="G511" s="9" t="n"/>
      <c r="H511" s="9" t="n"/>
      <c r="I511" s="9" t="n"/>
      <c r="J511" s="3" t="n"/>
      <c r="K511" s="9" t="n"/>
    </row>
    <row r="512">
      <c r="A512" s="4" t="n"/>
      <c r="B512" s="9">
        <f>IF(A512="","",INT((DAY(A512)-1)/7)+1)</f>
        <v/>
      </c>
      <c r="C512" s="9" t="n"/>
      <c r="D512" s="9" t="n"/>
      <c r="E512" s="9" t="n"/>
      <c r="F512" s="9" t="n"/>
      <c r="G512" s="9" t="n"/>
      <c r="H512" s="9" t="n"/>
      <c r="I512" s="9" t="n"/>
      <c r="J512" s="3" t="n"/>
      <c r="K512" s="9" t="n"/>
    </row>
    <row r="513">
      <c r="A513" s="4" t="n"/>
      <c r="B513" s="9">
        <f>IF(A513="","",INT((DAY(A513)-1)/7)+1)</f>
        <v/>
      </c>
      <c r="C513" s="9" t="n"/>
      <c r="D513" s="9" t="n"/>
      <c r="E513" s="9" t="n"/>
      <c r="F513" s="9" t="n"/>
      <c r="G513" s="9" t="n"/>
      <c r="H513" s="9" t="n"/>
      <c r="I513" s="9" t="n"/>
      <c r="J513" s="3" t="n"/>
      <c r="K513" s="9" t="n"/>
    </row>
    <row r="514">
      <c r="A514" s="4" t="n"/>
      <c r="B514" s="9">
        <f>IF(A514="","",INT((DAY(A514)-1)/7)+1)</f>
        <v/>
      </c>
      <c r="C514" s="9" t="n"/>
      <c r="D514" s="9" t="n"/>
      <c r="E514" s="9" t="n"/>
      <c r="F514" s="9" t="n"/>
      <c r="G514" s="9" t="n"/>
      <c r="H514" s="9" t="n"/>
      <c r="I514" s="9" t="n"/>
      <c r="J514" s="3" t="n"/>
      <c r="K514" s="9" t="n"/>
    </row>
    <row r="515">
      <c r="A515" s="4" t="n"/>
      <c r="B515" s="9">
        <f>IF(A515="","",INT((DAY(A515)-1)/7)+1)</f>
        <v/>
      </c>
      <c r="C515" s="9" t="n"/>
      <c r="D515" s="9" t="n"/>
      <c r="E515" s="9" t="n"/>
      <c r="F515" s="9" t="n"/>
      <c r="G515" s="9" t="n"/>
      <c r="H515" s="9" t="n"/>
      <c r="I515" s="9" t="n"/>
      <c r="J515" s="3" t="n"/>
      <c r="K515" s="9" t="n"/>
    </row>
    <row r="516">
      <c r="A516" s="4" t="n"/>
      <c r="B516" s="9">
        <f>IF(A516="","",INT((DAY(A516)-1)/7)+1)</f>
        <v/>
      </c>
      <c r="C516" s="9" t="n"/>
      <c r="D516" s="9" t="n"/>
      <c r="E516" s="9" t="n"/>
      <c r="F516" s="9" t="n"/>
      <c r="G516" s="9" t="n"/>
      <c r="H516" s="9" t="n"/>
      <c r="I516" s="9" t="n"/>
      <c r="J516" s="3" t="n"/>
      <c r="K516" s="9" t="n"/>
    </row>
    <row r="517">
      <c r="A517" s="4" t="n"/>
      <c r="B517" s="9">
        <f>IF(A517="","",INT((DAY(A517)-1)/7)+1)</f>
        <v/>
      </c>
      <c r="C517" s="9" t="n"/>
      <c r="D517" s="9" t="n"/>
      <c r="E517" s="9" t="n"/>
      <c r="F517" s="9" t="n"/>
      <c r="G517" s="9" t="n"/>
      <c r="H517" s="9" t="n"/>
      <c r="I517" s="9" t="n"/>
      <c r="J517" s="3" t="n"/>
      <c r="K517" s="9" t="n"/>
    </row>
    <row r="518">
      <c r="A518" s="4" t="n"/>
      <c r="B518" s="9">
        <f>IF(A518="","",INT((DAY(A518)-1)/7)+1)</f>
        <v/>
      </c>
      <c r="C518" s="9" t="n"/>
      <c r="D518" s="9" t="n"/>
      <c r="E518" s="9" t="n"/>
      <c r="F518" s="9" t="n"/>
      <c r="G518" s="9" t="n"/>
      <c r="H518" s="9" t="n"/>
      <c r="I518" s="9" t="n"/>
      <c r="J518" s="3" t="n"/>
      <c r="K518" s="9" t="n"/>
    </row>
    <row r="519">
      <c r="A519" s="4" t="n"/>
      <c r="B519" s="9">
        <f>IF(A519="","",INT((DAY(A519)-1)/7)+1)</f>
        <v/>
      </c>
      <c r="C519" s="9" t="n"/>
      <c r="D519" s="9" t="n"/>
      <c r="E519" s="9" t="n"/>
      <c r="F519" s="9" t="n"/>
      <c r="G519" s="9" t="n"/>
      <c r="H519" s="9" t="n"/>
      <c r="I519" s="9" t="n"/>
      <c r="J519" s="3" t="n"/>
      <c r="K519" s="9" t="n"/>
    </row>
    <row r="520">
      <c r="A520" s="4" t="n"/>
      <c r="B520" s="9">
        <f>IF(A520="","",INT((DAY(A520)-1)/7)+1)</f>
        <v/>
      </c>
      <c r="C520" s="9" t="n"/>
      <c r="D520" s="9" t="n"/>
      <c r="E520" s="9" t="n"/>
      <c r="F520" s="9" t="n"/>
      <c r="G520" s="9" t="n"/>
      <c r="H520" s="9" t="n"/>
      <c r="I520" s="9" t="n"/>
      <c r="J520" s="3" t="n"/>
      <c r="K520" s="9" t="n"/>
    </row>
    <row r="521">
      <c r="A521" s="4" t="n"/>
      <c r="B521" s="9">
        <f>IF(A521="","",INT((DAY(A521)-1)/7)+1)</f>
        <v/>
      </c>
      <c r="C521" s="9" t="n"/>
      <c r="D521" s="9" t="n"/>
      <c r="E521" s="9" t="n"/>
      <c r="F521" s="9" t="n"/>
      <c r="G521" s="9" t="n"/>
      <c r="H521" s="9" t="n"/>
      <c r="I521" s="9" t="n"/>
      <c r="J521" s="3" t="n"/>
      <c r="K521" s="9" t="n"/>
    </row>
    <row r="522">
      <c r="A522" s="4" t="n"/>
      <c r="B522" s="9">
        <f>IF(A522="","",INT((DAY(A522)-1)/7)+1)</f>
        <v/>
      </c>
      <c r="C522" s="9" t="n"/>
      <c r="D522" s="9" t="n"/>
      <c r="E522" s="9" t="n"/>
      <c r="F522" s="9" t="n"/>
      <c r="G522" s="9" t="n"/>
      <c r="H522" s="9" t="n"/>
      <c r="I522" s="9" t="n"/>
      <c r="J522" s="3" t="n"/>
      <c r="K522" s="9" t="n"/>
    </row>
    <row r="523">
      <c r="A523" s="4" t="n"/>
      <c r="B523" s="9">
        <f>IF(A523="","",INT((DAY(A523)-1)/7)+1)</f>
        <v/>
      </c>
      <c r="C523" s="9" t="n"/>
      <c r="D523" s="9" t="n"/>
      <c r="E523" s="9" t="n"/>
      <c r="F523" s="9" t="n"/>
      <c r="G523" s="9" t="n"/>
      <c r="H523" s="9" t="n"/>
      <c r="I523" s="9" t="n"/>
      <c r="J523" s="3" t="n"/>
      <c r="K523" s="9" t="n"/>
    </row>
    <row r="524">
      <c r="A524" s="4" t="n"/>
      <c r="B524" s="9">
        <f>IF(A524="","",INT((DAY(A524)-1)/7)+1)</f>
        <v/>
      </c>
      <c r="C524" s="9" t="n"/>
      <c r="D524" s="9" t="n"/>
      <c r="E524" s="9" t="n"/>
      <c r="F524" s="9" t="n"/>
      <c r="G524" s="9" t="n"/>
      <c r="H524" s="9" t="n"/>
      <c r="I524" s="9" t="n"/>
      <c r="J524" s="3" t="n"/>
      <c r="K524" s="9" t="n"/>
    </row>
    <row r="525">
      <c r="A525" s="4" t="n"/>
      <c r="B525" s="9">
        <f>IF(A525="","",INT((DAY(A525)-1)/7)+1)</f>
        <v/>
      </c>
      <c r="C525" s="9" t="n"/>
      <c r="D525" s="9" t="n"/>
      <c r="E525" s="9" t="n"/>
      <c r="F525" s="9" t="n"/>
      <c r="G525" s="9" t="n"/>
      <c r="H525" s="9" t="n"/>
      <c r="I525" s="9" t="n"/>
      <c r="J525" s="3" t="n"/>
      <c r="K525" s="9" t="n"/>
    </row>
    <row r="526">
      <c r="A526" s="4" t="n"/>
      <c r="B526" s="9">
        <f>IF(A526="","",INT((DAY(A526)-1)/7)+1)</f>
        <v/>
      </c>
      <c r="C526" s="9" t="n"/>
      <c r="D526" s="9" t="n"/>
      <c r="E526" s="9" t="n"/>
      <c r="F526" s="9" t="n"/>
      <c r="G526" s="9" t="n"/>
      <c r="H526" s="9" t="n"/>
      <c r="I526" s="9" t="n"/>
      <c r="J526" s="3" t="n"/>
      <c r="K526" s="9" t="n"/>
    </row>
    <row r="527">
      <c r="A527" s="4" t="n"/>
      <c r="B527" s="9">
        <f>IF(A527="","",INT((DAY(A527)-1)/7)+1)</f>
        <v/>
      </c>
      <c r="C527" s="9" t="n"/>
      <c r="D527" s="9" t="n"/>
      <c r="E527" s="9" t="n"/>
      <c r="F527" s="9" t="n"/>
      <c r="G527" s="9" t="n"/>
      <c r="H527" s="9" t="n"/>
      <c r="I527" s="9" t="n"/>
      <c r="J527" s="3" t="n"/>
      <c r="K527" s="9" t="n"/>
    </row>
    <row r="528">
      <c r="A528" s="4" t="n"/>
      <c r="B528" s="9">
        <f>IF(A528="","",INT((DAY(A528)-1)/7)+1)</f>
        <v/>
      </c>
      <c r="C528" s="9" t="n"/>
      <c r="D528" s="9" t="n"/>
      <c r="E528" s="9" t="n"/>
      <c r="F528" s="9" t="n"/>
      <c r="G528" s="9" t="n"/>
      <c r="H528" s="9" t="n"/>
      <c r="I528" s="9" t="n"/>
      <c r="J528" s="3" t="n"/>
      <c r="K528" s="9" t="n"/>
    </row>
  </sheetData>
  <autoFilter ref="A28:K528"/>
  <dataValidations count="4">
    <dataValidation sqref="E29:E528" showDropDown="0" showInputMessage="0" showErrorMessage="1" allowBlank="1" type="list">
      <formula1>=Lists!$A$2:$A$22</formula1>
    </dataValidation>
    <dataValidation sqref="G29:G528" showDropDown="0" showInputMessage="0" showErrorMessage="1" allowBlank="1" type="list">
      <formula1>=Lists!$D$2:$D$8</formula1>
    </dataValidation>
    <dataValidation sqref="H29:H528" showDropDown="0" showInputMessage="0" showErrorMessage="1" allowBlank="1" type="list">
      <formula1>=Lists!$C$2:$C$9</formula1>
    </dataValidation>
    <dataValidation sqref="I29:I528" showDropDown="0" showInputMessage="0" showErrorMessage="1" allowBlank="1" type="list">
      <formula1>=Lists!$B$2:$B$5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28"/>
  <sheetViews>
    <sheetView showGridLines="0" workbookViewId="0">
      <pane xSplit="0" ySplit="28" topLeftCell="A29" activePane="bottomLeft" state="frozen"/>
      <selection pane="bottomLeft" activeCell="A29" sqref="A29"/>
    </sheetView>
  </sheetViews>
  <sheetFormatPr baseColWidth="8" defaultRowHeight="15"/>
  <cols>
    <col width="12" customWidth="1" style="10" min="1" max="1"/>
    <col width="8" customWidth="1" style="10" min="2" max="2"/>
    <col width="22" customWidth="1" style="10" min="3" max="4"/>
    <col width="24" customWidth="1" style="10" min="5" max="5"/>
    <col width="18" customWidth="1" style="10" min="6" max="6"/>
    <col width="18" customWidth="1" style="10" min="7" max="7"/>
    <col width="18" customWidth="1" style="10" min="8" max="9"/>
    <col width="14" customWidth="1" style="10" min="10" max="10"/>
    <col width="30" customWidth="1" style="10" min="11" max="11"/>
  </cols>
  <sheetData>
    <row r="1">
      <c r="A1" s="1" t="inlineStr">
        <is>
          <t>April 2026 Ledger</t>
        </is>
      </c>
    </row>
    <row r="2">
      <c r="A2" s="7" t="inlineStr">
        <is>
          <t>Use positive amounts. Choose Type to classify each transaction.</t>
        </is>
      </c>
    </row>
    <row r="4">
      <c r="A4" s="1" t="inlineStr">
        <is>
          <t>Month Summary</t>
        </is>
      </c>
      <c r="D4" s="1" t="inlineStr">
        <is>
          <t>Category Summary</t>
        </is>
      </c>
      <c r="H4" s="1" t="inlineStr">
        <is>
          <t>Weekly Summary</t>
        </is>
      </c>
    </row>
    <row r="5">
      <c r="A5" s="5" t="inlineStr">
        <is>
          <t>Total Income</t>
        </is>
      </c>
      <c r="B5" s="3">
        <f>SUMIFS($J$29:$J$528,$I$29:$I$528,"Income")</f>
        <v/>
      </c>
      <c r="D5" s="2" t="inlineStr">
        <is>
          <t>Category</t>
        </is>
      </c>
      <c r="E5" s="2" t="inlineStr">
        <is>
          <t>Expenses</t>
        </is>
      </c>
      <c r="F5" s="2" t="inlineStr">
        <is>
          <t>Income</t>
        </is>
      </c>
      <c r="G5" s="2" t="inlineStr">
        <is>
          <t>Existing Savings</t>
        </is>
      </c>
      <c r="H5" s="2" t="inlineStr">
        <is>
          <t>Week</t>
        </is>
      </c>
      <c r="I5" s="2" t="inlineStr">
        <is>
          <t>Expenses</t>
        </is>
      </c>
      <c r="J5" s="2" t="inlineStr">
        <is>
          <t>Income</t>
        </is>
      </c>
      <c r="K5" s="2" t="inlineStr">
        <is>
          <t>Net</t>
        </is>
      </c>
    </row>
    <row r="6">
      <c r="A6" s="5" t="inlineStr">
        <is>
          <t>Total Expenses</t>
        </is>
      </c>
      <c r="B6" s="3">
        <f>SUMIFS($J$29:$J$528,$I$29:$I$528,"Expense")</f>
        <v/>
      </c>
      <c r="D6" s="5" t="inlineStr">
        <is>
          <t>Housing</t>
        </is>
      </c>
      <c r="E6" s="3">
        <f>SUMIFS($J$29:$J$528,$E$29:$E$528,$D6,$I$29:$I$528,"Expense")</f>
        <v/>
      </c>
      <c r="F6" s="3">
        <f>SUMIFS($J$29:$J$528,$E$29:$E$528,$D6,$I$29:$I$528,"Income")</f>
        <v/>
      </c>
      <c r="G6" s="3">
        <f>SUMIFS($J$29:$J$528,$E$29:$E$528,$D6,$I$29:$I$528,"Opening Balance")</f>
        <v/>
      </c>
      <c r="H6" s="5" t="inlineStr">
        <is>
          <t>Week 1</t>
        </is>
      </c>
      <c r="I6" s="3">
        <f>SUMIFS($J$29:$J$528,$B$29:$B$528,1,$I$29:$I$528,"Expense",$F$29:$F$528,"&lt;&gt;Rent")</f>
        <v/>
      </c>
      <c r="J6" s="3">
        <f>SUMIFS($J$29:$J$528,$B$29:$B$528,1,$I$29:$I$528,"Income")</f>
        <v/>
      </c>
      <c r="K6" s="3">
        <f>J6-I6</f>
        <v/>
      </c>
    </row>
    <row r="7">
      <c r="A7" s="5" t="inlineStr">
        <is>
          <t>Existing Savings</t>
        </is>
      </c>
      <c r="B7" s="3">
        <f>SUMIFS($J$29:$J$528,$I$29:$I$528,"Opening Balance")</f>
        <v/>
      </c>
      <c r="D7" s="5" t="inlineStr">
        <is>
          <t>Utilities</t>
        </is>
      </c>
      <c r="E7" s="3">
        <f>SUMIFS($J$29:$J$528,$E$29:$E$528,$D7,$I$29:$I$528,"Expense")</f>
        <v/>
      </c>
      <c r="F7" s="3">
        <f>SUMIFS($J$29:$J$528,$E$29:$E$528,$D7,$I$29:$I$528,"Income")</f>
        <v/>
      </c>
      <c r="G7" s="3">
        <f>SUMIFS($J$29:$J$528,$E$29:$E$528,$D7,$I$29:$I$528,"Opening Balance")</f>
        <v/>
      </c>
      <c r="H7" s="5" t="inlineStr">
        <is>
          <t>Week 2</t>
        </is>
      </c>
      <c r="I7" s="3">
        <f>SUMIFS($J$29:$J$528,$B$29:$B$528,2,$I$29:$I$528,"Expense",$F$29:$F$528,"&lt;&gt;Rent")</f>
        <v/>
      </c>
      <c r="J7" s="3">
        <f>SUMIFS($J$29:$J$528,$B$29:$B$528,2,$I$29:$I$528,"Income")</f>
        <v/>
      </c>
      <c r="K7" s="3">
        <f>J7-I7</f>
        <v/>
      </c>
    </row>
    <row r="8">
      <c r="A8" s="5" t="inlineStr">
        <is>
          <t>Transfers</t>
        </is>
      </c>
      <c r="B8" s="3">
        <f>SUMIFS($J$29:$J$528,$I$29:$I$528,"Transfer")</f>
        <v/>
      </c>
      <c r="D8" s="5" t="inlineStr">
        <is>
          <t>Groceries</t>
        </is>
      </c>
      <c r="E8" s="3">
        <f>SUMIFS($J$29:$J$528,$E$29:$E$528,$D8,$I$29:$I$528,"Expense")</f>
        <v/>
      </c>
      <c r="F8" s="3">
        <f>SUMIFS($J$29:$J$528,$E$29:$E$528,$D8,$I$29:$I$528,"Income")</f>
        <v/>
      </c>
      <c r="G8" s="3">
        <f>SUMIFS($J$29:$J$528,$E$29:$E$528,$D8,$I$29:$I$528,"Opening Balance")</f>
        <v/>
      </c>
      <c r="H8" s="5" t="inlineStr">
        <is>
          <t>Week 3</t>
        </is>
      </c>
      <c r="I8" s="3">
        <f>SUMIFS($J$29:$J$528,$B$29:$B$528,3,$I$29:$I$528,"Expense",$F$29:$F$528,"&lt;&gt;Rent")</f>
        <v/>
      </c>
      <c r="J8" s="3">
        <f>SUMIFS($J$29:$J$528,$B$29:$B$528,3,$I$29:$I$528,"Income")</f>
        <v/>
      </c>
      <c r="K8" s="3">
        <f>J8-I8</f>
        <v/>
      </c>
    </row>
    <row r="9">
      <c r="A9" s="5" t="inlineStr">
        <is>
          <t>Net Cash Flow</t>
        </is>
      </c>
      <c r="B9" s="3">
        <f>B5-B6</f>
        <v/>
      </c>
      <c r="D9" s="5" t="inlineStr">
        <is>
          <t>Dining</t>
        </is>
      </c>
      <c r="E9" s="3">
        <f>SUMIFS($J$29:$J$528,$E$29:$E$528,$D9,$I$29:$I$528,"Expense")</f>
        <v/>
      </c>
      <c r="F9" s="3">
        <f>SUMIFS($J$29:$J$528,$E$29:$E$528,$D9,$I$29:$I$528,"Income")</f>
        <v/>
      </c>
      <c r="G9" s="3">
        <f>SUMIFS($J$29:$J$528,$E$29:$E$528,$D9,$I$29:$I$528,"Opening Balance")</f>
        <v/>
      </c>
      <c r="H9" s="5" t="inlineStr">
        <is>
          <t>Week 4</t>
        </is>
      </c>
      <c r="I9" s="3">
        <f>SUMIFS($J$29:$J$528,$B$29:$B$528,4,$I$29:$I$528,"Expense",$F$29:$F$528,"&lt;&gt;Rent")</f>
        <v/>
      </c>
      <c r="J9" s="3">
        <f>SUMIFS($J$29:$J$528,$B$29:$B$528,4,$I$29:$I$528,"Income")</f>
        <v/>
      </c>
      <c r="K9" s="3">
        <f>J9-I9</f>
        <v/>
      </c>
    </row>
    <row r="10">
      <c r="D10" s="5" t="inlineStr">
        <is>
          <t>Transportation</t>
        </is>
      </c>
      <c r="E10" s="3">
        <f>SUMIFS($J$29:$J$528,$E$29:$E$528,$D10,$I$29:$I$528,"Expense")</f>
        <v/>
      </c>
      <c r="F10" s="3">
        <f>SUMIFS($J$29:$J$528,$E$29:$E$528,$D10,$I$29:$I$528,"Income")</f>
        <v/>
      </c>
      <c r="G10" s="3">
        <f>SUMIFS($J$29:$J$528,$E$29:$E$528,$D10,$I$29:$I$528,"Opening Balance")</f>
        <v/>
      </c>
      <c r="H10" s="5" t="inlineStr">
        <is>
          <t>Week 5</t>
        </is>
      </c>
      <c r="I10" s="3">
        <f>SUMIFS($J$29:$J$528,$B$29:$B$528,5,$I$29:$I$528,"Expense",$F$29:$F$528,"&lt;&gt;Rent")</f>
        <v/>
      </c>
      <c r="J10" s="3">
        <f>SUMIFS($J$29:$J$528,$B$29:$B$528,5,$I$29:$I$528,"Income")</f>
        <v/>
      </c>
      <c r="K10" s="3">
        <f>J10-I10</f>
        <v/>
      </c>
    </row>
    <row r="11">
      <c r="D11" s="5" t="inlineStr">
        <is>
          <t>Health &amp; Medical</t>
        </is>
      </c>
      <c r="E11" s="3">
        <f>SUMIFS($J$29:$J$528,$E$29:$E$528,$D11,$I$29:$I$528,"Expense")</f>
        <v/>
      </c>
      <c r="F11" s="3">
        <f>SUMIFS($J$29:$J$528,$E$29:$E$528,$D11,$I$29:$I$528,"Income")</f>
        <v/>
      </c>
      <c r="G11" s="3">
        <f>SUMIFS($J$29:$J$528,$E$29:$E$528,$D11,$I$29:$I$528,"Opening Balance")</f>
        <v/>
      </c>
    </row>
    <row r="12">
      <c r="D12" s="5" t="inlineStr">
        <is>
          <t>Insurance</t>
        </is>
      </c>
      <c r="E12" s="3">
        <f>SUMIFS($J$29:$J$528,$E$29:$E$528,$D12,$I$29:$I$528,"Expense")</f>
        <v/>
      </c>
      <c r="F12" s="3">
        <f>SUMIFS($J$29:$J$528,$E$29:$E$528,$D12,$I$29:$I$528,"Income")</f>
        <v/>
      </c>
      <c r="G12" s="3">
        <f>SUMIFS($J$29:$J$528,$E$29:$E$528,$D12,$I$29:$I$528,"Opening Balance")</f>
        <v/>
      </c>
    </row>
    <row r="13">
      <c r="D13" s="5" t="inlineStr">
        <is>
          <t>Debt Payments</t>
        </is>
      </c>
      <c r="E13" s="3">
        <f>SUMIFS($J$29:$J$528,$E$29:$E$528,$D13,$I$29:$I$528,"Expense")</f>
        <v/>
      </c>
      <c r="F13" s="3">
        <f>SUMIFS($J$29:$J$528,$E$29:$E$528,$D13,$I$29:$I$528,"Income")</f>
        <v/>
      </c>
      <c r="G13" s="3">
        <f>SUMIFS($J$29:$J$528,$E$29:$E$528,$D13,$I$29:$I$528,"Opening Balance")</f>
        <v/>
      </c>
    </row>
    <row r="14">
      <c r="D14" s="5" t="inlineStr">
        <is>
          <t>Savings &amp; Investments</t>
        </is>
      </c>
      <c r="E14" s="3">
        <f>SUMIFS($J$29:$J$528,$E$29:$E$528,$D14,$I$29:$I$528,"Expense")</f>
        <v/>
      </c>
      <c r="F14" s="3">
        <f>SUMIFS($J$29:$J$528,$E$29:$E$528,$D14,$I$29:$I$528,"Income")</f>
        <v/>
      </c>
      <c r="G14" s="3">
        <f>SUMIFS($J$29:$J$528,$E$29:$E$528,$D14,$I$29:$I$528,"Opening Balance")</f>
        <v/>
      </c>
    </row>
    <row r="15">
      <c r="D15" s="5" t="inlineStr">
        <is>
          <t>Personal Care</t>
        </is>
      </c>
      <c r="E15" s="3">
        <f>SUMIFS($J$29:$J$528,$E$29:$E$528,$D15,$I$29:$I$528,"Expense")</f>
        <v/>
      </c>
      <c r="F15" s="3">
        <f>SUMIFS($J$29:$J$528,$E$29:$E$528,$D15,$I$29:$I$528,"Income")</f>
        <v/>
      </c>
      <c r="G15" s="3">
        <f>SUMIFS($J$29:$J$528,$E$29:$E$528,$D15,$I$29:$I$528,"Opening Balance")</f>
        <v/>
      </c>
    </row>
    <row r="16">
      <c r="D16" s="5" t="inlineStr">
        <is>
          <t>Shopping</t>
        </is>
      </c>
      <c r="E16" s="3">
        <f>SUMIFS($J$29:$J$528,$E$29:$E$528,$D16,$I$29:$I$528,"Expense")</f>
        <v/>
      </c>
      <c r="F16" s="3">
        <f>SUMIFS($J$29:$J$528,$E$29:$E$528,$D16,$I$29:$I$528,"Income")</f>
        <v/>
      </c>
      <c r="G16" s="3">
        <f>SUMIFS($J$29:$J$528,$E$29:$E$528,$D16,$I$29:$I$528,"Opening Balance")</f>
        <v/>
      </c>
    </row>
    <row r="17">
      <c r="D17" s="5" t="inlineStr">
        <is>
          <t>Entertainment</t>
        </is>
      </c>
      <c r="E17" s="3">
        <f>SUMIFS($J$29:$J$528,$E$29:$E$528,$D17,$I$29:$I$528,"Expense")</f>
        <v/>
      </c>
      <c r="F17" s="3">
        <f>SUMIFS($J$29:$J$528,$E$29:$E$528,$D17,$I$29:$I$528,"Income")</f>
        <v/>
      </c>
      <c r="G17" s="3">
        <f>SUMIFS($J$29:$J$528,$E$29:$E$528,$D17,$I$29:$I$528,"Opening Balance")</f>
        <v/>
      </c>
    </row>
    <row r="18">
      <c r="D18" s="5" t="inlineStr">
        <is>
          <t>Travel</t>
        </is>
      </c>
      <c r="E18" s="3">
        <f>SUMIFS($J$29:$J$528,$E$29:$E$528,$D18,$I$29:$I$528,"Expense")</f>
        <v/>
      </c>
      <c r="F18" s="3">
        <f>SUMIFS($J$29:$J$528,$E$29:$E$528,$D18,$I$29:$I$528,"Income")</f>
        <v/>
      </c>
      <c r="G18" s="3">
        <f>SUMIFS($J$29:$J$528,$E$29:$E$528,$D18,$I$29:$I$528,"Opening Balance")</f>
        <v/>
      </c>
    </row>
    <row r="19">
      <c r="D19" s="5" t="inlineStr">
        <is>
          <t>Education</t>
        </is>
      </c>
      <c r="E19" s="3">
        <f>SUMIFS($J$29:$J$528,$E$29:$E$528,$D19,$I$29:$I$528,"Expense")</f>
        <v/>
      </c>
      <c r="F19" s="3">
        <f>SUMIFS($J$29:$J$528,$E$29:$E$528,$D19,$I$29:$I$528,"Income")</f>
        <v/>
      </c>
      <c r="G19" s="3">
        <f>SUMIFS($J$29:$J$528,$E$29:$E$528,$D19,$I$29:$I$528,"Opening Balance")</f>
        <v/>
      </c>
    </row>
    <row r="20">
      <c r="D20" s="5" t="inlineStr">
        <is>
          <t>Gifts &amp; Donations</t>
        </is>
      </c>
      <c r="E20" s="3">
        <f>SUMIFS($J$29:$J$528,$E$29:$E$528,$D20,$I$29:$I$528,"Expense")</f>
        <v/>
      </c>
      <c r="F20" s="3">
        <f>SUMIFS($J$29:$J$528,$E$29:$E$528,$D20,$I$29:$I$528,"Income")</f>
        <v/>
      </c>
      <c r="G20" s="3">
        <f>SUMIFS($J$29:$J$528,$E$29:$E$528,$D20,$I$29:$I$528,"Opening Balance")</f>
        <v/>
      </c>
    </row>
    <row r="21">
      <c r="D21" s="5" t="inlineStr">
        <is>
          <t>Taxes</t>
        </is>
      </c>
      <c r="E21" s="3">
        <f>SUMIFS($J$29:$J$528,$E$29:$E$528,$D21,$I$29:$I$528,"Expense")</f>
        <v/>
      </c>
      <c r="F21" s="3">
        <f>SUMIFS($J$29:$J$528,$E$29:$E$528,$D21,$I$29:$I$528,"Income")</f>
        <v/>
      </c>
      <c r="G21" s="3">
        <f>SUMIFS($J$29:$J$528,$E$29:$E$528,$D21,$I$29:$I$528,"Opening Balance")</f>
        <v/>
      </c>
    </row>
    <row r="22">
      <c r="D22" s="5" t="inlineStr">
        <is>
          <t>Shipping</t>
        </is>
      </c>
      <c r="E22" s="3">
        <f>SUMIFS($J$29:$J$528,$E$29:$E$528,$D22,$I$29:$I$528,"Expense")</f>
        <v/>
      </c>
      <c r="F22" s="3">
        <f>SUMIFS($J$29:$J$528,$E$29:$E$528,$D22,$I$29:$I$528,"Income")</f>
        <v/>
      </c>
      <c r="G22" s="3">
        <f>SUMIFS($J$29:$J$528,$E$29:$E$528,$D22,$I$29:$I$528,"Opening Balance")</f>
        <v/>
      </c>
    </row>
    <row r="23">
      <c r="D23" s="5" t="inlineStr">
        <is>
          <t>Income</t>
        </is>
      </c>
      <c r="E23" s="3">
        <f>SUMIFS($J$29:$J$528,$E$29:$E$528,$D23,$I$29:$I$528,"Expense")</f>
        <v/>
      </c>
      <c r="F23" s="3">
        <f>SUMIFS($J$29:$J$528,$E$29:$E$528,$D23,$I$29:$I$528,"Income")</f>
        <v/>
      </c>
      <c r="G23" s="3">
        <f>SUMIFS($J$29:$J$528,$E$29:$E$528,$D23,$I$29:$I$528,"Opening Balance")</f>
        <v/>
      </c>
    </row>
    <row r="24">
      <c r="D24" s="5" t="inlineStr">
        <is>
          <t>Transfers</t>
        </is>
      </c>
      <c r="E24" s="3">
        <f>SUMIFS($J$29:$J$528,$E$29:$E$528,$D24,$I$29:$I$528,"Expense")</f>
        <v/>
      </c>
      <c r="F24" s="3">
        <f>SUMIFS($J$29:$J$528,$E$29:$E$528,$D24,$I$29:$I$528,"Income")</f>
        <v/>
      </c>
      <c r="G24" s="3">
        <f>SUMIFS($J$29:$J$528,$E$29:$E$528,$D24,$I$29:$I$528,"Opening Balance")</f>
        <v/>
      </c>
    </row>
    <row r="25">
      <c r="D25" s="5" t="inlineStr">
        <is>
          <t>Existing Savings</t>
        </is>
      </c>
      <c r="E25" s="3">
        <f>SUMIFS($J$29:$J$528,$E$29:$E$528,$D25,$I$29:$I$528,"Expense")</f>
        <v/>
      </c>
      <c r="F25" s="3">
        <f>SUMIFS($J$29:$J$528,$E$29:$E$528,$D25,$I$29:$I$528,"Income")</f>
        <v/>
      </c>
      <c r="G25" s="3">
        <f>SUMIFS($J$29:$J$528,$E$29:$E$528,$D25,$I$29:$I$528,"Opening Balance")</f>
        <v/>
      </c>
    </row>
    <row r="26">
      <c r="D26" s="5" t="inlineStr">
        <is>
          <t>Essentials</t>
        </is>
      </c>
      <c r="E26" s="3">
        <f>SUMIFS($J$29:$J$528,$E$29:$E$528,$D26,$I$29:$I$528,"Expense")</f>
        <v/>
      </c>
      <c r="F26" s="3">
        <f>SUMIFS($J$29:$J$528,$E$29:$E$528,$D26,$I$29:$I$528,"Income")</f>
        <v/>
      </c>
      <c r="G26" s="3">
        <f>SUMIFS($J$29:$J$528,$E$29:$E$528,$D26,$I$29:$I$528,"Opening Balance")</f>
        <v/>
      </c>
    </row>
    <row r="27">
      <c r="A27" s="1" t="inlineStr">
        <is>
          <t>Transactions</t>
        </is>
      </c>
    </row>
    <row r="28">
      <c r="A28" s="2" t="inlineStr">
        <is>
          <t>Date</t>
        </is>
      </c>
      <c r="B28" s="2" t="inlineStr">
        <is>
          <t>Week</t>
        </is>
      </c>
      <c r="C28" s="2" t="inlineStr">
        <is>
          <t>Description</t>
        </is>
      </c>
      <c r="D28" s="2" t="inlineStr">
        <is>
          <t>Merchant</t>
        </is>
      </c>
      <c r="E28" s="2" t="inlineStr">
        <is>
          <t>Category</t>
        </is>
      </c>
      <c r="F28" s="2" t="inlineStr">
        <is>
          <t>Subcategory</t>
        </is>
      </c>
      <c r="G28" s="2" t="inlineStr">
        <is>
          <t>Account</t>
        </is>
      </c>
      <c r="H28" s="2" t="inlineStr">
        <is>
          <t>Payment Method</t>
        </is>
      </c>
      <c r="I28" s="2" t="inlineStr">
        <is>
          <t>Type</t>
        </is>
      </c>
      <c r="J28" s="2" t="inlineStr">
        <is>
          <t>Amount</t>
        </is>
      </c>
      <c r="K28" s="2" t="inlineStr">
        <is>
          <t>Notes</t>
        </is>
      </c>
    </row>
    <row r="29">
      <c r="A29" s="4" t="n"/>
      <c r="B29" s="9">
        <f>IF(A29="","",INT((DAY(A29)-1)/7)+1)</f>
        <v/>
      </c>
      <c r="C29" s="9" t="n"/>
      <c r="D29" s="9" t="n"/>
      <c r="E29" s="9" t="n"/>
      <c r="F29" s="9" t="n"/>
      <c r="G29" s="9" t="n"/>
      <c r="H29" s="9" t="n"/>
      <c r="I29" s="9" t="n"/>
      <c r="J29" s="3" t="n"/>
      <c r="K29" s="9" t="n"/>
    </row>
    <row r="30">
      <c r="A30" s="4" t="n"/>
      <c r="B30" s="9">
        <f>IF(A30="","",INT((DAY(A30)-1)/7)+1)</f>
        <v/>
      </c>
      <c r="C30" s="9" t="n"/>
      <c r="D30" s="9" t="n"/>
      <c r="E30" s="9" t="n"/>
      <c r="F30" s="9" t="n"/>
      <c r="G30" s="9" t="n"/>
      <c r="H30" s="9" t="n"/>
      <c r="I30" s="9" t="n"/>
      <c r="J30" s="3" t="n"/>
      <c r="K30" s="9" t="n"/>
    </row>
    <row r="31">
      <c r="A31" s="4" t="n"/>
      <c r="B31" s="9">
        <f>IF(A31="","",INT((DAY(A31)-1)/7)+1)</f>
        <v/>
      </c>
      <c r="C31" s="9" t="n"/>
      <c r="D31" s="9" t="n"/>
      <c r="E31" s="9" t="n"/>
      <c r="F31" s="9" t="n"/>
      <c r="G31" s="9" t="n"/>
      <c r="H31" s="9" t="n"/>
      <c r="I31" s="9" t="n"/>
      <c r="J31" s="3" t="n"/>
      <c r="K31" s="9" t="n"/>
    </row>
    <row r="32">
      <c r="A32" s="4" t="n"/>
      <c r="B32" s="9">
        <f>IF(A32="","",INT((DAY(A32)-1)/7)+1)</f>
        <v/>
      </c>
      <c r="C32" s="9" t="n"/>
      <c r="D32" s="9" t="n"/>
      <c r="E32" s="9" t="n"/>
      <c r="F32" s="9" t="n"/>
      <c r="G32" s="9" t="n"/>
      <c r="H32" s="9" t="n"/>
      <c r="I32" s="9" t="n"/>
      <c r="J32" s="3" t="n"/>
      <c r="K32" s="9" t="n"/>
    </row>
    <row r="33">
      <c r="A33" s="4" t="n"/>
      <c r="B33" s="9">
        <f>IF(A33="","",INT((DAY(A33)-1)/7)+1)</f>
        <v/>
      </c>
      <c r="C33" s="9" t="n"/>
      <c r="D33" s="9" t="n"/>
      <c r="E33" s="9" t="n"/>
      <c r="F33" s="9" t="n"/>
      <c r="G33" s="9" t="n"/>
      <c r="H33" s="9" t="n"/>
      <c r="I33" s="9" t="n"/>
      <c r="J33" s="3" t="n"/>
      <c r="K33" s="9" t="n"/>
    </row>
    <row r="34">
      <c r="A34" s="4" t="n"/>
      <c r="B34" s="9">
        <f>IF(A34="","",INT((DAY(A34)-1)/7)+1)</f>
        <v/>
      </c>
      <c r="C34" s="9" t="n"/>
      <c r="D34" s="9" t="n"/>
      <c r="E34" s="9" t="n"/>
      <c r="F34" s="9" t="n"/>
      <c r="G34" s="9" t="n"/>
      <c r="H34" s="9" t="n"/>
      <c r="I34" s="9" t="n"/>
      <c r="J34" s="3" t="n"/>
      <c r="K34" s="9" t="n"/>
    </row>
    <row r="35">
      <c r="A35" s="4" t="n"/>
      <c r="B35" s="9">
        <f>IF(A35="","",INT((DAY(A35)-1)/7)+1)</f>
        <v/>
      </c>
      <c r="C35" s="9" t="n"/>
      <c r="D35" s="9" t="n"/>
      <c r="E35" s="9" t="n"/>
      <c r="F35" s="9" t="n"/>
      <c r="G35" s="9" t="n"/>
      <c r="H35" s="9" t="n"/>
      <c r="I35" s="9" t="n"/>
      <c r="J35" s="3" t="n"/>
      <c r="K35" s="9" t="n"/>
    </row>
    <row r="36">
      <c r="A36" s="4" t="n"/>
      <c r="B36" s="9">
        <f>IF(A36="","",INT((DAY(A36)-1)/7)+1)</f>
        <v/>
      </c>
      <c r="C36" s="9" t="n"/>
      <c r="D36" s="9" t="n"/>
      <c r="E36" s="9" t="n"/>
      <c r="F36" s="9" t="n"/>
      <c r="G36" s="9" t="n"/>
      <c r="H36" s="9" t="n"/>
      <c r="I36" s="9" t="n"/>
      <c r="J36" s="3" t="n"/>
      <c r="K36" s="9" t="n"/>
    </row>
    <row r="37">
      <c r="A37" s="4" t="n"/>
      <c r="B37" s="9">
        <f>IF(A37="","",INT((DAY(A37)-1)/7)+1)</f>
        <v/>
      </c>
      <c r="C37" s="9" t="n"/>
      <c r="D37" s="9" t="n"/>
      <c r="E37" s="9" t="n"/>
      <c r="F37" s="9" t="n"/>
      <c r="G37" s="9" t="n"/>
      <c r="H37" s="9" t="n"/>
      <c r="I37" s="9" t="n"/>
      <c r="J37" s="3" t="n"/>
      <c r="K37" s="9" t="n"/>
    </row>
    <row r="38">
      <c r="A38" s="4" t="n"/>
      <c r="B38" s="9">
        <f>IF(A38="","",INT((DAY(A38)-1)/7)+1)</f>
        <v/>
      </c>
      <c r="C38" s="9" t="n"/>
      <c r="D38" s="9" t="n"/>
      <c r="E38" s="9" t="n"/>
      <c r="F38" s="9" t="n"/>
      <c r="G38" s="9" t="n"/>
      <c r="H38" s="9" t="n"/>
      <c r="I38" s="9" t="n"/>
      <c r="J38" s="3" t="n"/>
      <c r="K38" s="9" t="n"/>
    </row>
    <row r="39">
      <c r="A39" s="4" t="n"/>
      <c r="B39" s="9">
        <f>IF(A39="","",INT((DAY(A39)-1)/7)+1)</f>
        <v/>
      </c>
      <c r="C39" s="9" t="n"/>
      <c r="D39" s="9" t="n"/>
      <c r="E39" s="9" t="n"/>
      <c r="F39" s="9" t="n"/>
      <c r="G39" s="9" t="n"/>
      <c r="H39" s="9" t="n"/>
      <c r="I39" s="9" t="n"/>
      <c r="J39" s="3" t="n"/>
      <c r="K39" s="9" t="n"/>
    </row>
    <row r="40">
      <c r="A40" s="4" t="n"/>
      <c r="B40" s="9">
        <f>IF(A40="","",INT((DAY(A40)-1)/7)+1)</f>
        <v/>
      </c>
      <c r="C40" s="9" t="n"/>
      <c r="D40" s="9" t="n"/>
      <c r="E40" s="9" t="n"/>
      <c r="F40" s="9" t="n"/>
      <c r="G40" s="9" t="n"/>
      <c r="H40" s="9" t="n"/>
      <c r="I40" s="9" t="n"/>
      <c r="J40" s="3" t="n"/>
      <c r="K40" s="9" t="n"/>
    </row>
    <row r="41">
      <c r="A41" s="4" t="n"/>
      <c r="B41" s="9">
        <f>IF(A41="","",INT((DAY(A41)-1)/7)+1)</f>
        <v/>
      </c>
      <c r="C41" s="9" t="n"/>
      <c r="D41" s="9" t="n"/>
      <c r="E41" s="9" t="n"/>
      <c r="F41" s="9" t="n"/>
      <c r="G41" s="9" t="n"/>
      <c r="H41" s="9" t="n"/>
      <c r="I41" s="9" t="n"/>
      <c r="J41" s="3" t="n"/>
      <c r="K41" s="9" t="n"/>
    </row>
    <row r="42">
      <c r="A42" s="4" t="n"/>
      <c r="B42" s="9">
        <f>IF(A42="","",INT((DAY(A42)-1)/7)+1)</f>
        <v/>
      </c>
      <c r="C42" s="9" t="n"/>
      <c r="D42" s="9" t="n"/>
      <c r="E42" s="9" t="n"/>
      <c r="F42" s="9" t="n"/>
      <c r="G42" s="9" t="n"/>
      <c r="H42" s="9" t="n"/>
      <c r="I42" s="9" t="n"/>
      <c r="J42" s="3" t="n"/>
      <c r="K42" s="9" t="n"/>
    </row>
    <row r="43">
      <c r="A43" s="4" t="n"/>
      <c r="B43" s="9">
        <f>IF(A43="","",INT((DAY(A43)-1)/7)+1)</f>
        <v/>
      </c>
      <c r="C43" s="9" t="n"/>
      <c r="D43" s="9" t="n"/>
      <c r="E43" s="9" t="n"/>
      <c r="F43" s="9" t="n"/>
      <c r="G43" s="9" t="n"/>
      <c r="H43" s="9" t="n"/>
      <c r="I43" s="9" t="n"/>
      <c r="J43" s="3" t="n"/>
      <c r="K43" s="9" t="n"/>
    </row>
    <row r="44">
      <c r="A44" s="4" t="n"/>
      <c r="B44" s="9">
        <f>IF(A44="","",INT((DAY(A44)-1)/7)+1)</f>
        <v/>
      </c>
      <c r="C44" s="9" t="n"/>
      <c r="D44" s="9" t="n"/>
      <c r="E44" s="9" t="n"/>
      <c r="F44" s="9" t="n"/>
      <c r="G44" s="9" t="n"/>
      <c r="H44" s="9" t="n"/>
      <c r="I44" s="9" t="n"/>
      <c r="J44" s="3" t="n"/>
      <c r="K44" s="9" t="n"/>
    </row>
    <row r="45">
      <c r="A45" s="4" t="n"/>
      <c r="B45" s="9">
        <f>IF(A45="","",INT((DAY(A45)-1)/7)+1)</f>
        <v/>
      </c>
      <c r="C45" s="9" t="n"/>
      <c r="D45" s="9" t="n"/>
      <c r="E45" s="9" t="n"/>
      <c r="F45" s="9" t="n"/>
      <c r="G45" s="9" t="n"/>
      <c r="H45" s="9" t="n"/>
      <c r="I45" s="9" t="n"/>
      <c r="J45" s="3" t="n"/>
      <c r="K45" s="9" t="n"/>
    </row>
    <row r="46">
      <c r="A46" s="4" t="n"/>
      <c r="B46" s="9">
        <f>IF(A46="","",INT((DAY(A46)-1)/7)+1)</f>
        <v/>
      </c>
      <c r="C46" s="9" t="n"/>
      <c r="D46" s="9" t="n"/>
      <c r="E46" s="9" t="n"/>
      <c r="F46" s="9" t="n"/>
      <c r="G46" s="9" t="n"/>
      <c r="H46" s="9" t="n"/>
      <c r="I46" s="9" t="n"/>
      <c r="J46" s="3" t="n"/>
      <c r="K46" s="9" t="n"/>
    </row>
    <row r="47">
      <c r="A47" s="4" t="n"/>
      <c r="B47" s="9">
        <f>IF(A47="","",INT((DAY(A47)-1)/7)+1)</f>
        <v/>
      </c>
      <c r="C47" s="9" t="n"/>
      <c r="D47" s="9" t="n"/>
      <c r="E47" s="9" t="n"/>
      <c r="F47" s="9" t="n"/>
      <c r="G47" s="9" t="n"/>
      <c r="H47" s="9" t="n"/>
      <c r="I47" s="9" t="n"/>
      <c r="J47" s="3" t="n"/>
      <c r="K47" s="9" t="n"/>
    </row>
    <row r="48">
      <c r="A48" s="4" t="n"/>
      <c r="B48" s="9">
        <f>IF(A48="","",INT((DAY(A48)-1)/7)+1)</f>
        <v/>
      </c>
      <c r="C48" s="9" t="n"/>
      <c r="D48" s="9" t="n"/>
      <c r="E48" s="9" t="n"/>
      <c r="F48" s="9" t="n"/>
      <c r="G48" s="9" t="n"/>
      <c r="H48" s="9" t="n"/>
      <c r="I48" s="9" t="n"/>
      <c r="J48" s="3" t="n"/>
      <c r="K48" s="9" t="n"/>
    </row>
    <row r="49">
      <c r="A49" s="4" t="n"/>
      <c r="B49" s="9">
        <f>IF(A49="","",INT((DAY(A49)-1)/7)+1)</f>
        <v/>
      </c>
      <c r="C49" s="9" t="n"/>
      <c r="D49" s="9" t="n"/>
      <c r="E49" s="9" t="n"/>
      <c r="F49" s="9" t="n"/>
      <c r="G49" s="9" t="n"/>
      <c r="H49" s="9" t="n"/>
      <c r="I49" s="9" t="n"/>
      <c r="J49" s="3" t="n"/>
      <c r="K49" s="9" t="n"/>
    </row>
    <row r="50">
      <c r="A50" s="4" t="n"/>
      <c r="B50" s="9">
        <f>IF(A50="","",INT((DAY(A50)-1)/7)+1)</f>
        <v/>
      </c>
      <c r="C50" s="9" t="n"/>
      <c r="D50" s="9" t="n"/>
      <c r="E50" s="9" t="n"/>
      <c r="F50" s="9" t="n"/>
      <c r="G50" s="9" t="n"/>
      <c r="H50" s="9" t="n"/>
      <c r="I50" s="9" t="n"/>
      <c r="J50" s="3" t="n"/>
      <c r="K50" s="9" t="n"/>
    </row>
    <row r="51">
      <c r="A51" s="4" t="n"/>
      <c r="B51" s="9">
        <f>IF(A51="","",INT((DAY(A51)-1)/7)+1)</f>
        <v/>
      </c>
      <c r="C51" s="9" t="n"/>
      <c r="D51" s="9" t="n"/>
      <c r="E51" s="9" t="n"/>
      <c r="F51" s="9" t="n"/>
      <c r="G51" s="9" t="n"/>
      <c r="H51" s="9" t="n"/>
      <c r="I51" s="9" t="n"/>
      <c r="J51" s="3" t="n"/>
      <c r="K51" s="9" t="n"/>
    </row>
    <row r="52">
      <c r="A52" s="4" t="n"/>
      <c r="B52" s="9">
        <f>IF(A52="","",INT((DAY(A52)-1)/7)+1)</f>
        <v/>
      </c>
      <c r="C52" s="9" t="n"/>
      <c r="D52" s="9" t="n"/>
      <c r="E52" s="9" t="n"/>
      <c r="F52" s="9" t="n"/>
      <c r="G52" s="9" t="n"/>
      <c r="H52" s="9" t="n"/>
      <c r="I52" s="9" t="n"/>
      <c r="J52" s="3" t="n"/>
      <c r="K52" s="9" t="n"/>
    </row>
    <row r="53">
      <c r="A53" s="4" t="n"/>
      <c r="B53" s="9">
        <f>IF(A53="","",INT((DAY(A53)-1)/7)+1)</f>
        <v/>
      </c>
      <c r="C53" s="9" t="n"/>
      <c r="D53" s="9" t="n"/>
      <c r="E53" s="9" t="n"/>
      <c r="F53" s="9" t="n"/>
      <c r="G53" s="9" t="n"/>
      <c r="H53" s="9" t="n"/>
      <c r="I53" s="9" t="n"/>
      <c r="J53" s="3" t="n"/>
      <c r="K53" s="9" t="n"/>
    </row>
    <row r="54">
      <c r="A54" s="4" t="n"/>
      <c r="B54" s="9">
        <f>IF(A54="","",INT((DAY(A54)-1)/7)+1)</f>
        <v/>
      </c>
      <c r="C54" s="9" t="n"/>
      <c r="D54" s="9" t="n"/>
      <c r="E54" s="9" t="n"/>
      <c r="F54" s="9" t="n"/>
      <c r="G54" s="9" t="n"/>
      <c r="H54" s="9" t="n"/>
      <c r="I54" s="9" t="n"/>
      <c r="J54" s="3" t="n"/>
      <c r="K54" s="9" t="n"/>
    </row>
    <row r="55">
      <c r="A55" s="4" t="n"/>
      <c r="B55" s="9">
        <f>IF(A55="","",INT((DAY(A55)-1)/7)+1)</f>
        <v/>
      </c>
      <c r="C55" s="9" t="n"/>
      <c r="D55" s="9" t="n"/>
      <c r="E55" s="9" t="n"/>
      <c r="F55" s="9" t="n"/>
      <c r="G55" s="9" t="n"/>
      <c r="H55" s="9" t="n"/>
      <c r="I55" s="9" t="n"/>
      <c r="J55" s="3" t="n"/>
      <c r="K55" s="9" t="n"/>
    </row>
    <row r="56">
      <c r="A56" s="4" t="n"/>
      <c r="B56" s="9">
        <f>IF(A56="","",INT((DAY(A56)-1)/7)+1)</f>
        <v/>
      </c>
      <c r="C56" s="9" t="n"/>
      <c r="D56" s="9" t="n"/>
      <c r="E56" s="9" t="n"/>
      <c r="F56" s="9" t="n"/>
      <c r="G56" s="9" t="n"/>
      <c r="H56" s="9" t="n"/>
      <c r="I56" s="9" t="n"/>
      <c r="J56" s="3" t="n"/>
      <c r="K56" s="9" t="n"/>
    </row>
    <row r="57">
      <c r="A57" s="4" t="n"/>
      <c r="B57" s="9">
        <f>IF(A57="","",INT((DAY(A57)-1)/7)+1)</f>
        <v/>
      </c>
      <c r="C57" s="9" t="n"/>
      <c r="D57" s="9" t="n"/>
      <c r="E57" s="9" t="n"/>
      <c r="F57" s="9" t="n"/>
      <c r="G57" s="9" t="n"/>
      <c r="H57" s="9" t="n"/>
      <c r="I57" s="9" t="n"/>
      <c r="J57" s="3" t="n"/>
      <c r="K57" s="9" t="n"/>
    </row>
    <row r="58">
      <c r="A58" s="4" t="n"/>
      <c r="B58" s="9">
        <f>IF(A58="","",INT((DAY(A58)-1)/7)+1)</f>
        <v/>
      </c>
      <c r="C58" s="9" t="n"/>
      <c r="D58" s="9" t="n"/>
      <c r="E58" s="9" t="n"/>
      <c r="F58" s="9" t="n"/>
      <c r="G58" s="9" t="n"/>
      <c r="H58" s="9" t="n"/>
      <c r="I58" s="9" t="n"/>
      <c r="J58" s="3" t="n"/>
      <c r="K58" s="9" t="n"/>
    </row>
    <row r="59">
      <c r="A59" s="4" t="n"/>
      <c r="B59" s="9">
        <f>IF(A59="","",INT((DAY(A59)-1)/7)+1)</f>
        <v/>
      </c>
      <c r="C59" s="9" t="n"/>
      <c r="D59" s="9" t="n"/>
      <c r="E59" s="9" t="n"/>
      <c r="F59" s="9" t="n"/>
      <c r="G59" s="9" t="n"/>
      <c r="H59" s="9" t="n"/>
      <c r="I59" s="9" t="n"/>
      <c r="J59" s="3" t="n"/>
      <c r="K59" s="9" t="n"/>
    </row>
    <row r="60">
      <c r="A60" s="4" t="n"/>
      <c r="B60" s="9">
        <f>IF(A60="","",INT((DAY(A60)-1)/7)+1)</f>
        <v/>
      </c>
      <c r="C60" s="9" t="n"/>
      <c r="D60" s="9" t="n"/>
      <c r="E60" s="9" t="n"/>
      <c r="F60" s="9" t="n"/>
      <c r="G60" s="9" t="n"/>
      <c r="H60" s="9" t="n"/>
      <c r="I60" s="9" t="n"/>
      <c r="J60" s="3" t="n"/>
      <c r="K60" s="9" t="n"/>
    </row>
    <row r="61">
      <c r="A61" s="4" t="n"/>
      <c r="B61" s="9">
        <f>IF(A61="","",INT((DAY(A61)-1)/7)+1)</f>
        <v/>
      </c>
      <c r="C61" s="9" t="n"/>
      <c r="D61" s="9" t="n"/>
      <c r="E61" s="9" t="n"/>
      <c r="F61" s="9" t="n"/>
      <c r="G61" s="9" t="n"/>
      <c r="H61" s="9" t="n"/>
      <c r="I61" s="9" t="n"/>
      <c r="J61" s="3" t="n"/>
      <c r="K61" s="9" t="n"/>
    </row>
    <row r="62">
      <c r="A62" s="4" t="n"/>
      <c r="B62" s="9">
        <f>IF(A62="","",INT((DAY(A62)-1)/7)+1)</f>
        <v/>
      </c>
      <c r="C62" s="9" t="n"/>
      <c r="D62" s="9" t="n"/>
      <c r="E62" s="9" t="n"/>
      <c r="F62" s="9" t="n"/>
      <c r="G62" s="9" t="n"/>
      <c r="H62" s="9" t="n"/>
      <c r="I62" s="9" t="n"/>
      <c r="J62" s="3" t="n"/>
      <c r="K62" s="9" t="n"/>
    </row>
    <row r="63">
      <c r="A63" s="4" t="n"/>
      <c r="B63" s="9">
        <f>IF(A63="","",INT((DAY(A63)-1)/7)+1)</f>
        <v/>
      </c>
      <c r="C63" s="9" t="n"/>
      <c r="D63" s="9" t="n"/>
      <c r="E63" s="9" t="n"/>
      <c r="F63" s="9" t="n"/>
      <c r="G63" s="9" t="n"/>
      <c r="H63" s="9" t="n"/>
      <c r="I63" s="9" t="n"/>
      <c r="J63" s="3" t="n"/>
      <c r="K63" s="9" t="n"/>
    </row>
    <row r="64">
      <c r="A64" s="4" t="n"/>
      <c r="B64" s="9">
        <f>IF(A64="","",INT((DAY(A64)-1)/7)+1)</f>
        <v/>
      </c>
      <c r="C64" s="9" t="n"/>
      <c r="D64" s="9" t="n"/>
      <c r="E64" s="9" t="n"/>
      <c r="F64" s="9" t="n"/>
      <c r="G64" s="9" t="n"/>
      <c r="H64" s="9" t="n"/>
      <c r="I64" s="9" t="n"/>
      <c r="J64" s="3" t="n"/>
      <c r="K64" s="9" t="n"/>
    </row>
    <row r="65">
      <c r="A65" s="4" t="n"/>
      <c r="B65" s="9">
        <f>IF(A65="","",INT((DAY(A65)-1)/7)+1)</f>
        <v/>
      </c>
      <c r="C65" s="9" t="n"/>
      <c r="D65" s="9" t="n"/>
      <c r="E65" s="9" t="n"/>
      <c r="F65" s="9" t="n"/>
      <c r="G65" s="9" t="n"/>
      <c r="H65" s="9" t="n"/>
      <c r="I65" s="9" t="n"/>
      <c r="J65" s="3" t="n"/>
      <c r="K65" s="9" t="n"/>
    </row>
    <row r="66">
      <c r="A66" s="4" t="n"/>
      <c r="B66" s="9">
        <f>IF(A66="","",INT((DAY(A66)-1)/7)+1)</f>
        <v/>
      </c>
      <c r="C66" s="9" t="n"/>
      <c r="D66" s="9" t="n"/>
      <c r="E66" s="9" t="n"/>
      <c r="F66" s="9" t="n"/>
      <c r="G66" s="9" t="n"/>
      <c r="H66" s="9" t="n"/>
      <c r="I66" s="9" t="n"/>
      <c r="J66" s="3" t="n"/>
      <c r="K66" s="9" t="n"/>
    </row>
    <row r="67">
      <c r="A67" s="4" t="n"/>
      <c r="B67" s="9">
        <f>IF(A67="","",INT((DAY(A67)-1)/7)+1)</f>
        <v/>
      </c>
      <c r="C67" s="9" t="n"/>
      <c r="D67" s="9" t="n"/>
      <c r="E67" s="9" t="n"/>
      <c r="F67" s="9" t="n"/>
      <c r="G67" s="9" t="n"/>
      <c r="H67" s="9" t="n"/>
      <c r="I67" s="9" t="n"/>
      <c r="J67" s="3" t="n"/>
      <c r="K67" s="9" t="n"/>
    </row>
    <row r="68">
      <c r="A68" s="4" t="n"/>
      <c r="B68" s="9">
        <f>IF(A68="","",INT((DAY(A68)-1)/7)+1)</f>
        <v/>
      </c>
      <c r="C68" s="9" t="n"/>
      <c r="D68" s="9" t="n"/>
      <c r="E68" s="9" t="n"/>
      <c r="F68" s="9" t="n"/>
      <c r="G68" s="9" t="n"/>
      <c r="H68" s="9" t="n"/>
      <c r="I68" s="9" t="n"/>
      <c r="J68" s="3" t="n"/>
      <c r="K68" s="9" t="n"/>
    </row>
    <row r="69">
      <c r="A69" s="4" t="n"/>
      <c r="B69" s="9">
        <f>IF(A69="","",INT((DAY(A69)-1)/7)+1)</f>
        <v/>
      </c>
      <c r="C69" s="9" t="n"/>
      <c r="D69" s="9" t="n"/>
      <c r="E69" s="9" t="n"/>
      <c r="F69" s="9" t="n"/>
      <c r="G69" s="9" t="n"/>
      <c r="H69" s="9" t="n"/>
      <c r="I69" s="9" t="n"/>
      <c r="J69" s="3" t="n"/>
      <c r="K69" s="9" t="n"/>
    </row>
    <row r="70">
      <c r="A70" s="4" t="n"/>
      <c r="B70" s="9">
        <f>IF(A70="","",INT((DAY(A70)-1)/7)+1)</f>
        <v/>
      </c>
      <c r="C70" s="9" t="n"/>
      <c r="D70" s="9" t="n"/>
      <c r="E70" s="9" t="n"/>
      <c r="F70" s="9" t="n"/>
      <c r="G70" s="9" t="n"/>
      <c r="H70" s="9" t="n"/>
      <c r="I70" s="9" t="n"/>
      <c r="J70" s="3" t="n"/>
      <c r="K70" s="9" t="n"/>
    </row>
    <row r="71">
      <c r="A71" s="4" t="n"/>
      <c r="B71" s="9">
        <f>IF(A71="","",INT((DAY(A71)-1)/7)+1)</f>
        <v/>
      </c>
      <c r="C71" s="9" t="n"/>
      <c r="D71" s="9" t="n"/>
      <c r="E71" s="9" t="n"/>
      <c r="F71" s="9" t="n"/>
      <c r="G71" s="9" t="n"/>
      <c r="H71" s="9" t="n"/>
      <c r="I71" s="9" t="n"/>
      <c r="J71" s="3" t="n"/>
      <c r="K71" s="9" t="n"/>
    </row>
    <row r="72">
      <c r="A72" s="4" t="n"/>
      <c r="B72" s="9">
        <f>IF(A72="","",INT((DAY(A72)-1)/7)+1)</f>
        <v/>
      </c>
      <c r="C72" s="9" t="n"/>
      <c r="D72" s="9" t="n"/>
      <c r="E72" s="9" t="n"/>
      <c r="F72" s="9" t="n"/>
      <c r="G72" s="9" t="n"/>
      <c r="H72" s="9" t="n"/>
      <c r="I72" s="9" t="n"/>
      <c r="J72" s="3" t="n"/>
      <c r="K72" s="9" t="n"/>
    </row>
    <row r="73">
      <c r="A73" s="4" t="n"/>
      <c r="B73" s="9">
        <f>IF(A73="","",INT((DAY(A73)-1)/7)+1)</f>
        <v/>
      </c>
      <c r="C73" s="9" t="n"/>
      <c r="D73" s="9" t="n"/>
      <c r="E73" s="9" t="n"/>
      <c r="F73" s="9" t="n"/>
      <c r="G73" s="9" t="n"/>
      <c r="H73" s="9" t="n"/>
      <c r="I73" s="9" t="n"/>
      <c r="J73" s="3" t="n"/>
      <c r="K73" s="9" t="n"/>
    </row>
    <row r="74">
      <c r="A74" s="4" t="n"/>
      <c r="B74" s="9">
        <f>IF(A74="","",INT((DAY(A74)-1)/7)+1)</f>
        <v/>
      </c>
      <c r="C74" s="9" t="n"/>
      <c r="D74" s="9" t="n"/>
      <c r="E74" s="9" t="n"/>
      <c r="F74" s="9" t="n"/>
      <c r="G74" s="9" t="n"/>
      <c r="H74" s="9" t="n"/>
      <c r="I74" s="9" t="n"/>
      <c r="J74" s="3" t="n"/>
      <c r="K74" s="9" t="n"/>
    </row>
    <row r="75">
      <c r="A75" s="4" t="n"/>
      <c r="B75" s="9">
        <f>IF(A75="","",INT((DAY(A75)-1)/7)+1)</f>
        <v/>
      </c>
      <c r="C75" s="9" t="n"/>
      <c r="D75" s="9" t="n"/>
      <c r="E75" s="9" t="n"/>
      <c r="F75" s="9" t="n"/>
      <c r="G75" s="9" t="n"/>
      <c r="H75" s="9" t="n"/>
      <c r="I75" s="9" t="n"/>
      <c r="J75" s="3" t="n"/>
      <c r="K75" s="9" t="n"/>
    </row>
    <row r="76">
      <c r="A76" s="4" t="n"/>
      <c r="B76" s="9">
        <f>IF(A76="","",INT((DAY(A76)-1)/7)+1)</f>
        <v/>
      </c>
      <c r="C76" s="9" t="n"/>
      <c r="D76" s="9" t="n"/>
      <c r="E76" s="9" t="n"/>
      <c r="F76" s="9" t="n"/>
      <c r="G76" s="9" t="n"/>
      <c r="H76" s="9" t="n"/>
      <c r="I76" s="9" t="n"/>
      <c r="J76" s="3" t="n"/>
      <c r="K76" s="9" t="n"/>
    </row>
    <row r="77">
      <c r="A77" s="4" t="n"/>
      <c r="B77" s="9">
        <f>IF(A77="","",INT((DAY(A77)-1)/7)+1)</f>
        <v/>
      </c>
      <c r="C77" s="9" t="n"/>
      <c r="D77" s="9" t="n"/>
      <c r="E77" s="9" t="n"/>
      <c r="F77" s="9" t="n"/>
      <c r="G77" s="9" t="n"/>
      <c r="H77" s="9" t="n"/>
      <c r="I77" s="9" t="n"/>
      <c r="J77" s="3" t="n"/>
      <c r="K77" s="9" t="n"/>
    </row>
    <row r="78">
      <c r="A78" s="4" t="n"/>
      <c r="B78" s="9">
        <f>IF(A78="","",INT((DAY(A78)-1)/7)+1)</f>
        <v/>
      </c>
      <c r="C78" s="9" t="n"/>
      <c r="D78" s="9" t="n"/>
      <c r="E78" s="9" t="n"/>
      <c r="F78" s="9" t="n"/>
      <c r="G78" s="9" t="n"/>
      <c r="H78" s="9" t="n"/>
      <c r="I78" s="9" t="n"/>
      <c r="J78" s="3" t="n"/>
      <c r="K78" s="9" t="n"/>
    </row>
    <row r="79">
      <c r="A79" s="4" t="n"/>
      <c r="B79" s="9">
        <f>IF(A79="","",INT((DAY(A79)-1)/7)+1)</f>
        <v/>
      </c>
      <c r="C79" s="9" t="n"/>
      <c r="D79" s="9" t="n"/>
      <c r="E79" s="9" t="n"/>
      <c r="F79" s="9" t="n"/>
      <c r="G79" s="9" t="n"/>
      <c r="H79" s="9" t="n"/>
      <c r="I79" s="9" t="n"/>
      <c r="J79" s="3" t="n"/>
      <c r="K79" s="9" t="n"/>
    </row>
    <row r="80">
      <c r="A80" s="4" t="n"/>
      <c r="B80" s="9">
        <f>IF(A80="","",INT((DAY(A80)-1)/7)+1)</f>
        <v/>
      </c>
      <c r="C80" s="9" t="n"/>
      <c r="D80" s="9" t="n"/>
      <c r="E80" s="9" t="n"/>
      <c r="F80" s="9" t="n"/>
      <c r="G80" s="9" t="n"/>
      <c r="H80" s="9" t="n"/>
      <c r="I80" s="9" t="n"/>
      <c r="J80" s="3" t="n"/>
      <c r="K80" s="9" t="n"/>
    </row>
    <row r="81">
      <c r="A81" s="4" t="n"/>
      <c r="B81" s="9">
        <f>IF(A81="","",INT((DAY(A81)-1)/7)+1)</f>
        <v/>
      </c>
      <c r="C81" s="9" t="n"/>
      <c r="D81" s="9" t="n"/>
      <c r="E81" s="9" t="n"/>
      <c r="F81" s="9" t="n"/>
      <c r="G81" s="9" t="n"/>
      <c r="H81" s="9" t="n"/>
      <c r="I81" s="9" t="n"/>
      <c r="J81" s="3" t="n"/>
      <c r="K81" s="9" t="n"/>
    </row>
    <row r="82">
      <c r="A82" s="4" t="n"/>
      <c r="B82" s="9">
        <f>IF(A82="","",INT((DAY(A82)-1)/7)+1)</f>
        <v/>
      </c>
      <c r="C82" s="9" t="n"/>
      <c r="D82" s="9" t="n"/>
      <c r="E82" s="9" t="n"/>
      <c r="F82" s="9" t="n"/>
      <c r="G82" s="9" t="n"/>
      <c r="H82" s="9" t="n"/>
      <c r="I82" s="9" t="n"/>
      <c r="J82" s="3" t="n"/>
      <c r="K82" s="9" t="n"/>
    </row>
    <row r="83">
      <c r="A83" s="4" t="n"/>
      <c r="B83" s="9">
        <f>IF(A83="","",INT((DAY(A83)-1)/7)+1)</f>
        <v/>
      </c>
      <c r="C83" s="9" t="n"/>
      <c r="D83" s="9" t="n"/>
      <c r="E83" s="9" t="n"/>
      <c r="F83" s="9" t="n"/>
      <c r="G83" s="9" t="n"/>
      <c r="H83" s="9" t="n"/>
      <c r="I83" s="9" t="n"/>
      <c r="J83" s="3" t="n"/>
      <c r="K83" s="9" t="n"/>
    </row>
    <row r="84">
      <c r="A84" s="4" t="n"/>
      <c r="B84" s="9">
        <f>IF(A84="","",INT((DAY(A84)-1)/7)+1)</f>
        <v/>
      </c>
      <c r="C84" s="9" t="n"/>
      <c r="D84" s="9" t="n"/>
      <c r="E84" s="9" t="n"/>
      <c r="F84" s="9" t="n"/>
      <c r="G84" s="9" t="n"/>
      <c r="H84" s="9" t="n"/>
      <c r="I84" s="9" t="n"/>
      <c r="J84" s="3" t="n"/>
      <c r="K84" s="9" t="n"/>
    </row>
    <row r="85">
      <c r="A85" s="4" t="n"/>
      <c r="B85" s="9">
        <f>IF(A85="","",INT((DAY(A85)-1)/7)+1)</f>
        <v/>
      </c>
      <c r="C85" s="9" t="n"/>
      <c r="D85" s="9" t="n"/>
      <c r="E85" s="9" t="n"/>
      <c r="F85" s="9" t="n"/>
      <c r="G85" s="9" t="n"/>
      <c r="H85" s="9" t="n"/>
      <c r="I85" s="9" t="n"/>
      <c r="J85" s="3" t="n"/>
      <c r="K85" s="9" t="n"/>
    </row>
    <row r="86">
      <c r="A86" s="4" t="n"/>
      <c r="B86" s="9">
        <f>IF(A86="","",INT((DAY(A86)-1)/7)+1)</f>
        <v/>
      </c>
      <c r="C86" s="9" t="n"/>
      <c r="D86" s="9" t="n"/>
      <c r="E86" s="9" t="n"/>
      <c r="F86" s="9" t="n"/>
      <c r="G86" s="9" t="n"/>
      <c r="H86" s="9" t="n"/>
      <c r="I86" s="9" t="n"/>
      <c r="J86" s="3" t="n"/>
      <c r="K86" s="9" t="n"/>
    </row>
    <row r="87">
      <c r="A87" s="4" t="n"/>
      <c r="B87" s="9">
        <f>IF(A87="","",INT((DAY(A87)-1)/7)+1)</f>
        <v/>
      </c>
      <c r="C87" s="9" t="n"/>
      <c r="D87" s="9" t="n"/>
      <c r="E87" s="9" t="n"/>
      <c r="F87" s="9" t="n"/>
      <c r="G87" s="9" t="n"/>
      <c r="H87" s="9" t="n"/>
      <c r="I87" s="9" t="n"/>
      <c r="J87" s="3" t="n"/>
      <c r="K87" s="9" t="n"/>
    </row>
    <row r="88">
      <c r="A88" s="4" t="n"/>
      <c r="B88" s="9">
        <f>IF(A88="","",INT((DAY(A88)-1)/7)+1)</f>
        <v/>
      </c>
      <c r="C88" s="9" t="n"/>
      <c r="D88" s="9" t="n"/>
      <c r="E88" s="9" t="n"/>
      <c r="F88" s="9" t="n"/>
      <c r="G88" s="9" t="n"/>
      <c r="H88" s="9" t="n"/>
      <c r="I88" s="9" t="n"/>
      <c r="J88" s="3" t="n"/>
      <c r="K88" s="9" t="n"/>
    </row>
    <row r="89">
      <c r="A89" s="4" t="n"/>
      <c r="B89" s="9">
        <f>IF(A89="","",INT((DAY(A89)-1)/7)+1)</f>
        <v/>
      </c>
      <c r="C89" s="9" t="n"/>
      <c r="D89" s="9" t="n"/>
      <c r="E89" s="9" t="n"/>
      <c r="F89" s="9" t="n"/>
      <c r="G89" s="9" t="n"/>
      <c r="H89" s="9" t="n"/>
      <c r="I89" s="9" t="n"/>
      <c r="J89" s="3" t="n"/>
      <c r="K89" s="9" t="n"/>
    </row>
    <row r="90">
      <c r="A90" s="4" t="n"/>
      <c r="B90" s="9">
        <f>IF(A90="","",INT((DAY(A90)-1)/7)+1)</f>
        <v/>
      </c>
      <c r="C90" s="9" t="n"/>
      <c r="D90" s="9" t="n"/>
      <c r="E90" s="9" t="n"/>
      <c r="F90" s="9" t="n"/>
      <c r="G90" s="9" t="n"/>
      <c r="H90" s="9" t="n"/>
      <c r="I90" s="9" t="n"/>
      <c r="J90" s="3" t="n"/>
      <c r="K90" s="9" t="n"/>
    </row>
    <row r="91">
      <c r="A91" s="4" t="n"/>
      <c r="B91" s="9">
        <f>IF(A91="","",INT((DAY(A91)-1)/7)+1)</f>
        <v/>
      </c>
      <c r="C91" s="9" t="n"/>
      <c r="D91" s="9" t="n"/>
      <c r="E91" s="9" t="n"/>
      <c r="F91" s="9" t="n"/>
      <c r="G91" s="9" t="n"/>
      <c r="H91" s="9" t="n"/>
      <c r="I91" s="9" t="n"/>
      <c r="J91" s="3" t="n"/>
      <c r="K91" s="9" t="n"/>
    </row>
    <row r="92">
      <c r="A92" s="4" t="n"/>
      <c r="B92" s="9">
        <f>IF(A92="","",INT((DAY(A92)-1)/7)+1)</f>
        <v/>
      </c>
      <c r="C92" s="9" t="n"/>
      <c r="D92" s="9" t="n"/>
      <c r="E92" s="9" t="n"/>
      <c r="F92" s="9" t="n"/>
      <c r="G92" s="9" t="n"/>
      <c r="H92" s="9" t="n"/>
      <c r="I92" s="9" t="n"/>
      <c r="J92" s="3" t="n"/>
      <c r="K92" s="9" t="n"/>
    </row>
    <row r="93">
      <c r="A93" s="4" t="n"/>
      <c r="B93" s="9">
        <f>IF(A93="","",INT((DAY(A93)-1)/7)+1)</f>
        <v/>
      </c>
      <c r="C93" s="9" t="n"/>
      <c r="D93" s="9" t="n"/>
      <c r="E93" s="9" t="n"/>
      <c r="F93" s="9" t="n"/>
      <c r="G93" s="9" t="n"/>
      <c r="H93" s="9" t="n"/>
      <c r="I93" s="9" t="n"/>
      <c r="J93" s="3" t="n"/>
      <c r="K93" s="9" t="n"/>
    </row>
    <row r="94">
      <c r="A94" s="4" t="n"/>
      <c r="B94" s="9">
        <f>IF(A94="","",INT((DAY(A94)-1)/7)+1)</f>
        <v/>
      </c>
      <c r="C94" s="9" t="n"/>
      <c r="D94" s="9" t="n"/>
      <c r="E94" s="9" t="n"/>
      <c r="F94" s="9" t="n"/>
      <c r="G94" s="9" t="n"/>
      <c r="H94" s="9" t="n"/>
      <c r="I94" s="9" t="n"/>
      <c r="J94" s="3" t="n"/>
      <c r="K94" s="9" t="n"/>
    </row>
    <row r="95">
      <c r="A95" s="4" t="n"/>
      <c r="B95" s="9">
        <f>IF(A95="","",INT((DAY(A95)-1)/7)+1)</f>
        <v/>
      </c>
      <c r="C95" s="9" t="n"/>
      <c r="D95" s="9" t="n"/>
      <c r="E95" s="9" t="n"/>
      <c r="F95" s="9" t="n"/>
      <c r="G95" s="9" t="n"/>
      <c r="H95" s="9" t="n"/>
      <c r="I95" s="9" t="n"/>
      <c r="J95" s="3" t="n"/>
      <c r="K95" s="9" t="n"/>
    </row>
    <row r="96">
      <c r="A96" s="4" t="n"/>
      <c r="B96" s="9">
        <f>IF(A96="","",INT((DAY(A96)-1)/7)+1)</f>
        <v/>
      </c>
      <c r="C96" s="9" t="n"/>
      <c r="D96" s="9" t="n"/>
      <c r="E96" s="9" t="n"/>
      <c r="F96" s="9" t="n"/>
      <c r="G96" s="9" t="n"/>
      <c r="H96" s="9" t="n"/>
      <c r="I96" s="9" t="n"/>
      <c r="J96" s="3" t="n"/>
      <c r="K96" s="9" t="n"/>
    </row>
    <row r="97">
      <c r="A97" s="4" t="n"/>
      <c r="B97" s="9">
        <f>IF(A97="","",INT((DAY(A97)-1)/7)+1)</f>
        <v/>
      </c>
      <c r="C97" s="9" t="n"/>
      <c r="D97" s="9" t="n"/>
      <c r="E97" s="9" t="n"/>
      <c r="F97" s="9" t="n"/>
      <c r="G97" s="9" t="n"/>
      <c r="H97" s="9" t="n"/>
      <c r="I97" s="9" t="n"/>
      <c r="J97" s="3" t="n"/>
      <c r="K97" s="9" t="n"/>
    </row>
    <row r="98">
      <c r="A98" s="4" t="n"/>
      <c r="B98" s="9">
        <f>IF(A98="","",INT((DAY(A98)-1)/7)+1)</f>
        <v/>
      </c>
      <c r="C98" s="9" t="n"/>
      <c r="D98" s="9" t="n"/>
      <c r="E98" s="9" t="n"/>
      <c r="F98" s="9" t="n"/>
      <c r="G98" s="9" t="n"/>
      <c r="H98" s="9" t="n"/>
      <c r="I98" s="9" t="n"/>
      <c r="J98" s="3" t="n"/>
      <c r="K98" s="9" t="n"/>
    </row>
    <row r="99">
      <c r="A99" s="4" t="n"/>
      <c r="B99" s="9">
        <f>IF(A99="","",INT((DAY(A99)-1)/7)+1)</f>
        <v/>
      </c>
      <c r="C99" s="9" t="n"/>
      <c r="D99" s="9" t="n"/>
      <c r="E99" s="9" t="n"/>
      <c r="F99" s="9" t="n"/>
      <c r="G99" s="9" t="n"/>
      <c r="H99" s="9" t="n"/>
      <c r="I99" s="9" t="n"/>
      <c r="J99" s="3" t="n"/>
      <c r="K99" s="9" t="n"/>
    </row>
    <row r="100">
      <c r="A100" s="4" t="n"/>
      <c r="B100" s="9">
        <f>IF(A100="","",INT((DAY(A100)-1)/7)+1)</f>
        <v/>
      </c>
      <c r="C100" s="9" t="n"/>
      <c r="D100" s="9" t="n"/>
      <c r="E100" s="9" t="n"/>
      <c r="F100" s="9" t="n"/>
      <c r="G100" s="9" t="n"/>
      <c r="H100" s="9" t="n"/>
      <c r="I100" s="9" t="n"/>
      <c r="J100" s="3" t="n"/>
      <c r="K100" s="9" t="n"/>
    </row>
    <row r="101">
      <c r="A101" s="4" t="n"/>
      <c r="B101" s="9">
        <f>IF(A101="","",INT((DAY(A101)-1)/7)+1)</f>
        <v/>
      </c>
      <c r="C101" s="9" t="n"/>
      <c r="D101" s="9" t="n"/>
      <c r="E101" s="9" t="n"/>
      <c r="F101" s="9" t="n"/>
      <c r="G101" s="9" t="n"/>
      <c r="H101" s="9" t="n"/>
      <c r="I101" s="9" t="n"/>
      <c r="J101" s="3" t="n"/>
      <c r="K101" s="9" t="n"/>
    </row>
    <row r="102">
      <c r="A102" s="4" t="n"/>
      <c r="B102" s="9">
        <f>IF(A102="","",INT((DAY(A102)-1)/7)+1)</f>
        <v/>
      </c>
      <c r="C102" s="9" t="n"/>
      <c r="D102" s="9" t="n"/>
      <c r="E102" s="9" t="n"/>
      <c r="F102" s="9" t="n"/>
      <c r="G102" s="9" t="n"/>
      <c r="H102" s="9" t="n"/>
      <c r="I102" s="9" t="n"/>
      <c r="J102" s="3" t="n"/>
      <c r="K102" s="9" t="n"/>
    </row>
    <row r="103">
      <c r="A103" s="4" t="n"/>
      <c r="B103" s="9">
        <f>IF(A103="","",INT((DAY(A103)-1)/7)+1)</f>
        <v/>
      </c>
      <c r="C103" s="9" t="n"/>
      <c r="D103" s="9" t="n"/>
      <c r="E103" s="9" t="n"/>
      <c r="F103" s="9" t="n"/>
      <c r="G103" s="9" t="n"/>
      <c r="H103" s="9" t="n"/>
      <c r="I103" s="9" t="n"/>
      <c r="J103" s="3" t="n"/>
      <c r="K103" s="9" t="n"/>
    </row>
    <row r="104">
      <c r="A104" s="4" t="n"/>
      <c r="B104" s="9">
        <f>IF(A104="","",INT((DAY(A104)-1)/7)+1)</f>
        <v/>
      </c>
      <c r="C104" s="9" t="n"/>
      <c r="D104" s="9" t="n"/>
      <c r="E104" s="9" t="n"/>
      <c r="F104" s="9" t="n"/>
      <c r="G104" s="9" t="n"/>
      <c r="H104" s="9" t="n"/>
      <c r="I104" s="9" t="n"/>
      <c r="J104" s="3" t="n"/>
      <c r="K104" s="9" t="n"/>
    </row>
    <row r="105">
      <c r="A105" s="4" t="n"/>
      <c r="B105" s="9">
        <f>IF(A105="","",INT((DAY(A105)-1)/7)+1)</f>
        <v/>
      </c>
      <c r="C105" s="9" t="n"/>
      <c r="D105" s="9" t="n"/>
      <c r="E105" s="9" t="n"/>
      <c r="F105" s="9" t="n"/>
      <c r="G105" s="9" t="n"/>
      <c r="H105" s="9" t="n"/>
      <c r="I105" s="9" t="n"/>
      <c r="J105" s="3" t="n"/>
      <c r="K105" s="9" t="n"/>
    </row>
    <row r="106">
      <c r="A106" s="4" t="n"/>
      <c r="B106" s="9">
        <f>IF(A106="","",INT((DAY(A106)-1)/7)+1)</f>
        <v/>
      </c>
      <c r="C106" s="9" t="n"/>
      <c r="D106" s="9" t="n"/>
      <c r="E106" s="9" t="n"/>
      <c r="F106" s="9" t="n"/>
      <c r="G106" s="9" t="n"/>
      <c r="H106" s="9" t="n"/>
      <c r="I106" s="9" t="n"/>
      <c r="J106" s="3" t="n"/>
      <c r="K106" s="9" t="n"/>
    </row>
    <row r="107">
      <c r="A107" s="4" t="n"/>
      <c r="B107" s="9">
        <f>IF(A107="","",INT((DAY(A107)-1)/7)+1)</f>
        <v/>
      </c>
      <c r="C107" s="9" t="n"/>
      <c r="D107" s="9" t="n"/>
      <c r="E107" s="9" t="n"/>
      <c r="F107" s="9" t="n"/>
      <c r="G107" s="9" t="n"/>
      <c r="H107" s="9" t="n"/>
      <c r="I107" s="9" t="n"/>
      <c r="J107" s="3" t="n"/>
      <c r="K107" s="9" t="n"/>
    </row>
    <row r="108">
      <c r="A108" s="4" t="n"/>
      <c r="B108" s="9">
        <f>IF(A108="","",INT((DAY(A108)-1)/7)+1)</f>
        <v/>
      </c>
      <c r="C108" s="9" t="n"/>
      <c r="D108" s="9" t="n"/>
      <c r="E108" s="9" t="n"/>
      <c r="F108" s="9" t="n"/>
      <c r="G108" s="9" t="n"/>
      <c r="H108" s="9" t="n"/>
      <c r="I108" s="9" t="n"/>
      <c r="J108" s="3" t="n"/>
      <c r="K108" s="9" t="n"/>
    </row>
    <row r="109">
      <c r="A109" s="4" t="n"/>
      <c r="B109" s="9">
        <f>IF(A109="","",INT((DAY(A109)-1)/7)+1)</f>
        <v/>
      </c>
      <c r="C109" s="9" t="n"/>
      <c r="D109" s="9" t="n"/>
      <c r="E109" s="9" t="n"/>
      <c r="F109" s="9" t="n"/>
      <c r="G109" s="9" t="n"/>
      <c r="H109" s="9" t="n"/>
      <c r="I109" s="9" t="n"/>
      <c r="J109" s="3" t="n"/>
      <c r="K109" s="9" t="n"/>
    </row>
    <row r="110">
      <c r="A110" s="4" t="n"/>
      <c r="B110" s="9">
        <f>IF(A110="","",INT((DAY(A110)-1)/7)+1)</f>
        <v/>
      </c>
      <c r="C110" s="9" t="n"/>
      <c r="D110" s="9" t="n"/>
      <c r="E110" s="9" t="n"/>
      <c r="F110" s="9" t="n"/>
      <c r="G110" s="9" t="n"/>
      <c r="H110" s="9" t="n"/>
      <c r="I110" s="9" t="n"/>
      <c r="J110" s="3" t="n"/>
      <c r="K110" s="9" t="n"/>
    </row>
    <row r="111">
      <c r="A111" s="4" t="n"/>
      <c r="B111" s="9">
        <f>IF(A111="","",INT((DAY(A111)-1)/7)+1)</f>
        <v/>
      </c>
      <c r="C111" s="9" t="n"/>
      <c r="D111" s="9" t="n"/>
      <c r="E111" s="9" t="n"/>
      <c r="F111" s="9" t="n"/>
      <c r="G111" s="9" t="n"/>
      <c r="H111" s="9" t="n"/>
      <c r="I111" s="9" t="n"/>
      <c r="J111" s="3" t="n"/>
      <c r="K111" s="9" t="n"/>
    </row>
    <row r="112">
      <c r="A112" s="4" t="n"/>
      <c r="B112" s="9">
        <f>IF(A112="","",INT((DAY(A112)-1)/7)+1)</f>
        <v/>
      </c>
      <c r="C112" s="9" t="n"/>
      <c r="D112" s="9" t="n"/>
      <c r="E112" s="9" t="n"/>
      <c r="F112" s="9" t="n"/>
      <c r="G112" s="9" t="n"/>
      <c r="H112" s="9" t="n"/>
      <c r="I112" s="9" t="n"/>
      <c r="J112" s="3" t="n"/>
      <c r="K112" s="9" t="n"/>
    </row>
    <row r="113">
      <c r="A113" s="4" t="n"/>
      <c r="B113" s="9">
        <f>IF(A113="","",INT((DAY(A113)-1)/7)+1)</f>
        <v/>
      </c>
      <c r="C113" s="9" t="n"/>
      <c r="D113" s="9" t="n"/>
      <c r="E113" s="9" t="n"/>
      <c r="F113" s="9" t="n"/>
      <c r="G113" s="9" t="n"/>
      <c r="H113" s="9" t="n"/>
      <c r="I113" s="9" t="n"/>
      <c r="J113" s="3" t="n"/>
      <c r="K113" s="9" t="n"/>
    </row>
    <row r="114">
      <c r="A114" s="4" t="n"/>
      <c r="B114" s="9">
        <f>IF(A114="","",INT((DAY(A114)-1)/7)+1)</f>
        <v/>
      </c>
      <c r="C114" s="9" t="n"/>
      <c r="D114" s="9" t="n"/>
      <c r="E114" s="9" t="n"/>
      <c r="F114" s="9" t="n"/>
      <c r="G114" s="9" t="n"/>
      <c r="H114" s="9" t="n"/>
      <c r="I114" s="9" t="n"/>
      <c r="J114" s="3" t="n"/>
      <c r="K114" s="9" t="n"/>
    </row>
    <row r="115">
      <c r="A115" s="4" t="n"/>
      <c r="B115" s="9">
        <f>IF(A115="","",INT((DAY(A115)-1)/7)+1)</f>
        <v/>
      </c>
      <c r="C115" s="9" t="n"/>
      <c r="D115" s="9" t="n"/>
      <c r="E115" s="9" t="n"/>
      <c r="F115" s="9" t="n"/>
      <c r="G115" s="9" t="n"/>
      <c r="H115" s="9" t="n"/>
      <c r="I115" s="9" t="n"/>
      <c r="J115" s="3" t="n"/>
      <c r="K115" s="9" t="n"/>
    </row>
    <row r="116">
      <c r="A116" s="4" t="n"/>
      <c r="B116" s="9">
        <f>IF(A116="","",INT((DAY(A116)-1)/7)+1)</f>
        <v/>
      </c>
      <c r="C116" s="9" t="n"/>
      <c r="D116" s="9" t="n"/>
      <c r="E116" s="9" t="n"/>
      <c r="F116" s="9" t="n"/>
      <c r="G116" s="9" t="n"/>
      <c r="H116" s="9" t="n"/>
      <c r="I116" s="9" t="n"/>
      <c r="J116" s="3" t="n"/>
      <c r="K116" s="9" t="n"/>
    </row>
    <row r="117">
      <c r="A117" s="4" t="n"/>
      <c r="B117" s="9">
        <f>IF(A117="","",INT((DAY(A117)-1)/7)+1)</f>
        <v/>
      </c>
      <c r="C117" s="9" t="n"/>
      <c r="D117" s="9" t="n"/>
      <c r="E117" s="9" t="n"/>
      <c r="F117" s="9" t="n"/>
      <c r="G117" s="9" t="n"/>
      <c r="H117" s="9" t="n"/>
      <c r="I117" s="9" t="n"/>
      <c r="J117" s="3" t="n"/>
      <c r="K117" s="9" t="n"/>
    </row>
    <row r="118">
      <c r="A118" s="4" t="n"/>
      <c r="B118" s="9">
        <f>IF(A118="","",INT((DAY(A118)-1)/7)+1)</f>
        <v/>
      </c>
      <c r="C118" s="9" t="n"/>
      <c r="D118" s="9" t="n"/>
      <c r="E118" s="9" t="n"/>
      <c r="F118" s="9" t="n"/>
      <c r="G118" s="9" t="n"/>
      <c r="H118" s="9" t="n"/>
      <c r="I118" s="9" t="n"/>
      <c r="J118" s="3" t="n"/>
      <c r="K118" s="9" t="n"/>
    </row>
    <row r="119">
      <c r="A119" s="4" t="n"/>
      <c r="B119" s="9">
        <f>IF(A119="","",INT((DAY(A119)-1)/7)+1)</f>
        <v/>
      </c>
      <c r="C119" s="9" t="n"/>
      <c r="D119" s="9" t="n"/>
      <c r="E119" s="9" t="n"/>
      <c r="F119" s="9" t="n"/>
      <c r="G119" s="9" t="n"/>
      <c r="H119" s="9" t="n"/>
      <c r="I119" s="9" t="n"/>
      <c r="J119" s="3" t="n"/>
      <c r="K119" s="9" t="n"/>
    </row>
    <row r="120">
      <c r="A120" s="4" t="n"/>
      <c r="B120" s="9">
        <f>IF(A120="","",INT((DAY(A120)-1)/7)+1)</f>
        <v/>
      </c>
      <c r="C120" s="9" t="n"/>
      <c r="D120" s="9" t="n"/>
      <c r="E120" s="9" t="n"/>
      <c r="F120" s="9" t="n"/>
      <c r="G120" s="9" t="n"/>
      <c r="H120" s="9" t="n"/>
      <c r="I120" s="9" t="n"/>
      <c r="J120" s="3" t="n"/>
      <c r="K120" s="9" t="n"/>
    </row>
    <row r="121">
      <c r="A121" s="4" t="n"/>
      <c r="B121" s="9">
        <f>IF(A121="","",INT((DAY(A121)-1)/7)+1)</f>
        <v/>
      </c>
      <c r="C121" s="9" t="n"/>
      <c r="D121" s="9" t="n"/>
      <c r="E121" s="9" t="n"/>
      <c r="F121" s="9" t="n"/>
      <c r="G121" s="9" t="n"/>
      <c r="H121" s="9" t="n"/>
      <c r="I121" s="9" t="n"/>
      <c r="J121" s="3" t="n"/>
      <c r="K121" s="9" t="n"/>
    </row>
    <row r="122">
      <c r="A122" s="4" t="n"/>
      <c r="B122" s="9">
        <f>IF(A122="","",INT((DAY(A122)-1)/7)+1)</f>
        <v/>
      </c>
      <c r="C122" s="9" t="n"/>
      <c r="D122" s="9" t="n"/>
      <c r="E122" s="9" t="n"/>
      <c r="F122" s="9" t="n"/>
      <c r="G122" s="9" t="n"/>
      <c r="H122" s="9" t="n"/>
      <c r="I122" s="9" t="n"/>
      <c r="J122" s="3" t="n"/>
      <c r="K122" s="9" t="n"/>
    </row>
    <row r="123">
      <c r="A123" s="4" t="n"/>
      <c r="B123" s="9">
        <f>IF(A123="","",INT((DAY(A123)-1)/7)+1)</f>
        <v/>
      </c>
      <c r="C123" s="9" t="n"/>
      <c r="D123" s="9" t="n"/>
      <c r="E123" s="9" t="n"/>
      <c r="F123" s="9" t="n"/>
      <c r="G123" s="9" t="n"/>
      <c r="H123" s="9" t="n"/>
      <c r="I123" s="9" t="n"/>
      <c r="J123" s="3" t="n"/>
      <c r="K123" s="9" t="n"/>
    </row>
    <row r="124">
      <c r="A124" s="4" t="n"/>
      <c r="B124" s="9">
        <f>IF(A124="","",INT((DAY(A124)-1)/7)+1)</f>
        <v/>
      </c>
      <c r="C124" s="9" t="n"/>
      <c r="D124" s="9" t="n"/>
      <c r="E124" s="9" t="n"/>
      <c r="F124" s="9" t="n"/>
      <c r="G124" s="9" t="n"/>
      <c r="H124" s="9" t="n"/>
      <c r="I124" s="9" t="n"/>
      <c r="J124" s="3" t="n"/>
      <c r="K124" s="9" t="n"/>
    </row>
    <row r="125">
      <c r="A125" s="4" t="n"/>
      <c r="B125" s="9">
        <f>IF(A125="","",INT((DAY(A125)-1)/7)+1)</f>
        <v/>
      </c>
      <c r="C125" s="9" t="n"/>
      <c r="D125" s="9" t="n"/>
      <c r="E125" s="9" t="n"/>
      <c r="F125" s="9" t="n"/>
      <c r="G125" s="9" t="n"/>
      <c r="H125" s="9" t="n"/>
      <c r="I125" s="9" t="n"/>
      <c r="J125" s="3" t="n"/>
      <c r="K125" s="9" t="n"/>
    </row>
    <row r="126">
      <c r="A126" s="4" t="n"/>
      <c r="B126" s="9">
        <f>IF(A126="","",INT((DAY(A126)-1)/7)+1)</f>
        <v/>
      </c>
      <c r="C126" s="9" t="n"/>
      <c r="D126" s="9" t="n"/>
      <c r="E126" s="9" t="n"/>
      <c r="F126" s="9" t="n"/>
      <c r="G126" s="9" t="n"/>
      <c r="H126" s="9" t="n"/>
      <c r="I126" s="9" t="n"/>
      <c r="J126" s="3" t="n"/>
      <c r="K126" s="9" t="n"/>
    </row>
    <row r="127">
      <c r="A127" s="4" t="n"/>
      <c r="B127" s="9">
        <f>IF(A127="","",INT((DAY(A127)-1)/7)+1)</f>
        <v/>
      </c>
      <c r="C127" s="9" t="n"/>
      <c r="D127" s="9" t="n"/>
      <c r="E127" s="9" t="n"/>
      <c r="F127" s="9" t="n"/>
      <c r="G127" s="9" t="n"/>
      <c r="H127" s="9" t="n"/>
      <c r="I127" s="9" t="n"/>
      <c r="J127" s="3" t="n"/>
      <c r="K127" s="9" t="n"/>
    </row>
    <row r="128">
      <c r="A128" s="4" t="n"/>
      <c r="B128" s="9">
        <f>IF(A128="","",INT((DAY(A128)-1)/7)+1)</f>
        <v/>
      </c>
      <c r="C128" s="9" t="n"/>
      <c r="D128" s="9" t="n"/>
      <c r="E128" s="9" t="n"/>
      <c r="F128" s="9" t="n"/>
      <c r="G128" s="9" t="n"/>
      <c r="H128" s="9" t="n"/>
      <c r="I128" s="9" t="n"/>
      <c r="J128" s="3" t="n"/>
      <c r="K128" s="9" t="n"/>
    </row>
    <row r="129">
      <c r="A129" s="4" t="n"/>
      <c r="B129" s="9">
        <f>IF(A129="","",INT((DAY(A129)-1)/7)+1)</f>
        <v/>
      </c>
      <c r="C129" s="9" t="n"/>
      <c r="D129" s="9" t="n"/>
      <c r="E129" s="9" t="n"/>
      <c r="F129" s="9" t="n"/>
      <c r="G129" s="9" t="n"/>
      <c r="H129" s="9" t="n"/>
      <c r="I129" s="9" t="n"/>
      <c r="J129" s="3" t="n"/>
      <c r="K129" s="9" t="n"/>
    </row>
    <row r="130">
      <c r="A130" s="4" t="n"/>
      <c r="B130" s="9">
        <f>IF(A130="","",INT((DAY(A130)-1)/7)+1)</f>
        <v/>
      </c>
      <c r="C130" s="9" t="n"/>
      <c r="D130" s="9" t="n"/>
      <c r="E130" s="9" t="n"/>
      <c r="F130" s="9" t="n"/>
      <c r="G130" s="9" t="n"/>
      <c r="H130" s="9" t="n"/>
      <c r="I130" s="9" t="n"/>
      <c r="J130" s="3" t="n"/>
      <c r="K130" s="9" t="n"/>
    </row>
    <row r="131">
      <c r="A131" s="4" t="n"/>
      <c r="B131" s="9">
        <f>IF(A131="","",INT((DAY(A131)-1)/7)+1)</f>
        <v/>
      </c>
      <c r="C131" s="9" t="n"/>
      <c r="D131" s="9" t="n"/>
      <c r="E131" s="9" t="n"/>
      <c r="F131" s="9" t="n"/>
      <c r="G131" s="9" t="n"/>
      <c r="H131" s="9" t="n"/>
      <c r="I131" s="9" t="n"/>
      <c r="J131" s="3" t="n"/>
      <c r="K131" s="9" t="n"/>
    </row>
    <row r="132">
      <c r="A132" s="4" t="n"/>
      <c r="B132" s="9">
        <f>IF(A132="","",INT((DAY(A132)-1)/7)+1)</f>
        <v/>
      </c>
      <c r="C132" s="9" t="n"/>
      <c r="D132" s="9" t="n"/>
      <c r="E132" s="9" t="n"/>
      <c r="F132" s="9" t="n"/>
      <c r="G132" s="9" t="n"/>
      <c r="H132" s="9" t="n"/>
      <c r="I132" s="9" t="n"/>
      <c r="J132" s="3" t="n"/>
      <c r="K132" s="9" t="n"/>
    </row>
    <row r="133">
      <c r="A133" s="4" t="n"/>
      <c r="B133" s="9">
        <f>IF(A133="","",INT((DAY(A133)-1)/7)+1)</f>
        <v/>
      </c>
      <c r="C133" s="9" t="n"/>
      <c r="D133" s="9" t="n"/>
      <c r="E133" s="9" t="n"/>
      <c r="F133" s="9" t="n"/>
      <c r="G133" s="9" t="n"/>
      <c r="H133" s="9" t="n"/>
      <c r="I133" s="9" t="n"/>
      <c r="J133" s="3" t="n"/>
      <c r="K133" s="9" t="n"/>
    </row>
    <row r="134">
      <c r="A134" s="4" t="n"/>
      <c r="B134" s="9">
        <f>IF(A134="","",INT((DAY(A134)-1)/7)+1)</f>
        <v/>
      </c>
      <c r="C134" s="9" t="n"/>
      <c r="D134" s="9" t="n"/>
      <c r="E134" s="9" t="n"/>
      <c r="F134" s="9" t="n"/>
      <c r="G134" s="9" t="n"/>
      <c r="H134" s="9" t="n"/>
      <c r="I134" s="9" t="n"/>
      <c r="J134" s="3" t="n"/>
      <c r="K134" s="9" t="n"/>
    </row>
    <row r="135">
      <c r="A135" s="4" t="n"/>
      <c r="B135" s="9">
        <f>IF(A135="","",INT((DAY(A135)-1)/7)+1)</f>
        <v/>
      </c>
      <c r="C135" s="9" t="n"/>
      <c r="D135" s="9" t="n"/>
      <c r="E135" s="9" t="n"/>
      <c r="F135" s="9" t="n"/>
      <c r="G135" s="9" t="n"/>
      <c r="H135" s="9" t="n"/>
      <c r="I135" s="9" t="n"/>
      <c r="J135" s="3" t="n"/>
      <c r="K135" s="9" t="n"/>
    </row>
    <row r="136">
      <c r="A136" s="4" t="n"/>
      <c r="B136" s="9">
        <f>IF(A136="","",INT((DAY(A136)-1)/7)+1)</f>
        <v/>
      </c>
      <c r="C136" s="9" t="n"/>
      <c r="D136" s="9" t="n"/>
      <c r="E136" s="9" t="n"/>
      <c r="F136" s="9" t="n"/>
      <c r="G136" s="9" t="n"/>
      <c r="H136" s="9" t="n"/>
      <c r="I136" s="9" t="n"/>
      <c r="J136" s="3" t="n"/>
      <c r="K136" s="9" t="n"/>
    </row>
    <row r="137">
      <c r="A137" s="4" t="n"/>
      <c r="B137" s="9">
        <f>IF(A137="","",INT((DAY(A137)-1)/7)+1)</f>
        <v/>
      </c>
      <c r="C137" s="9" t="n"/>
      <c r="D137" s="9" t="n"/>
      <c r="E137" s="9" t="n"/>
      <c r="F137" s="9" t="n"/>
      <c r="G137" s="9" t="n"/>
      <c r="H137" s="9" t="n"/>
      <c r="I137" s="9" t="n"/>
      <c r="J137" s="3" t="n"/>
      <c r="K137" s="9" t="n"/>
    </row>
    <row r="138">
      <c r="A138" s="4" t="n"/>
      <c r="B138" s="9">
        <f>IF(A138="","",INT((DAY(A138)-1)/7)+1)</f>
        <v/>
      </c>
      <c r="C138" s="9" t="n"/>
      <c r="D138" s="9" t="n"/>
      <c r="E138" s="9" t="n"/>
      <c r="F138" s="9" t="n"/>
      <c r="G138" s="9" t="n"/>
      <c r="H138" s="9" t="n"/>
      <c r="I138" s="9" t="n"/>
      <c r="J138" s="3" t="n"/>
      <c r="K138" s="9" t="n"/>
    </row>
    <row r="139">
      <c r="A139" s="4" t="n"/>
      <c r="B139" s="9">
        <f>IF(A139="","",INT((DAY(A139)-1)/7)+1)</f>
        <v/>
      </c>
      <c r="C139" s="9" t="n"/>
      <c r="D139" s="9" t="n"/>
      <c r="E139" s="9" t="n"/>
      <c r="F139" s="9" t="n"/>
      <c r="G139" s="9" t="n"/>
      <c r="H139" s="9" t="n"/>
      <c r="I139" s="9" t="n"/>
      <c r="J139" s="3" t="n"/>
      <c r="K139" s="9" t="n"/>
    </row>
    <row r="140">
      <c r="A140" s="4" t="n"/>
      <c r="B140" s="9">
        <f>IF(A140="","",INT((DAY(A140)-1)/7)+1)</f>
        <v/>
      </c>
      <c r="C140" s="9" t="n"/>
      <c r="D140" s="9" t="n"/>
      <c r="E140" s="9" t="n"/>
      <c r="F140" s="9" t="n"/>
      <c r="G140" s="9" t="n"/>
      <c r="H140" s="9" t="n"/>
      <c r="I140" s="9" t="n"/>
      <c r="J140" s="3" t="n"/>
      <c r="K140" s="9" t="n"/>
    </row>
    <row r="141">
      <c r="A141" s="4" t="n"/>
      <c r="B141" s="9">
        <f>IF(A141="","",INT((DAY(A141)-1)/7)+1)</f>
        <v/>
      </c>
      <c r="C141" s="9" t="n"/>
      <c r="D141" s="9" t="n"/>
      <c r="E141" s="9" t="n"/>
      <c r="F141" s="9" t="n"/>
      <c r="G141" s="9" t="n"/>
      <c r="H141" s="9" t="n"/>
      <c r="I141" s="9" t="n"/>
      <c r="J141" s="3" t="n"/>
      <c r="K141" s="9" t="n"/>
    </row>
    <row r="142">
      <c r="A142" s="4" t="n"/>
      <c r="B142" s="9">
        <f>IF(A142="","",INT((DAY(A142)-1)/7)+1)</f>
        <v/>
      </c>
      <c r="C142" s="9" t="n"/>
      <c r="D142" s="9" t="n"/>
      <c r="E142" s="9" t="n"/>
      <c r="F142" s="9" t="n"/>
      <c r="G142" s="9" t="n"/>
      <c r="H142" s="9" t="n"/>
      <c r="I142" s="9" t="n"/>
      <c r="J142" s="3" t="n"/>
      <c r="K142" s="9" t="n"/>
    </row>
    <row r="143">
      <c r="A143" s="4" t="n"/>
      <c r="B143" s="9">
        <f>IF(A143="","",INT((DAY(A143)-1)/7)+1)</f>
        <v/>
      </c>
      <c r="C143" s="9" t="n"/>
      <c r="D143" s="9" t="n"/>
      <c r="E143" s="9" t="n"/>
      <c r="F143" s="9" t="n"/>
      <c r="G143" s="9" t="n"/>
      <c r="H143" s="9" t="n"/>
      <c r="I143" s="9" t="n"/>
      <c r="J143" s="3" t="n"/>
      <c r="K143" s="9" t="n"/>
    </row>
    <row r="144">
      <c r="A144" s="4" t="n"/>
      <c r="B144" s="9">
        <f>IF(A144="","",INT((DAY(A144)-1)/7)+1)</f>
        <v/>
      </c>
      <c r="C144" s="9" t="n"/>
      <c r="D144" s="9" t="n"/>
      <c r="E144" s="9" t="n"/>
      <c r="F144" s="9" t="n"/>
      <c r="G144" s="9" t="n"/>
      <c r="H144" s="9" t="n"/>
      <c r="I144" s="9" t="n"/>
      <c r="J144" s="3" t="n"/>
      <c r="K144" s="9" t="n"/>
    </row>
    <row r="145">
      <c r="A145" s="4" t="n"/>
      <c r="B145" s="9">
        <f>IF(A145="","",INT((DAY(A145)-1)/7)+1)</f>
        <v/>
      </c>
      <c r="C145" s="9" t="n"/>
      <c r="D145" s="9" t="n"/>
      <c r="E145" s="9" t="n"/>
      <c r="F145" s="9" t="n"/>
      <c r="G145" s="9" t="n"/>
      <c r="H145" s="9" t="n"/>
      <c r="I145" s="9" t="n"/>
      <c r="J145" s="3" t="n"/>
      <c r="K145" s="9" t="n"/>
    </row>
    <row r="146">
      <c r="A146" s="4" t="n"/>
      <c r="B146" s="9">
        <f>IF(A146="","",INT((DAY(A146)-1)/7)+1)</f>
        <v/>
      </c>
      <c r="C146" s="9" t="n"/>
      <c r="D146" s="9" t="n"/>
      <c r="E146" s="9" t="n"/>
      <c r="F146" s="9" t="n"/>
      <c r="G146" s="9" t="n"/>
      <c r="H146" s="9" t="n"/>
      <c r="I146" s="9" t="n"/>
      <c r="J146" s="3" t="n"/>
      <c r="K146" s="9" t="n"/>
    </row>
    <row r="147">
      <c r="A147" s="4" t="n"/>
      <c r="B147" s="9">
        <f>IF(A147="","",INT((DAY(A147)-1)/7)+1)</f>
        <v/>
      </c>
      <c r="C147" s="9" t="n"/>
      <c r="D147" s="9" t="n"/>
      <c r="E147" s="9" t="n"/>
      <c r="F147" s="9" t="n"/>
      <c r="G147" s="9" t="n"/>
      <c r="H147" s="9" t="n"/>
      <c r="I147" s="9" t="n"/>
      <c r="J147" s="3" t="n"/>
      <c r="K147" s="9" t="n"/>
    </row>
    <row r="148">
      <c r="A148" s="4" t="n"/>
      <c r="B148" s="9">
        <f>IF(A148="","",INT((DAY(A148)-1)/7)+1)</f>
        <v/>
      </c>
      <c r="C148" s="9" t="n"/>
      <c r="D148" s="9" t="n"/>
      <c r="E148" s="9" t="n"/>
      <c r="F148" s="9" t="n"/>
      <c r="G148" s="9" t="n"/>
      <c r="H148" s="9" t="n"/>
      <c r="I148" s="9" t="n"/>
      <c r="J148" s="3" t="n"/>
      <c r="K148" s="9" t="n"/>
    </row>
    <row r="149">
      <c r="A149" s="4" t="n"/>
      <c r="B149" s="9">
        <f>IF(A149="","",INT((DAY(A149)-1)/7)+1)</f>
        <v/>
      </c>
      <c r="C149" s="9" t="n"/>
      <c r="D149" s="9" t="n"/>
      <c r="E149" s="9" t="n"/>
      <c r="F149" s="9" t="n"/>
      <c r="G149" s="9" t="n"/>
      <c r="H149" s="9" t="n"/>
      <c r="I149" s="9" t="n"/>
      <c r="J149" s="3" t="n"/>
      <c r="K149" s="9" t="n"/>
    </row>
    <row r="150">
      <c r="A150" s="4" t="n"/>
      <c r="B150" s="9">
        <f>IF(A150="","",INT((DAY(A150)-1)/7)+1)</f>
        <v/>
      </c>
      <c r="C150" s="9" t="n"/>
      <c r="D150" s="9" t="n"/>
      <c r="E150" s="9" t="n"/>
      <c r="F150" s="9" t="n"/>
      <c r="G150" s="9" t="n"/>
      <c r="H150" s="9" t="n"/>
      <c r="I150" s="9" t="n"/>
      <c r="J150" s="3" t="n"/>
      <c r="K150" s="9" t="n"/>
    </row>
    <row r="151">
      <c r="A151" s="4" t="n"/>
      <c r="B151" s="9">
        <f>IF(A151="","",INT((DAY(A151)-1)/7)+1)</f>
        <v/>
      </c>
      <c r="C151" s="9" t="n"/>
      <c r="D151" s="9" t="n"/>
      <c r="E151" s="9" t="n"/>
      <c r="F151" s="9" t="n"/>
      <c r="G151" s="9" t="n"/>
      <c r="H151" s="9" t="n"/>
      <c r="I151" s="9" t="n"/>
      <c r="J151" s="3" t="n"/>
      <c r="K151" s="9" t="n"/>
    </row>
    <row r="152">
      <c r="A152" s="4" t="n"/>
      <c r="B152" s="9">
        <f>IF(A152="","",INT((DAY(A152)-1)/7)+1)</f>
        <v/>
      </c>
      <c r="C152" s="9" t="n"/>
      <c r="D152" s="9" t="n"/>
      <c r="E152" s="9" t="n"/>
      <c r="F152" s="9" t="n"/>
      <c r="G152" s="9" t="n"/>
      <c r="H152" s="9" t="n"/>
      <c r="I152" s="9" t="n"/>
      <c r="J152" s="3" t="n"/>
      <c r="K152" s="9" t="n"/>
    </row>
    <row r="153">
      <c r="A153" s="4" t="n"/>
      <c r="B153" s="9">
        <f>IF(A153="","",INT((DAY(A153)-1)/7)+1)</f>
        <v/>
      </c>
      <c r="C153" s="9" t="n"/>
      <c r="D153" s="9" t="n"/>
      <c r="E153" s="9" t="n"/>
      <c r="F153" s="9" t="n"/>
      <c r="G153" s="9" t="n"/>
      <c r="H153" s="9" t="n"/>
      <c r="I153" s="9" t="n"/>
      <c r="J153" s="3" t="n"/>
      <c r="K153" s="9" t="n"/>
    </row>
    <row r="154">
      <c r="A154" s="4" t="n"/>
      <c r="B154" s="9">
        <f>IF(A154="","",INT((DAY(A154)-1)/7)+1)</f>
        <v/>
      </c>
      <c r="C154" s="9" t="n"/>
      <c r="D154" s="9" t="n"/>
      <c r="E154" s="9" t="n"/>
      <c r="F154" s="9" t="n"/>
      <c r="G154" s="9" t="n"/>
      <c r="H154" s="9" t="n"/>
      <c r="I154" s="9" t="n"/>
      <c r="J154" s="3" t="n"/>
      <c r="K154" s="9" t="n"/>
    </row>
    <row r="155">
      <c r="A155" s="4" t="n"/>
      <c r="B155" s="9">
        <f>IF(A155="","",INT((DAY(A155)-1)/7)+1)</f>
        <v/>
      </c>
      <c r="C155" s="9" t="n"/>
      <c r="D155" s="9" t="n"/>
      <c r="E155" s="9" t="n"/>
      <c r="F155" s="9" t="n"/>
      <c r="G155" s="9" t="n"/>
      <c r="H155" s="9" t="n"/>
      <c r="I155" s="9" t="n"/>
      <c r="J155" s="3" t="n"/>
      <c r="K155" s="9" t="n"/>
    </row>
    <row r="156">
      <c r="A156" s="4" t="n"/>
      <c r="B156" s="9">
        <f>IF(A156="","",INT((DAY(A156)-1)/7)+1)</f>
        <v/>
      </c>
      <c r="C156" s="9" t="n"/>
      <c r="D156" s="9" t="n"/>
      <c r="E156" s="9" t="n"/>
      <c r="F156" s="9" t="n"/>
      <c r="G156" s="9" t="n"/>
      <c r="H156" s="9" t="n"/>
      <c r="I156" s="9" t="n"/>
      <c r="J156" s="3" t="n"/>
      <c r="K156" s="9" t="n"/>
    </row>
    <row r="157">
      <c r="A157" s="4" t="n"/>
      <c r="B157" s="9">
        <f>IF(A157="","",INT((DAY(A157)-1)/7)+1)</f>
        <v/>
      </c>
      <c r="C157" s="9" t="n"/>
      <c r="D157" s="9" t="n"/>
      <c r="E157" s="9" t="n"/>
      <c r="F157" s="9" t="n"/>
      <c r="G157" s="9" t="n"/>
      <c r="H157" s="9" t="n"/>
      <c r="I157" s="9" t="n"/>
      <c r="J157" s="3" t="n"/>
      <c r="K157" s="9" t="n"/>
    </row>
    <row r="158">
      <c r="A158" s="4" t="n"/>
      <c r="B158" s="9">
        <f>IF(A158="","",INT((DAY(A158)-1)/7)+1)</f>
        <v/>
      </c>
      <c r="C158" s="9" t="n"/>
      <c r="D158" s="9" t="n"/>
      <c r="E158" s="9" t="n"/>
      <c r="F158" s="9" t="n"/>
      <c r="G158" s="9" t="n"/>
      <c r="H158" s="9" t="n"/>
      <c r="I158" s="9" t="n"/>
      <c r="J158" s="3" t="n"/>
      <c r="K158" s="9" t="n"/>
    </row>
    <row r="159">
      <c r="A159" s="4" t="n"/>
      <c r="B159" s="9">
        <f>IF(A159="","",INT((DAY(A159)-1)/7)+1)</f>
        <v/>
      </c>
      <c r="C159" s="9" t="n"/>
      <c r="D159" s="9" t="n"/>
      <c r="E159" s="9" t="n"/>
      <c r="F159" s="9" t="n"/>
      <c r="G159" s="9" t="n"/>
      <c r="H159" s="9" t="n"/>
      <c r="I159" s="9" t="n"/>
      <c r="J159" s="3" t="n"/>
      <c r="K159" s="9" t="n"/>
    </row>
    <row r="160">
      <c r="A160" s="4" t="n"/>
      <c r="B160" s="9">
        <f>IF(A160="","",INT((DAY(A160)-1)/7)+1)</f>
        <v/>
      </c>
      <c r="C160" s="9" t="n"/>
      <c r="D160" s="9" t="n"/>
      <c r="E160" s="9" t="n"/>
      <c r="F160" s="9" t="n"/>
      <c r="G160" s="9" t="n"/>
      <c r="H160" s="9" t="n"/>
      <c r="I160" s="9" t="n"/>
      <c r="J160" s="3" t="n"/>
      <c r="K160" s="9" t="n"/>
    </row>
    <row r="161">
      <c r="A161" s="4" t="n"/>
      <c r="B161" s="9">
        <f>IF(A161="","",INT((DAY(A161)-1)/7)+1)</f>
        <v/>
      </c>
      <c r="C161" s="9" t="n"/>
      <c r="D161" s="9" t="n"/>
      <c r="E161" s="9" t="n"/>
      <c r="F161" s="9" t="n"/>
      <c r="G161" s="9" t="n"/>
      <c r="H161" s="9" t="n"/>
      <c r="I161" s="9" t="n"/>
      <c r="J161" s="3" t="n"/>
      <c r="K161" s="9" t="n"/>
    </row>
    <row r="162">
      <c r="A162" s="4" t="n"/>
      <c r="B162" s="9">
        <f>IF(A162="","",INT((DAY(A162)-1)/7)+1)</f>
        <v/>
      </c>
      <c r="C162" s="9" t="n"/>
      <c r="D162" s="9" t="n"/>
      <c r="E162" s="9" t="n"/>
      <c r="F162" s="9" t="n"/>
      <c r="G162" s="9" t="n"/>
      <c r="H162" s="9" t="n"/>
      <c r="I162" s="9" t="n"/>
      <c r="J162" s="3" t="n"/>
      <c r="K162" s="9" t="n"/>
    </row>
    <row r="163">
      <c r="A163" s="4" t="n"/>
      <c r="B163" s="9">
        <f>IF(A163="","",INT((DAY(A163)-1)/7)+1)</f>
        <v/>
      </c>
      <c r="C163" s="9" t="n"/>
      <c r="D163" s="9" t="n"/>
      <c r="E163" s="9" t="n"/>
      <c r="F163" s="9" t="n"/>
      <c r="G163" s="9" t="n"/>
      <c r="H163" s="9" t="n"/>
      <c r="I163" s="9" t="n"/>
      <c r="J163" s="3" t="n"/>
      <c r="K163" s="9" t="n"/>
    </row>
    <row r="164">
      <c r="A164" s="4" t="n"/>
      <c r="B164" s="9">
        <f>IF(A164="","",INT((DAY(A164)-1)/7)+1)</f>
        <v/>
      </c>
      <c r="C164" s="9" t="n"/>
      <c r="D164" s="9" t="n"/>
      <c r="E164" s="9" t="n"/>
      <c r="F164" s="9" t="n"/>
      <c r="G164" s="9" t="n"/>
      <c r="H164" s="9" t="n"/>
      <c r="I164" s="9" t="n"/>
      <c r="J164" s="3" t="n"/>
      <c r="K164" s="9" t="n"/>
    </row>
    <row r="165">
      <c r="A165" s="4" t="n"/>
      <c r="B165" s="9">
        <f>IF(A165="","",INT((DAY(A165)-1)/7)+1)</f>
        <v/>
      </c>
      <c r="C165" s="9" t="n"/>
      <c r="D165" s="9" t="n"/>
      <c r="E165" s="9" t="n"/>
      <c r="F165" s="9" t="n"/>
      <c r="G165" s="9" t="n"/>
      <c r="H165" s="9" t="n"/>
      <c r="I165" s="9" t="n"/>
      <c r="J165" s="3" t="n"/>
      <c r="K165" s="9" t="n"/>
    </row>
    <row r="166">
      <c r="A166" s="4" t="n"/>
      <c r="B166" s="9">
        <f>IF(A166="","",INT((DAY(A166)-1)/7)+1)</f>
        <v/>
      </c>
      <c r="C166" s="9" t="n"/>
      <c r="D166" s="9" t="n"/>
      <c r="E166" s="9" t="n"/>
      <c r="F166" s="9" t="n"/>
      <c r="G166" s="9" t="n"/>
      <c r="H166" s="9" t="n"/>
      <c r="I166" s="9" t="n"/>
      <c r="J166" s="3" t="n"/>
      <c r="K166" s="9" t="n"/>
    </row>
    <row r="167">
      <c r="A167" s="4" t="n"/>
      <c r="B167" s="9">
        <f>IF(A167="","",INT((DAY(A167)-1)/7)+1)</f>
        <v/>
      </c>
      <c r="C167" s="9" t="n"/>
      <c r="D167" s="9" t="n"/>
      <c r="E167" s="9" t="n"/>
      <c r="F167" s="9" t="n"/>
      <c r="G167" s="9" t="n"/>
      <c r="H167" s="9" t="n"/>
      <c r="I167" s="9" t="n"/>
      <c r="J167" s="3" t="n"/>
      <c r="K167" s="9" t="n"/>
    </row>
    <row r="168">
      <c r="A168" s="4" t="n"/>
      <c r="B168" s="9">
        <f>IF(A168="","",INT((DAY(A168)-1)/7)+1)</f>
        <v/>
      </c>
      <c r="C168" s="9" t="n"/>
      <c r="D168" s="9" t="n"/>
      <c r="E168" s="9" t="n"/>
      <c r="F168" s="9" t="n"/>
      <c r="G168" s="9" t="n"/>
      <c r="H168" s="9" t="n"/>
      <c r="I168" s="9" t="n"/>
      <c r="J168" s="3" t="n"/>
      <c r="K168" s="9" t="n"/>
    </row>
    <row r="169">
      <c r="A169" s="4" t="n"/>
      <c r="B169" s="9">
        <f>IF(A169="","",INT((DAY(A169)-1)/7)+1)</f>
        <v/>
      </c>
      <c r="C169" s="9" t="n"/>
      <c r="D169" s="9" t="n"/>
      <c r="E169" s="9" t="n"/>
      <c r="F169" s="9" t="n"/>
      <c r="G169" s="9" t="n"/>
      <c r="H169" s="9" t="n"/>
      <c r="I169" s="9" t="n"/>
      <c r="J169" s="3" t="n"/>
      <c r="K169" s="9" t="n"/>
    </row>
    <row r="170">
      <c r="A170" s="4" t="n"/>
      <c r="B170" s="9">
        <f>IF(A170="","",INT((DAY(A170)-1)/7)+1)</f>
        <v/>
      </c>
      <c r="C170" s="9" t="n"/>
      <c r="D170" s="9" t="n"/>
      <c r="E170" s="9" t="n"/>
      <c r="F170" s="9" t="n"/>
      <c r="G170" s="9" t="n"/>
      <c r="H170" s="9" t="n"/>
      <c r="I170" s="9" t="n"/>
      <c r="J170" s="3" t="n"/>
      <c r="K170" s="9" t="n"/>
    </row>
    <row r="171">
      <c r="A171" s="4" t="n"/>
      <c r="B171" s="9">
        <f>IF(A171="","",INT((DAY(A171)-1)/7)+1)</f>
        <v/>
      </c>
      <c r="C171" s="9" t="n"/>
      <c r="D171" s="9" t="n"/>
      <c r="E171" s="9" t="n"/>
      <c r="F171" s="9" t="n"/>
      <c r="G171" s="9" t="n"/>
      <c r="H171" s="9" t="n"/>
      <c r="I171" s="9" t="n"/>
      <c r="J171" s="3" t="n"/>
      <c r="K171" s="9" t="n"/>
    </row>
    <row r="172">
      <c r="A172" s="4" t="n"/>
      <c r="B172" s="9">
        <f>IF(A172="","",INT((DAY(A172)-1)/7)+1)</f>
        <v/>
      </c>
      <c r="C172" s="9" t="n"/>
      <c r="D172" s="9" t="n"/>
      <c r="E172" s="9" t="n"/>
      <c r="F172" s="9" t="n"/>
      <c r="G172" s="9" t="n"/>
      <c r="H172" s="9" t="n"/>
      <c r="I172" s="9" t="n"/>
      <c r="J172" s="3" t="n"/>
      <c r="K172" s="9" t="n"/>
    </row>
    <row r="173">
      <c r="A173" s="4" t="n"/>
      <c r="B173" s="9">
        <f>IF(A173="","",INT((DAY(A173)-1)/7)+1)</f>
        <v/>
      </c>
      <c r="C173" s="9" t="n"/>
      <c r="D173" s="9" t="n"/>
      <c r="E173" s="9" t="n"/>
      <c r="F173" s="9" t="n"/>
      <c r="G173" s="9" t="n"/>
      <c r="H173" s="9" t="n"/>
      <c r="I173" s="9" t="n"/>
      <c r="J173" s="3" t="n"/>
      <c r="K173" s="9" t="n"/>
    </row>
    <row r="174">
      <c r="A174" s="4" t="n"/>
      <c r="B174" s="9">
        <f>IF(A174="","",INT((DAY(A174)-1)/7)+1)</f>
        <v/>
      </c>
      <c r="C174" s="9" t="n"/>
      <c r="D174" s="9" t="n"/>
      <c r="E174" s="9" t="n"/>
      <c r="F174" s="9" t="n"/>
      <c r="G174" s="9" t="n"/>
      <c r="H174" s="9" t="n"/>
      <c r="I174" s="9" t="n"/>
      <c r="J174" s="3" t="n"/>
      <c r="K174" s="9" t="n"/>
    </row>
    <row r="175">
      <c r="A175" s="4" t="n"/>
      <c r="B175" s="9">
        <f>IF(A175="","",INT((DAY(A175)-1)/7)+1)</f>
        <v/>
      </c>
      <c r="C175" s="9" t="n"/>
      <c r="D175" s="9" t="n"/>
      <c r="E175" s="9" t="n"/>
      <c r="F175" s="9" t="n"/>
      <c r="G175" s="9" t="n"/>
      <c r="H175" s="9" t="n"/>
      <c r="I175" s="9" t="n"/>
      <c r="J175" s="3" t="n"/>
      <c r="K175" s="9" t="n"/>
    </row>
    <row r="176">
      <c r="A176" s="4" t="n"/>
      <c r="B176" s="9">
        <f>IF(A176="","",INT((DAY(A176)-1)/7)+1)</f>
        <v/>
      </c>
      <c r="C176" s="9" t="n"/>
      <c r="D176" s="9" t="n"/>
      <c r="E176" s="9" t="n"/>
      <c r="F176" s="9" t="n"/>
      <c r="G176" s="9" t="n"/>
      <c r="H176" s="9" t="n"/>
      <c r="I176" s="9" t="n"/>
      <c r="J176" s="3" t="n"/>
      <c r="K176" s="9" t="n"/>
    </row>
    <row r="177">
      <c r="A177" s="4" t="n"/>
      <c r="B177" s="9">
        <f>IF(A177="","",INT((DAY(A177)-1)/7)+1)</f>
        <v/>
      </c>
      <c r="C177" s="9" t="n"/>
      <c r="D177" s="9" t="n"/>
      <c r="E177" s="9" t="n"/>
      <c r="F177" s="9" t="n"/>
      <c r="G177" s="9" t="n"/>
      <c r="H177" s="9" t="n"/>
      <c r="I177" s="9" t="n"/>
      <c r="J177" s="3" t="n"/>
      <c r="K177" s="9" t="n"/>
    </row>
    <row r="178">
      <c r="A178" s="4" t="n"/>
      <c r="B178" s="9">
        <f>IF(A178="","",INT((DAY(A178)-1)/7)+1)</f>
        <v/>
      </c>
      <c r="C178" s="9" t="n"/>
      <c r="D178" s="9" t="n"/>
      <c r="E178" s="9" t="n"/>
      <c r="F178" s="9" t="n"/>
      <c r="G178" s="9" t="n"/>
      <c r="H178" s="9" t="n"/>
      <c r="I178" s="9" t="n"/>
      <c r="J178" s="3" t="n"/>
      <c r="K178" s="9" t="n"/>
    </row>
    <row r="179">
      <c r="A179" s="4" t="n"/>
      <c r="B179" s="9">
        <f>IF(A179="","",INT((DAY(A179)-1)/7)+1)</f>
        <v/>
      </c>
      <c r="C179" s="9" t="n"/>
      <c r="D179" s="9" t="n"/>
      <c r="E179" s="9" t="n"/>
      <c r="F179" s="9" t="n"/>
      <c r="G179" s="9" t="n"/>
      <c r="H179" s="9" t="n"/>
      <c r="I179" s="9" t="n"/>
      <c r="J179" s="3" t="n"/>
      <c r="K179" s="9" t="n"/>
    </row>
    <row r="180">
      <c r="A180" s="4" t="n"/>
      <c r="B180" s="9">
        <f>IF(A180="","",INT((DAY(A180)-1)/7)+1)</f>
        <v/>
      </c>
      <c r="C180" s="9" t="n"/>
      <c r="D180" s="9" t="n"/>
      <c r="E180" s="9" t="n"/>
      <c r="F180" s="9" t="n"/>
      <c r="G180" s="9" t="n"/>
      <c r="H180" s="9" t="n"/>
      <c r="I180" s="9" t="n"/>
      <c r="J180" s="3" t="n"/>
      <c r="K180" s="9" t="n"/>
    </row>
    <row r="181">
      <c r="A181" s="4" t="n"/>
      <c r="B181" s="9">
        <f>IF(A181="","",INT((DAY(A181)-1)/7)+1)</f>
        <v/>
      </c>
      <c r="C181" s="9" t="n"/>
      <c r="D181" s="9" t="n"/>
      <c r="E181" s="9" t="n"/>
      <c r="F181" s="9" t="n"/>
      <c r="G181" s="9" t="n"/>
      <c r="H181" s="9" t="n"/>
      <c r="I181" s="9" t="n"/>
      <c r="J181" s="3" t="n"/>
      <c r="K181" s="9" t="n"/>
    </row>
    <row r="182">
      <c r="A182" s="4" t="n"/>
      <c r="B182" s="9">
        <f>IF(A182="","",INT((DAY(A182)-1)/7)+1)</f>
        <v/>
      </c>
      <c r="C182" s="9" t="n"/>
      <c r="D182" s="9" t="n"/>
      <c r="E182" s="9" t="n"/>
      <c r="F182" s="9" t="n"/>
      <c r="G182" s="9" t="n"/>
      <c r="H182" s="9" t="n"/>
      <c r="I182" s="9" t="n"/>
      <c r="J182" s="3" t="n"/>
      <c r="K182" s="9" t="n"/>
    </row>
    <row r="183">
      <c r="A183" s="4" t="n"/>
      <c r="B183" s="9">
        <f>IF(A183="","",INT((DAY(A183)-1)/7)+1)</f>
        <v/>
      </c>
      <c r="C183" s="9" t="n"/>
      <c r="D183" s="9" t="n"/>
      <c r="E183" s="9" t="n"/>
      <c r="F183" s="9" t="n"/>
      <c r="G183" s="9" t="n"/>
      <c r="H183" s="9" t="n"/>
      <c r="I183" s="9" t="n"/>
      <c r="J183" s="3" t="n"/>
      <c r="K183" s="9" t="n"/>
    </row>
    <row r="184">
      <c r="A184" s="4" t="n"/>
      <c r="B184" s="9">
        <f>IF(A184="","",INT((DAY(A184)-1)/7)+1)</f>
        <v/>
      </c>
      <c r="C184" s="9" t="n"/>
      <c r="D184" s="9" t="n"/>
      <c r="E184" s="9" t="n"/>
      <c r="F184" s="9" t="n"/>
      <c r="G184" s="9" t="n"/>
      <c r="H184" s="9" t="n"/>
      <c r="I184" s="9" t="n"/>
      <c r="J184" s="3" t="n"/>
      <c r="K184" s="9" t="n"/>
    </row>
    <row r="185">
      <c r="A185" s="4" t="n"/>
      <c r="B185" s="9">
        <f>IF(A185="","",INT((DAY(A185)-1)/7)+1)</f>
        <v/>
      </c>
      <c r="C185" s="9" t="n"/>
      <c r="D185" s="9" t="n"/>
      <c r="E185" s="9" t="n"/>
      <c r="F185" s="9" t="n"/>
      <c r="G185" s="9" t="n"/>
      <c r="H185" s="9" t="n"/>
      <c r="I185" s="9" t="n"/>
      <c r="J185" s="3" t="n"/>
      <c r="K185" s="9" t="n"/>
    </row>
    <row r="186">
      <c r="A186" s="4" t="n"/>
      <c r="B186" s="9">
        <f>IF(A186="","",INT((DAY(A186)-1)/7)+1)</f>
        <v/>
      </c>
      <c r="C186" s="9" t="n"/>
      <c r="D186" s="9" t="n"/>
      <c r="E186" s="9" t="n"/>
      <c r="F186" s="9" t="n"/>
      <c r="G186" s="9" t="n"/>
      <c r="H186" s="9" t="n"/>
      <c r="I186" s="9" t="n"/>
      <c r="J186" s="3" t="n"/>
      <c r="K186" s="9" t="n"/>
    </row>
    <row r="187">
      <c r="A187" s="4" t="n"/>
      <c r="B187" s="9">
        <f>IF(A187="","",INT((DAY(A187)-1)/7)+1)</f>
        <v/>
      </c>
      <c r="C187" s="9" t="n"/>
      <c r="D187" s="9" t="n"/>
      <c r="E187" s="9" t="n"/>
      <c r="F187" s="9" t="n"/>
      <c r="G187" s="9" t="n"/>
      <c r="H187" s="9" t="n"/>
      <c r="I187" s="9" t="n"/>
      <c r="J187" s="3" t="n"/>
      <c r="K187" s="9" t="n"/>
    </row>
    <row r="188">
      <c r="A188" s="4" t="n"/>
      <c r="B188" s="9">
        <f>IF(A188="","",INT((DAY(A188)-1)/7)+1)</f>
        <v/>
      </c>
      <c r="C188" s="9" t="n"/>
      <c r="D188" s="9" t="n"/>
      <c r="E188" s="9" t="n"/>
      <c r="F188" s="9" t="n"/>
      <c r="G188" s="9" t="n"/>
      <c r="H188" s="9" t="n"/>
      <c r="I188" s="9" t="n"/>
      <c r="J188" s="3" t="n"/>
      <c r="K188" s="9" t="n"/>
    </row>
    <row r="189">
      <c r="A189" s="4" t="n"/>
      <c r="B189" s="9">
        <f>IF(A189="","",INT((DAY(A189)-1)/7)+1)</f>
        <v/>
      </c>
      <c r="C189" s="9" t="n"/>
      <c r="D189" s="9" t="n"/>
      <c r="E189" s="9" t="n"/>
      <c r="F189" s="9" t="n"/>
      <c r="G189" s="9" t="n"/>
      <c r="H189" s="9" t="n"/>
      <c r="I189" s="9" t="n"/>
      <c r="J189" s="3" t="n"/>
      <c r="K189" s="9" t="n"/>
    </row>
    <row r="190">
      <c r="A190" s="4" t="n"/>
      <c r="B190" s="9">
        <f>IF(A190="","",INT((DAY(A190)-1)/7)+1)</f>
        <v/>
      </c>
      <c r="C190" s="9" t="n"/>
      <c r="D190" s="9" t="n"/>
      <c r="E190" s="9" t="n"/>
      <c r="F190" s="9" t="n"/>
      <c r="G190" s="9" t="n"/>
      <c r="H190" s="9" t="n"/>
      <c r="I190" s="9" t="n"/>
      <c r="J190" s="3" t="n"/>
      <c r="K190" s="9" t="n"/>
    </row>
    <row r="191">
      <c r="A191" s="4" t="n"/>
      <c r="B191" s="9">
        <f>IF(A191="","",INT((DAY(A191)-1)/7)+1)</f>
        <v/>
      </c>
      <c r="C191" s="9" t="n"/>
      <c r="D191" s="9" t="n"/>
      <c r="E191" s="9" t="n"/>
      <c r="F191" s="9" t="n"/>
      <c r="G191" s="9" t="n"/>
      <c r="H191" s="9" t="n"/>
      <c r="I191" s="9" t="n"/>
      <c r="J191" s="3" t="n"/>
      <c r="K191" s="9" t="n"/>
    </row>
    <row r="192">
      <c r="A192" s="4" t="n"/>
      <c r="B192" s="9">
        <f>IF(A192="","",INT((DAY(A192)-1)/7)+1)</f>
        <v/>
      </c>
      <c r="C192" s="9" t="n"/>
      <c r="D192" s="9" t="n"/>
      <c r="E192" s="9" t="n"/>
      <c r="F192" s="9" t="n"/>
      <c r="G192" s="9" t="n"/>
      <c r="H192" s="9" t="n"/>
      <c r="I192" s="9" t="n"/>
      <c r="J192" s="3" t="n"/>
      <c r="K192" s="9" t="n"/>
    </row>
    <row r="193">
      <c r="A193" s="4" t="n"/>
      <c r="B193" s="9">
        <f>IF(A193="","",INT((DAY(A193)-1)/7)+1)</f>
        <v/>
      </c>
      <c r="C193" s="9" t="n"/>
      <c r="D193" s="9" t="n"/>
      <c r="E193" s="9" t="n"/>
      <c r="F193" s="9" t="n"/>
      <c r="G193" s="9" t="n"/>
      <c r="H193" s="9" t="n"/>
      <c r="I193" s="9" t="n"/>
      <c r="J193" s="3" t="n"/>
      <c r="K193" s="9" t="n"/>
    </row>
    <row r="194">
      <c r="A194" s="4" t="n"/>
      <c r="B194" s="9">
        <f>IF(A194="","",INT((DAY(A194)-1)/7)+1)</f>
        <v/>
      </c>
      <c r="C194" s="9" t="n"/>
      <c r="D194" s="9" t="n"/>
      <c r="E194" s="9" t="n"/>
      <c r="F194" s="9" t="n"/>
      <c r="G194" s="9" t="n"/>
      <c r="H194" s="9" t="n"/>
      <c r="I194" s="9" t="n"/>
      <c r="J194" s="3" t="n"/>
      <c r="K194" s="9" t="n"/>
    </row>
    <row r="195">
      <c r="A195" s="4" t="n"/>
      <c r="B195" s="9">
        <f>IF(A195="","",INT((DAY(A195)-1)/7)+1)</f>
        <v/>
      </c>
      <c r="C195" s="9" t="n"/>
      <c r="D195" s="9" t="n"/>
      <c r="E195" s="9" t="n"/>
      <c r="F195" s="9" t="n"/>
      <c r="G195" s="9" t="n"/>
      <c r="H195" s="9" t="n"/>
      <c r="I195" s="9" t="n"/>
      <c r="J195" s="3" t="n"/>
      <c r="K195" s="9" t="n"/>
    </row>
    <row r="196">
      <c r="A196" s="4" t="n"/>
      <c r="B196" s="9">
        <f>IF(A196="","",INT((DAY(A196)-1)/7)+1)</f>
        <v/>
      </c>
      <c r="C196" s="9" t="n"/>
      <c r="D196" s="9" t="n"/>
      <c r="E196" s="9" t="n"/>
      <c r="F196" s="9" t="n"/>
      <c r="G196" s="9" t="n"/>
      <c r="H196" s="9" t="n"/>
      <c r="I196" s="9" t="n"/>
      <c r="J196" s="3" t="n"/>
      <c r="K196" s="9" t="n"/>
    </row>
    <row r="197">
      <c r="A197" s="4" t="n"/>
      <c r="B197" s="9">
        <f>IF(A197="","",INT((DAY(A197)-1)/7)+1)</f>
        <v/>
      </c>
      <c r="C197" s="9" t="n"/>
      <c r="D197" s="9" t="n"/>
      <c r="E197" s="9" t="n"/>
      <c r="F197" s="9" t="n"/>
      <c r="G197" s="9" t="n"/>
      <c r="H197" s="9" t="n"/>
      <c r="I197" s="9" t="n"/>
      <c r="J197" s="3" t="n"/>
      <c r="K197" s="9" t="n"/>
    </row>
    <row r="198">
      <c r="A198" s="4" t="n"/>
      <c r="B198" s="9">
        <f>IF(A198="","",INT((DAY(A198)-1)/7)+1)</f>
        <v/>
      </c>
      <c r="C198" s="9" t="n"/>
      <c r="D198" s="9" t="n"/>
      <c r="E198" s="9" t="n"/>
      <c r="F198" s="9" t="n"/>
      <c r="G198" s="9" t="n"/>
      <c r="H198" s="9" t="n"/>
      <c r="I198" s="9" t="n"/>
      <c r="J198" s="3" t="n"/>
      <c r="K198" s="9" t="n"/>
    </row>
    <row r="199">
      <c r="A199" s="4" t="n"/>
      <c r="B199" s="9">
        <f>IF(A199="","",INT((DAY(A199)-1)/7)+1)</f>
        <v/>
      </c>
      <c r="C199" s="9" t="n"/>
      <c r="D199" s="9" t="n"/>
      <c r="E199" s="9" t="n"/>
      <c r="F199" s="9" t="n"/>
      <c r="G199" s="9" t="n"/>
      <c r="H199" s="9" t="n"/>
      <c r="I199" s="9" t="n"/>
      <c r="J199" s="3" t="n"/>
      <c r="K199" s="9" t="n"/>
    </row>
    <row r="200">
      <c r="A200" s="4" t="n"/>
      <c r="B200" s="9">
        <f>IF(A200="","",INT((DAY(A200)-1)/7)+1)</f>
        <v/>
      </c>
      <c r="C200" s="9" t="n"/>
      <c r="D200" s="9" t="n"/>
      <c r="E200" s="9" t="n"/>
      <c r="F200" s="9" t="n"/>
      <c r="G200" s="9" t="n"/>
      <c r="H200" s="9" t="n"/>
      <c r="I200" s="9" t="n"/>
      <c r="J200" s="3" t="n"/>
      <c r="K200" s="9" t="n"/>
    </row>
    <row r="201">
      <c r="A201" s="4" t="n"/>
      <c r="B201" s="9">
        <f>IF(A201="","",INT((DAY(A201)-1)/7)+1)</f>
        <v/>
      </c>
      <c r="C201" s="9" t="n"/>
      <c r="D201" s="9" t="n"/>
      <c r="E201" s="9" t="n"/>
      <c r="F201" s="9" t="n"/>
      <c r="G201" s="9" t="n"/>
      <c r="H201" s="9" t="n"/>
      <c r="I201" s="9" t="n"/>
      <c r="J201" s="3" t="n"/>
      <c r="K201" s="9" t="n"/>
    </row>
    <row r="202">
      <c r="A202" s="4" t="n"/>
      <c r="B202" s="9">
        <f>IF(A202="","",INT((DAY(A202)-1)/7)+1)</f>
        <v/>
      </c>
      <c r="C202" s="9" t="n"/>
      <c r="D202" s="9" t="n"/>
      <c r="E202" s="9" t="n"/>
      <c r="F202" s="9" t="n"/>
      <c r="G202" s="9" t="n"/>
      <c r="H202" s="9" t="n"/>
      <c r="I202" s="9" t="n"/>
      <c r="J202" s="3" t="n"/>
      <c r="K202" s="9" t="n"/>
    </row>
    <row r="203">
      <c r="A203" s="4" t="n"/>
      <c r="B203" s="9">
        <f>IF(A203="","",INT((DAY(A203)-1)/7)+1)</f>
        <v/>
      </c>
      <c r="C203" s="9" t="n"/>
      <c r="D203" s="9" t="n"/>
      <c r="E203" s="9" t="n"/>
      <c r="F203" s="9" t="n"/>
      <c r="G203" s="9" t="n"/>
      <c r="H203" s="9" t="n"/>
      <c r="I203" s="9" t="n"/>
      <c r="J203" s="3" t="n"/>
      <c r="K203" s="9" t="n"/>
    </row>
    <row r="204">
      <c r="A204" s="4" t="n"/>
      <c r="B204" s="9">
        <f>IF(A204="","",INT((DAY(A204)-1)/7)+1)</f>
        <v/>
      </c>
      <c r="C204" s="9" t="n"/>
      <c r="D204" s="9" t="n"/>
      <c r="E204" s="9" t="n"/>
      <c r="F204" s="9" t="n"/>
      <c r="G204" s="9" t="n"/>
      <c r="H204" s="9" t="n"/>
      <c r="I204" s="9" t="n"/>
      <c r="J204" s="3" t="n"/>
      <c r="K204" s="9" t="n"/>
    </row>
    <row r="205">
      <c r="A205" s="4" t="n"/>
      <c r="B205" s="9">
        <f>IF(A205="","",INT((DAY(A205)-1)/7)+1)</f>
        <v/>
      </c>
      <c r="C205" s="9" t="n"/>
      <c r="D205" s="9" t="n"/>
      <c r="E205" s="9" t="n"/>
      <c r="F205" s="9" t="n"/>
      <c r="G205" s="9" t="n"/>
      <c r="H205" s="9" t="n"/>
      <c r="I205" s="9" t="n"/>
      <c r="J205" s="3" t="n"/>
      <c r="K205" s="9" t="n"/>
    </row>
    <row r="206">
      <c r="A206" s="4" t="n"/>
      <c r="B206" s="9">
        <f>IF(A206="","",INT((DAY(A206)-1)/7)+1)</f>
        <v/>
      </c>
      <c r="C206" s="9" t="n"/>
      <c r="D206" s="9" t="n"/>
      <c r="E206" s="9" t="n"/>
      <c r="F206" s="9" t="n"/>
      <c r="G206" s="9" t="n"/>
      <c r="H206" s="9" t="n"/>
      <c r="I206" s="9" t="n"/>
      <c r="J206" s="3" t="n"/>
      <c r="K206" s="9" t="n"/>
    </row>
    <row r="207">
      <c r="A207" s="4" t="n"/>
      <c r="B207" s="9">
        <f>IF(A207="","",INT((DAY(A207)-1)/7)+1)</f>
        <v/>
      </c>
      <c r="C207" s="9" t="n"/>
      <c r="D207" s="9" t="n"/>
      <c r="E207" s="9" t="n"/>
      <c r="F207" s="9" t="n"/>
      <c r="G207" s="9" t="n"/>
      <c r="H207" s="9" t="n"/>
      <c r="I207" s="9" t="n"/>
      <c r="J207" s="3" t="n"/>
      <c r="K207" s="9" t="n"/>
    </row>
    <row r="208">
      <c r="A208" s="4" t="n"/>
      <c r="B208" s="9">
        <f>IF(A208="","",INT((DAY(A208)-1)/7)+1)</f>
        <v/>
      </c>
      <c r="C208" s="9" t="n"/>
      <c r="D208" s="9" t="n"/>
      <c r="E208" s="9" t="n"/>
      <c r="F208" s="9" t="n"/>
      <c r="G208" s="9" t="n"/>
      <c r="H208" s="9" t="n"/>
      <c r="I208" s="9" t="n"/>
      <c r="J208" s="3" t="n"/>
      <c r="K208" s="9" t="n"/>
    </row>
    <row r="209">
      <c r="A209" s="4" t="n"/>
      <c r="B209" s="9">
        <f>IF(A209="","",INT((DAY(A209)-1)/7)+1)</f>
        <v/>
      </c>
      <c r="C209" s="9" t="n"/>
      <c r="D209" s="9" t="n"/>
      <c r="E209" s="9" t="n"/>
      <c r="F209" s="9" t="n"/>
      <c r="G209" s="9" t="n"/>
      <c r="H209" s="9" t="n"/>
      <c r="I209" s="9" t="n"/>
      <c r="J209" s="3" t="n"/>
      <c r="K209" s="9" t="n"/>
    </row>
    <row r="210">
      <c r="A210" s="4" t="n"/>
      <c r="B210" s="9">
        <f>IF(A210="","",INT((DAY(A210)-1)/7)+1)</f>
        <v/>
      </c>
      <c r="C210" s="9" t="n"/>
      <c r="D210" s="9" t="n"/>
      <c r="E210" s="9" t="n"/>
      <c r="F210" s="9" t="n"/>
      <c r="G210" s="9" t="n"/>
      <c r="H210" s="9" t="n"/>
      <c r="I210" s="9" t="n"/>
      <c r="J210" s="3" t="n"/>
      <c r="K210" s="9" t="n"/>
    </row>
    <row r="211">
      <c r="A211" s="4" t="n"/>
      <c r="B211" s="9">
        <f>IF(A211="","",INT((DAY(A211)-1)/7)+1)</f>
        <v/>
      </c>
      <c r="C211" s="9" t="n"/>
      <c r="D211" s="9" t="n"/>
      <c r="E211" s="9" t="n"/>
      <c r="F211" s="9" t="n"/>
      <c r="G211" s="9" t="n"/>
      <c r="H211" s="9" t="n"/>
      <c r="I211" s="9" t="n"/>
      <c r="J211" s="3" t="n"/>
      <c r="K211" s="9" t="n"/>
    </row>
    <row r="212">
      <c r="A212" s="4" t="n"/>
      <c r="B212" s="9">
        <f>IF(A212="","",INT((DAY(A212)-1)/7)+1)</f>
        <v/>
      </c>
      <c r="C212" s="9" t="n"/>
      <c r="D212" s="9" t="n"/>
      <c r="E212" s="9" t="n"/>
      <c r="F212" s="9" t="n"/>
      <c r="G212" s="9" t="n"/>
      <c r="H212" s="9" t="n"/>
      <c r="I212" s="9" t="n"/>
      <c r="J212" s="3" t="n"/>
      <c r="K212" s="9" t="n"/>
    </row>
    <row r="213">
      <c r="A213" s="4" t="n"/>
      <c r="B213" s="9">
        <f>IF(A213="","",INT((DAY(A213)-1)/7)+1)</f>
        <v/>
      </c>
      <c r="C213" s="9" t="n"/>
      <c r="D213" s="9" t="n"/>
      <c r="E213" s="9" t="n"/>
      <c r="F213" s="9" t="n"/>
      <c r="G213" s="9" t="n"/>
      <c r="H213" s="9" t="n"/>
      <c r="I213" s="9" t="n"/>
      <c r="J213" s="3" t="n"/>
      <c r="K213" s="9" t="n"/>
    </row>
    <row r="214">
      <c r="A214" s="4" t="n"/>
      <c r="B214" s="9">
        <f>IF(A214="","",INT((DAY(A214)-1)/7)+1)</f>
        <v/>
      </c>
      <c r="C214" s="9" t="n"/>
      <c r="D214" s="9" t="n"/>
      <c r="E214" s="9" t="n"/>
      <c r="F214" s="9" t="n"/>
      <c r="G214" s="9" t="n"/>
      <c r="H214" s="9" t="n"/>
      <c r="I214" s="9" t="n"/>
      <c r="J214" s="3" t="n"/>
      <c r="K214" s="9" t="n"/>
    </row>
    <row r="215">
      <c r="A215" s="4" t="n"/>
      <c r="B215" s="9">
        <f>IF(A215="","",INT((DAY(A215)-1)/7)+1)</f>
        <v/>
      </c>
      <c r="C215" s="9" t="n"/>
      <c r="D215" s="9" t="n"/>
      <c r="E215" s="9" t="n"/>
      <c r="F215" s="9" t="n"/>
      <c r="G215" s="9" t="n"/>
      <c r="H215" s="9" t="n"/>
      <c r="I215" s="9" t="n"/>
      <c r="J215" s="3" t="n"/>
      <c r="K215" s="9" t="n"/>
    </row>
    <row r="216">
      <c r="A216" s="4" t="n"/>
      <c r="B216" s="9">
        <f>IF(A216="","",INT((DAY(A216)-1)/7)+1)</f>
        <v/>
      </c>
      <c r="C216" s="9" t="n"/>
      <c r="D216" s="9" t="n"/>
      <c r="E216" s="9" t="n"/>
      <c r="F216" s="9" t="n"/>
      <c r="G216" s="9" t="n"/>
      <c r="H216" s="9" t="n"/>
      <c r="I216" s="9" t="n"/>
      <c r="J216" s="3" t="n"/>
      <c r="K216" s="9" t="n"/>
    </row>
    <row r="217">
      <c r="A217" s="4" t="n"/>
      <c r="B217" s="9">
        <f>IF(A217="","",INT((DAY(A217)-1)/7)+1)</f>
        <v/>
      </c>
      <c r="C217" s="9" t="n"/>
      <c r="D217" s="9" t="n"/>
      <c r="E217" s="9" t="n"/>
      <c r="F217" s="9" t="n"/>
      <c r="G217" s="9" t="n"/>
      <c r="H217" s="9" t="n"/>
      <c r="I217" s="9" t="n"/>
      <c r="J217" s="3" t="n"/>
      <c r="K217" s="9" t="n"/>
    </row>
    <row r="218">
      <c r="A218" s="4" t="n"/>
      <c r="B218" s="9">
        <f>IF(A218="","",INT((DAY(A218)-1)/7)+1)</f>
        <v/>
      </c>
      <c r="C218" s="9" t="n"/>
      <c r="D218" s="9" t="n"/>
      <c r="E218" s="9" t="n"/>
      <c r="F218" s="9" t="n"/>
      <c r="G218" s="9" t="n"/>
      <c r="H218" s="9" t="n"/>
      <c r="I218" s="9" t="n"/>
      <c r="J218" s="3" t="n"/>
      <c r="K218" s="9" t="n"/>
    </row>
    <row r="219">
      <c r="A219" s="4" t="n"/>
      <c r="B219" s="9">
        <f>IF(A219="","",INT((DAY(A219)-1)/7)+1)</f>
        <v/>
      </c>
      <c r="C219" s="9" t="n"/>
      <c r="D219" s="9" t="n"/>
      <c r="E219" s="9" t="n"/>
      <c r="F219" s="9" t="n"/>
      <c r="G219" s="9" t="n"/>
      <c r="H219" s="9" t="n"/>
      <c r="I219" s="9" t="n"/>
      <c r="J219" s="3" t="n"/>
      <c r="K219" s="9" t="n"/>
    </row>
    <row r="220">
      <c r="A220" s="4" t="n"/>
      <c r="B220" s="9">
        <f>IF(A220="","",INT((DAY(A220)-1)/7)+1)</f>
        <v/>
      </c>
      <c r="C220" s="9" t="n"/>
      <c r="D220" s="9" t="n"/>
      <c r="E220" s="9" t="n"/>
      <c r="F220" s="9" t="n"/>
      <c r="G220" s="9" t="n"/>
      <c r="H220" s="9" t="n"/>
      <c r="I220" s="9" t="n"/>
      <c r="J220" s="3" t="n"/>
      <c r="K220" s="9" t="n"/>
    </row>
    <row r="221">
      <c r="A221" s="4" t="n"/>
      <c r="B221" s="9">
        <f>IF(A221="","",INT((DAY(A221)-1)/7)+1)</f>
        <v/>
      </c>
      <c r="C221" s="9" t="n"/>
      <c r="D221" s="9" t="n"/>
      <c r="E221" s="9" t="n"/>
      <c r="F221" s="9" t="n"/>
      <c r="G221" s="9" t="n"/>
      <c r="H221" s="9" t="n"/>
      <c r="I221" s="9" t="n"/>
      <c r="J221" s="3" t="n"/>
      <c r="K221" s="9" t="n"/>
    </row>
    <row r="222">
      <c r="A222" s="4" t="n"/>
      <c r="B222" s="9">
        <f>IF(A222="","",INT((DAY(A222)-1)/7)+1)</f>
        <v/>
      </c>
      <c r="C222" s="9" t="n"/>
      <c r="D222" s="9" t="n"/>
      <c r="E222" s="9" t="n"/>
      <c r="F222" s="9" t="n"/>
      <c r="G222" s="9" t="n"/>
      <c r="H222" s="9" t="n"/>
      <c r="I222" s="9" t="n"/>
      <c r="J222" s="3" t="n"/>
      <c r="K222" s="9" t="n"/>
    </row>
    <row r="223">
      <c r="A223" s="4" t="n"/>
      <c r="B223" s="9">
        <f>IF(A223="","",INT((DAY(A223)-1)/7)+1)</f>
        <v/>
      </c>
      <c r="C223" s="9" t="n"/>
      <c r="D223" s="9" t="n"/>
      <c r="E223" s="9" t="n"/>
      <c r="F223" s="9" t="n"/>
      <c r="G223" s="9" t="n"/>
      <c r="H223" s="9" t="n"/>
      <c r="I223" s="9" t="n"/>
      <c r="J223" s="3" t="n"/>
      <c r="K223" s="9" t="n"/>
    </row>
    <row r="224">
      <c r="A224" s="4" t="n"/>
      <c r="B224" s="9">
        <f>IF(A224="","",INT((DAY(A224)-1)/7)+1)</f>
        <v/>
      </c>
      <c r="C224" s="9" t="n"/>
      <c r="D224" s="9" t="n"/>
      <c r="E224" s="9" t="n"/>
      <c r="F224" s="9" t="n"/>
      <c r="G224" s="9" t="n"/>
      <c r="H224" s="9" t="n"/>
      <c r="I224" s="9" t="n"/>
      <c r="J224" s="3" t="n"/>
      <c r="K224" s="9" t="n"/>
    </row>
    <row r="225">
      <c r="A225" s="4" t="n"/>
      <c r="B225" s="9">
        <f>IF(A225="","",INT((DAY(A225)-1)/7)+1)</f>
        <v/>
      </c>
      <c r="C225" s="9" t="n"/>
      <c r="D225" s="9" t="n"/>
      <c r="E225" s="9" t="n"/>
      <c r="F225" s="9" t="n"/>
      <c r="G225" s="9" t="n"/>
      <c r="H225" s="9" t="n"/>
      <c r="I225" s="9" t="n"/>
      <c r="J225" s="3" t="n"/>
      <c r="K225" s="9" t="n"/>
    </row>
    <row r="226">
      <c r="A226" s="4" t="n"/>
      <c r="B226" s="9">
        <f>IF(A226="","",INT((DAY(A226)-1)/7)+1)</f>
        <v/>
      </c>
      <c r="C226" s="9" t="n"/>
      <c r="D226" s="9" t="n"/>
      <c r="E226" s="9" t="n"/>
      <c r="F226" s="9" t="n"/>
      <c r="G226" s="9" t="n"/>
      <c r="H226" s="9" t="n"/>
      <c r="I226" s="9" t="n"/>
      <c r="J226" s="3" t="n"/>
      <c r="K226" s="9" t="n"/>
    </row>
    <row r="227">
      <c r="A227" s="4" t="n"/>
      <c r="B227" s="9">
        <f>IF(A227="","",INT((DAY(A227)-1)/7)+1)</f>
        <v/>
      </c>
      <c r="C227" s="9" t="n"/>
      <c r="D227" s="9" t="n"/>
      <c r="E227" s="9" t="n"/>
      <c r="F227" s="9" t="n"/>
      <c r="G227" s="9" t="n"/>
      <c r="H227" s="9" t="n"/>
      <c r="I227" s="9" t="n"/>
      <c r="J227" s="3" t="n"/>
      <c r="K227" s="9" t="n"/>
    </row>
    <row r="228">
      <c r="A228" s="4" t="n"/>
      <c r="B228" s="9">
        <f>IF(A228="","",INT((DAY(A228)-1)/7)+1)</f>
        <v/>
      </c>
      <c r="C228" s="9" t="n"/>
      <c r="D228" s="9" t="n"/>
      <c r="E228" s="9" t="n"/>
      <c r="F228" s="9" t="n"/>
      <c r="G228" s="9" t="n"/>
      <c r="H228" s="9" t="n"/>
      <c r="I228" s="9" t="n"/>
      <c r="J228" s="3" t="n"/>
      <c r="K228" s="9" t="n"/>
    </row>
    <row r="229">
      <c r="A229" s="4" t="n"/>
      <c r="B229" s="9">
        <f>IF(A229="","",INT((DAY(A229)-1)/7)+1)</f>
        <v/>
      </c>
      <c r="C229" s="9" t="n"/>
      <c r="D229" s="9" t="n"/>
      <c r="E229" s="9" t="n"/>
      <c r="F229" s="9" t="n"/>
      <c r="G229" s="9" t="n"/>
      <c r="H229" s="9" t="n"/>
      <c r="I229" s="9" t="n"/>
      <c r="J229" s="3" t="n"/>
      <c r="K229" s="9" t="n"/>
    </row>
    <row r="230">
      <c r="A230" s="4" t="n"/>
      <c r="B230" s="9">
        <f>IF(A230="","",INT((DAY(A230)-1)/7)+1)</f>
        <v/>
      </c>
      <c r="C230" s="9" t="n"/>
      <c r="D230" s="9" t="n"/>
      <c r="E230" s="9" t="n"/>
      <c r="F230" s="9" t="n"/>
      <c r="G230" s="9" t="n"/>
      <c r="H230" s="9" t="n"/>
      <c r="I230" s="9" t="n"/>
      <c r="J230" s="3" t="n"/>
      <c r="K230" s="9" t="n"/>
    </row>
    <row r="231">
      <c r="A231" s="4" t="n"/>
      <c r="B231" s="9">
        <f>IF(A231="","",INT((DAY(A231)-1)/7)+1)</f>
        <v/>
      </c>
      <c r="C231" s="9" t="n"/>
      <c r="D231" s="9" t="n"/>
      <c r="E231" s="9" t="n"/>
      <c r="F231" s="9" t="n"/>
      <c r="G231" s="9" t="n"/>
      <c r="H231" s="9" t="n"/>
      <c r="I231" s="9" t="n"/>
      <c r="J231" s="3" t="n"/>
      <c r="K231" s="9" t="n"/>
    </row>
    <row r="232">
      <c r="A232" s="4" t="n"/>
      <c r="B232" s="9">
        <f>IF(A232="","",INT((DAY(A232)-1)/7)+1)</f>
        <v/>
      </c>
      <c r="C232" s="9" t="n"/>
      <c r="D232" s="9" t="n"/>
      <c r="E232" s="9" t="n"/>
      <c r="F232" s="9" t="n"/>
      <c r="G232" s="9" t="n"/>
      <c r="H232" s="9" t="n"/>
      <c r="I232" s="9" t="n"/>
      <c r="J232" s="3" t="n"/>
      <c r="K232" s="9" t="n"/>
    </row>
    <row r="233">
      <c r="A233" s="4" t="n"/>
      <c r="B233" s="9">
        <f>IF(A233="","",INT((DAY(A233)-1)/7)+1)</f>
        <v/>
      </c>
      <c r="C233" s="9" t="n"/>
      <c r="D233" s="9" t="n"/>
      <c r="E233" s="9" t="n"/>
      <c r="F233" s="9" t="n"/>
      <c r="G233" s="9" t="n"/>
      <c r="H233" s="9" t="n"/>
      <c r="I233" s="9" t="n"/>
      <c r="J233" s="3" t="n"/>
      <c r="K233" s="9" t="n"/>
    </row>
    <row r="234">
      <c r="A234" s="4" t="n"/>
      <c r="B234" s="9">
        <f>IF(A234="","",INT((DAY(A234)-1)/7)+1)</f>
        <v/>
      </c>
      <c r="C234" s="9" t="n"/>
      <c r="D234" s="9" t="n"/>
      <c r="E234" s="9" t="n"/>
      <c r="F234" s="9" t="n"/>
      <c r="G234" s="9" t="n"/>
      <c r="H234" s="9" t="n"/>
      <c r="I234" s="9" t="n"/>
      <c r="J234" s="3" t="n"/>
      <c r="K234" s="9" t="n"/>
    </row>
    <row r="235">
      <c r="A235" s="4" t="n"/>
      <c r="B235" s="9">
        <f>IF(A235="","",INT((DAY(A235)-1)/7)+1)</f>
        <v/>
      </c>
      <c r="C235" s="9" t="n"/>
      <c r="D235" s="9" t="n"/>
      <c r="E235" s="9" t="n"/>
      <c r="F235" s="9" t="n"/>
      <c r="G235" s="9" t="n"/>
      <c r="H235" s="9" t="n"/>
      <c r="I235" s="9" t="n"/>
      <c r="J235" s="3" t="n"/>
      <c r="K235" s="9" t="n"/>
    </row>
    <row r="236">
      <c r="A236" s="4" t="n"/>
      <c r="B236" s="9">
        <f>IF(A236="","",INT((DAY(A236)-1)/7)+1)</f>
        <v/>
      </c>
      <c r="C236" s="9" t="n"/>
      <c r="D236" s="9" t="n"/>
      <c r="E236" s="9" t="n"/>
      <c r="F236" s="9" t="n"/>
      <c r="G236" s="9" t="n"/>
      <c r="H236" s="9" t="n"/>
      <c r="I236" s="9" t="n"/>
      <c r="J236" s="3" t="n"/>
      <c r="K236" s="9" t="n"/>
    </row>
    <row r="237">
      <c r="A237" s="4" t="n"/>
      <c r="B237" s="9">
        <f>IF(A237="","",INT((DAY(A237)-1)/7)+1)</f>
        <v/>
      </c>
      <c r="C237" s="9" t="n"/>
      <c r="D237" s="9" t="n"/>
      <c r="E237" s="9" t="n"/>
      <c r="F237" s="9" t="n"/>
      <c r="G237" s="9" t="n"/>
      <c r="H237" s="9" t="n"/>
      <c r="I237" s="9" t="n"/>
      <c r="J237" s="3" t="n"/>
      <c r="K237" s="9" t="n"/>
    </row>
    <row r="238">
      <c r="A238" s="4" t="n"/>
      <c r="B238" s="9">
        <f>IF(A238="","",INT((DAY(A238)-1)/7)+1)</f>
        <v/>
      </c>
      <c r="C238" s="9" t="n"/>
      <c r="D238" s="9" t="n"/>
      <c r="E238" s="9" t="n"/>
      <c r="F238" s="9" t="n"/>
      <c r="G238" s="9" t="n"/>
      <c r="H238" s="9" t="n"/>
      <c r="I238" s="9" t="n"/>
      <c r="J238" s="3" t="n"/>
      <c r="K238" s="9" t="n"/>
    </row>
    <row r="239">
      <c r="A239" s="4" t="n"/>
      <c r="B239" s="9">
        <f>IF(A239="","",INT((DAY(A239)-1)/7)+1)</f>
        <v/>
      </c>
      <c r="C239" s="9" t="n"/>
      <c r="D239" s="9" t="n"/>
      <c r="E239" s="9" t="n"/>
      <c r="F239" s="9" t="n"/>
      <c r="G239" s="9" t="n"/>
      <c r="H239" s="9" t="n"/>
      <c r="I239" s="9" t="n"/>
      <c r="J239" s="3" t="n"/>
      <c r="K239" s="9" t="n"/>
    </row>
    <row r="240">
      <c r="A240" s="4" t="n"/>
      <c r="B240" s="9">
        <f>IF(A240="","",INT((DAY(A240)-1)/7)+1)</f>
        <v/>
      </c>
      <c r="C240" s="9" t="n"/>
      <c r="D240" s="9" t="n"/>
      <c r="E240" s="9" t="n"/>
      <c r="F240" s="9" t="n"/>
      <c r="G240" s="9" t="n"/>
      <c r="H240" s="9" t="n"/>
      <c r="I240" s="9" t="n"/>
      <c r="J240" s="3" t="n"/>
      <c r="K240" s="9" t="n"/>
    </row>
    <row r="241">
      <c r="A241" s="4" t="n"/>
      <c r="B241" s="9">
        <f>IF(A241="","",INT((DAY(A241)-1)/7)+1)</f>
        <v/>
      </c>
      <c r="C241" s="9" t="n"/>
      <c r="D241" s="9" t="n"/>
      <c r="E241" s="9" t="n"/>
      <c r="F241" s="9" t="n"/>
      <c r="G241" s="9" t="n"/>
      <c r="H241" s="9" t="n"/>
      <c r="I241" s="9" t="n"/>
      <c r="J241" s="3" t="n"/>
      <c r="K241" s="9" t="n"/>
    </row>
    <row r="242">
      <c r="A242" s="4" t="n"/>
      <c r="B242" s="9">
        <f>IF(A242="","",INT((DAY(A242)-1)/7)+1)</f>
        <v/>
      </c>
      <c r="C242" s="9" t="n"/>
      <c r="D242" s="9" t="n"/>
      <c r="E242" s="9" t="n"/>
      <c r="F242" s="9" t="n"/>
      <c r="G242" s="9" t="n"/>
      <c r="H242" s="9" t="n"/>
      <c r="I242" s="9" t="n"/>
      <c r="J242" s="3" t="n"/>
      <c r="K242" s="9" t="n"/>
    </row>
    <row r="243">
      <c r="A243" s="4" t="n"/>
      <c r="B243" s="9">
        <f>IF(A243="","",INT((DAY(A243)-1)/7)+1)</f>
        <v/>
      </c>
      <c r="C243" s="9" t="n"/>
      <c r="D243" s="9" t="n"/>
      <c r="E243" s="9" t="n"/>
      <c r="F243" s="9" t="n"/>
      <c r="G243" s="9" t="n"/>
      <c r="H243" s="9" t="n"/>
      <c r="I243" s="9" t="n"/>
      <c r="J243" s="3" t="n"/>
      <c r="K243" s="9" t="n"/>
    </row>
    <row r="244">
      <c r="A244" s="4" t="n"/>
      <c r="B244" s="9">
        <f>IF(A244="","",INT((DAY(A244)-1)/7)+1)</f>
        <v/>
      </c>
      <c r="C244" s="9" t="n"/>
      <c r="D244" s="9" t="n"/>
      <c r="E244" s="9" t="n"/>
      <c r="F244" s="9" t="n"/>
      <c r="G244" s="9" t="n"/>
      <c r="H244" s="9" t="n"/>
      <c r="I244" s="9" t="n"/>
      <c r="J244" s="3" t="n"/>
      <c r="K244" s="9" t="n"/>
    </row>
    <row r="245">
      <c r="A245" s="4" t="n"/>
      <c r="B245" s="9">
        <f>IF(A245="","",INT((DAY(A245)-1)/7)+1)</f>
        <v/>
      </c>
      <c r="C245" s="9" t="n"/>
      <c r="D245" s="9" t="n"/>
      <c r="E245" s="9" t="n"/>
      <c r="F245" s="9" t="n"/>
      <c r="G245" s="9" t="n"/>
      <c r="H245" s="9" t="n"/>
      <c r="I245" s="9" t="n"/>
      <c r="J245" s="3" t="n"/>
      <c r="K245" s="9" t="n"/>
    </row>
    <row r="246">
      <c r="A246" s="4" t="n"/>
      <c r="B246" s="9">
        <f>IF(A246="","",INT((DAY(A246)-1)/7)+1)</f>
        <v/>
      </c>
      <c r="C246" s="9" t="n"/>
      <c r="D246" s="9" t="n"/>
      <c r="E246" s="9" t="n"/>
      <c r="F246" s="9" t="n"/>
      <c r="G246" s="9" t="n"/>
      <c r="H246" s="9" t="n"/>
      <c r="I246" s="9" t="n"/>
      <c r="J246" s="3" t="n"/>
      <c r="K246" s="9" t="n"/>
    </row>
    <row r="247">
      <c r="A247" s="4" t="n"/>
      <c r="B247" s="9">
        <f>IF(A247="","",INT((DAY(A247)-1)/7)+1)</f>
        <v/>
      </c>
      <c r="C247" s="9" t="n"/>
      <c r="D247" s="9" t="n"/>
      <c r="E247" s="9" t="n"/>
      <c r="F247" s="9" t="n"/>
      <c r="G247" s="9" t="n"/>
      <c r="H247" s="9" t="n"/>
      <c r="I247" s="9" t="n"/>
      <c r="J247" s="3" t="n"/>
      <c r="K247" s="9" t="n"/>
    </row>
    <row r="248">
      <c r="A248" s="4" t="n"/>
      <c r="B248" s="9">
        <f>IF(A248="","",INT((DAY(A248)-1)/7)+1)</f>
        <v/>
      </c>
      <c r="C248" s="9" t="n"/>
      <c r="D248" s="9" t="n"/>
      <c r="E248" s="9" t="n"/>
      <c r="F248" s="9" t="n"/>
      <c r="G248" s="9" t="n"/>
      <c r="H248" s="9" t="n"/>
      <c r="I248" s="9" t="n"/>
      <c r="J248" s="3" t="n"/>
      <c r="K248" s="9" t="n"/>
    </row>
    <row r="249">
      <c r="A249" s="4" t="n"/>
      <c r="B249" s="9">
        <f>IF(A249="","",INT((DAY(A249)-1)/7)+1)</f>
        <v/>
      </c>
      <c r="C249" s="9" t="n"/>
      <c r="D249" s="9" t="n"/>
      <c r="E249" s="9" t="n"/>
      <c r="F249" s="9" t="n"/>
      <c r="G249" s="9" t="n"/>
      <c r="H249" s="9" t="n"/>
      <c r="I249" s="9" t="n"/>
      <c r="J249" s="3" t="n"/>
      <c r="K249" s="9" t="n"/>
    </row>
    <row r="250">
      <c r="A250" s="4" t="n"/>
      <c r="B250" s="9">
        <f>IF(A250="","",INT((DAY(A250)-1)/7)+1)</f>
        <v/>
      </c>
      <c r="C250" s="9" t="n"/>
      <c r="D250" s="9" t="n"/>
      <c r="E250" s="9" t="n"/>
      <c r="F250" s="9" t="n"/>
      <c r="G250" s="9" t="n"/>
      <c r="H250" s="9" t="n"/>
      <c r="I250" s="9" t="n"/>
      <c r="J250" s="3" t="n"/>
      <c r="K250" s="9" t="n"/>
    </row>
    <row r="251">
      <c r="A251" s="4" t="n"/>
      <c r="B251" s="9">
        <f>IF(A251="","",INT((DAY(A251)-1)/7)+1)</f>
        <v/>
      </c>
      <c r="C251" s="9" t="n"/>
      <c r="D251" s="9" t="n"/>
      <c r="E251" s="9" t="n"/>
      <c r="F251" s="9" t="n"/>
      <c r="G251" s="9" t="n"/>
      <c r="H251" s="9" t="n"/>
      <c r="I251" s="9" t="n"/>
      <c r="J251" s="3" t="n"/>
      <c r="K251" s="9" t="n"/>
    </row>
    <row r="252">
      <c r="A252" s="4" t="n"/>
      <c r="B252" s="9">
        <f>IF(A252="","",INT((DAY(A252)-1)/7)+1)</f>
        <v/>
      </c>
      <c r="C252" s="9" t="n"/>
      <c r="D252" s="9" t="n"/>
      <c r="E252" s="9" t="n"/>
      <c r="F252" s="9" t="n"/>
      <c r="G252" s="9" t="n"/>
      <c r="H252" s="9" t="n"/>
      <c r="I252" s="9" t="n"/>
      <c r="J252" s="3" t="n"/>
      <c r="K252" s="9" t="n"/>
    </row>
    <row r="253">
      <c r="A253" s="4" t="n"/>
      <c r="B253" s="9">
        <f>IF(A253="","",INT((DAY(A253)-1)/7)+1)</f>
        <v/>
      </c>
      <c r="C253" s="9" t="n"/>
      <c r="D253" s="9" t="n"/>
      <c r="E253" s="9" t="n"/>
      <c r="F253" s="9" t="n"/>
      <c r="G253" s="9" t="n"/>
      <c r="H253" s="9" t="n"/>
      <c r="I253" s="9" t="n"/>
      <c r="J253" s="3" t="n"/>
      <c r="K253" s="9" t="n"/>
    </row>
    <row r="254">
      <c r="A254" s="4" t="n"/>
      <c r="B254" s="9">
        <f>IF(A254="","",INT((DAY(A254)-1)/7)+1)</f>
        <v/>
      </c>
      <c r="C254" s="9" t="n"/>
      <c r="D254" s="9" t="n"/>
      <c r="E254" s="9" t="n"/>
      <c r="F254" s="9" t="n"/>
      <c r="G254" s="9" t="n"/>
      <c r="H254" s="9" t="n"/>
      <c r="I254" s="9" t="n"/>
      <c r="J254" s="3" t="n"/>
      <c r="K254" s="9" t="n"/>
    </row>
    <row r="255">
      <c r="A255" s="4" t="n"/>
      <c r="B255" s="9">
        <f>IF(A255="","",INT((DAY(A255)-1)/7)+1)</f>
        <v/>
      </c>
      <c r="C255" s="9" t="n"/>
      <c r="D255" s="9" t="n"/>
      <c r="E255" s="9" t="n"/>
      <c r="F255" s="9" t="n"/>
      <c r="G255" s="9" t="n"/>
      <c r="H255" s="9" t="n"/>
      <c r="I255" s="9" t="n"/>
      <c r="J255" s="3" t="n"/>
      <c r="K255" s="9" t="n"/>
    </row>
    <row r="256">
      <c r="A256" s="4" t="n"/>
      <c r="B256" s="9">
        <f>IF(A256="","",INT((DAY(A256)-1)/7)+1)</f>
        <v/>
      </c>
      <c r="C256" s="9" t="n"/>
      <c r="D256" s="9" t="n"/>
      <c r="E256" s="9" t="n"/>
      <c r="F256" s="9" t="n"/>
      <c r="G256" s="9" t="n"/>
      <c r="H256" s="9" t="n"/>
      <c r="I256" s="9" t="n"/>
      <c r="J256" s="3" t="n"/>
      <c r="K256" s="9" t="n"/>
    </row>
    <row r="257">
      <c r="A257" s="4" t="n"/>
      <c r="B257" s="9">
        <f>IF(A257="","",INT((DAY(A257)-1)/7)+1)</f>
        <v/>
      </c>
      <c r="C257" s="9" t="n"/>
      <c r="D257" s="9" t="n"/>
      <c r="E257" s="9" t="n"/>
      <c r="F257" s="9" t="n"/>
      <c r="G257" s="9" t="n"/>
      <c r="H257" s="9" t="n"/>
      <c r="I257" s="9" t="n"/>
      <c r="J257" s="3" t="n"/>
      <c r="K257" s="9" t="n"/>
    </row>
    <row r="258">
      <c r="A258" s="4" t="n"/>
      <c r="B258" s="9">
        <f>IF(A258="","",INT((DAY(A258)-1)/7)+1)</f>
        <v/>
      </c>
      <c r="C258" s="9" t="n"/>
      <c r="D258" s="9" t="n"/>
      <c r="E258" s="9" t="n"/>
      <c r="F258" s="9" t="n"/>
      <c r="G258" s="9" t="n"/>
      <c r="H258" s="9" t="n"/>
      <c r="I258" s="9" t="n"/>
      <c r="J258" s="3" t="n"/>
      <c r="K258" s="9" t="n"/>
    </row>
    <row r="259">
      <c r="A259" s="4" t="n"/>
      <c r="B259" s="9">
        <f>IF(A259="","",INT((DAY(A259)-1)/7)+1)</f>
        <v/>
      </c>
      <c r="C259" s="9" t="n"/>
      <c r="D259" s="9" t="n"/>
      <c r="E259" s="9" t="n"/>
      <c r="F259" s="9" t="n"/>
      <c r="G259" s="9" t="n"/>
      <c r="H259" s="9" t="n"/>
      <c r="I259" s="9" t="n"/>
      <c r="J259" s="3" t="n"/>
      <c r="K259" s="9" t="n"/>
    </row>
    <row r="260">
      <c r="A260" s="4" t="n"/>
      <c r="B260" s="9">
        <f>IF(A260="","",INT((DAY(A260)-1)/7)+1)</f>
        <v/>
      </c>
      <c r="C260" s="9" t="n"/>
      <c r="D260" s="9" t="n"/>
      <c r="E260" s="9" t="n"/>
      <c r="F260" s="9" t="n"/>
      <c r="G260" s="9" t="n"/>
      <c r="H260" s="9" t="n"/>
      <c r="I260" s="9" t="n"/>
      <c r="J260" s="3" t="n"/>
      <c r="K260" s="9" t="n"/>
    </row>
    <row r="261">
      <c r="A261" s="4" t="n"/>
      <c r="B261" s="9">
        <f>IF(A261="","",INT((DAY(A261)-1)/7)+1)</f>
        <v/>
      </c>
      <c r="C261" s="9" t="n"/>
      <c r="D261" s="9" t="n"/>
      <c r="E261" s="9" t="n"/>
      <c r="F261" s="9" t="n"/>
      <c r="G261" s="9" t="n"/>
      <c r="H261" s="9" t="n"/>
      <c r="I261" s="9" t="n"/>
      <c r="J261" s="3" t="n"/>
      <c r="K261" s="9" t="n"/>
    </row>
    <row r="262">
      <c r="A262" s="4" t="n"/>
      <c r="B262" s="9">
        <f>IF(A262="","",INT((DAY(A262)-1)/7)+1)</f>
        <v/>
      </c>
      <c r="C262" s="9" t="n"/>
      <c r="D262" s="9" t="n"/>
      <c r="E262" s="9" t="n"/>
      <c r="F262" s="9" t="n"/>
      <c r="G262" s="9" t="n"/>
      <c r="H262" s="9" t="n"/>
      <c r="I262" s="9" t="n"/>
      <c r="J262" s="3" t="n"/>
      <c r="K262" s="9" t="n"/>
    </row>
    <row r="263">
      <c r="A263" s="4" t="n"/>
      <c r="B263" s="9">
        <f>IF(A263="","",INT((DAY(A263)-1)/7)+1)</f>
        <v/>
      </c>
      <c r="C263" s="9" t="n"/>
      <c r="D263" s="9" t="n"/>
      <c r="E263" s="9" t="n"/>
      <c r="F263" s="9" t="n"/>
      <c r="G263" s="9" t="n"/>
      <c r="H263" s="9" t="n"/>
      <c r="I263" s="9" t="n"/>
      <c r="J263" s="3" t="n"/>
      <c r="K263" s="9" t="n"/>
    </row>
    <row r="264">
      <c r="A264" s="4" t="n"/>
      <c r="B264" s="9">
        <f>IF(A264="","",INT((DAY(A264)-1)/7)+1)</f>
        <v/>
      </c>
      <c r="C264" s="9" t="n"/>
      <c r="D264" s="9" t="n"/>
      <c r="E264" s="9" t="n"/>
      <c r="F264" s="9" t="n"/>
      <c r="G264" s="9" t="n"/>
      <c r="H264" s="9" t="n"/>
      <c r="I264" s="9" t="n"/>
      <c r="J264" s="3" t="n"/>
      <c r="K264" s="9" t="n"/>
    </row>
    <row r="265">
      <c r="A265" s="4" t="n"/>
      <c r="B265" s="9">
        <f>IF(A265="","",INT((DAY(A265)-1)/7)+1)</f>
        <v/>
      </c>
      <c r="C265" s="9" t="n"/>
      <c r="D265" s="9" t="n"/>
      <c r="E265" s="9" t="n"/>
      <c r="F265" s="9" t="n"/>
      <c r="G265" s="9" t="n"/>
      <c r="H265" s="9" t="n"/>
      <c r="I265" s="9" t="n"/>
      <c r="J265" s="3" t="n"/>
      <c r="K265" s="9" t="n"/>
    </row>
    <row r="266">
      <c r="A266" s="4" t="n"/>
      <c r="B266" s="9">
        <f>IF(A266="","",INT((DAY(A266)-1)/7)+1)</f>
        <v/>
      </c>
      <c r="C266" s="9" t="n"/>
      <c r="D266" s="9" t="n"/>
      <c r="E266" s="9" t="n"/>
      <c r="F266" s="9" t="n"/>
      <c r="G266" s="9" t="n"/>
      <c r="H266" s="9" t="n"/>
      <c r="I266" s="9" t="n"/>
      <c r="J266" s="3" t="n"/>
      <c r="K266" s="9" t="n"/>
    </row>
    <row r="267">
      <c r="A267" s="4" t="n"/>
      <c r="B267" s="9">
        <f>IF(A267="","",INT((DAY(A267)-1)/7)+1)</f>
        <v/>
      </c>
      <c r="C267" s="9" t="n"/>
      <c r="D267" s="9" t="n"/>
      <c r="E267" s="9" t="n"/>
      <c r="F267" s="9" t="n"/>
      <c r="G267" s="9" t="n"/>
      <c r="H267" s="9" t="n"/>
      <c r="I267" s="9" t="n"/>
      <c r="J267" s="3" t="n"/>
      <c r="K267" s="9" t="n"/>
    </row>
    <row r="268">
      <c r="A268" s="4" t="n"/>
      <c r="B268" s="9">
        <f>IF(A268="","",INT((DAY(A268)-1)/7)+1)</f>
        <v/>
      </c>
      <c r="C268" s="9" t="n"/>
      <c r="D268" s="9" t="n"/>
      <c r="E268" s="9" t="n"/>
      <c r="F268" s="9" t="n"/>
      <c r="G268" s="9" t="n"/>
      <c r="H268" s="9" t="n"/>
      <c r="I268" s="9" t="n"/>
      <c r="J268" s="3" t="n"/>
      <c r="K268" s="9" t="n"/>
    </row>
    <row r="269">
      <c r="A269" s="4" t="n"/>
      <c r="B269" s="9">
        <f>IF(A269="","",INT((DAY(A269)-1)/7)+1)</f>
        <v/>
      </c>
      <c r="C269" s="9" t="n"/>
      <c r="D269" s="9" t="n"/>
      <c r="E269" s="9" t="n"/>
      <c r="F269" s="9" t="n"/>
      <c r="G269" s="9" t="n"/>
      <c r="H269" s="9" t="n"/>
      <c r="I269" s="9" t="n"/>
      <c r="J269" s="3" t="n"/>
      <c r="K269" s="9" t="n"/>
    </row>
    <row r="270">
      <c r="A270" s="4" t="n"/>
      <c r="B270" s="9">
        <f>IF(A270="","",INT((DAY(A270)-1)/7)+1)</f>
        <v/>
      </c>
      <c r="C270" s="9" t="n"/>
      <c r="D270" s="9" t="n"/>
      <c r="E270" s="9" t="n"/>
      <c r="F270" s="9" t="n"/>
      <c r="G270" s="9" t="n"/>
      <c r="H270" s="9" t="n"/>
      <c r="I270" s="9" t="n"/>
      <c r="J270" s="3" t="n"/>
      <c r="K270" s="9" t="n"/>
    </row>
    <row r="271">
      <c r="A271" s="4" t="n"/>
      <c r="B271" s="9">
        <f>IF(A271="","",INT((DAY(A271)-1)/7)+1)</f>
        <v/>
      </c>
      <c r="C271" s="9" t="n"/>
      <c r="D271" s="9" t="n"/>
      <c r="E271" s="9" t="n"/>
      <c r="F271" s="9" t="n"/>
      <c r="G271" s="9" t="n"/>
      <c r="H271" s="9" t="n"/>
      <c r="I271" s="9" t="n"/>
      <c r="J271" s="3" t="n"/>
      <c r="K271" s="9" t="n"/>
    </row>
    <row r="272">
      <c r="A272" s="4" t="n"/>
      <c r="B272" s="9">
        <f>IF(A272="","",INT((DAY(A272)-1)/7)+1)</f>
        <v/>
      </c>
      <c r="C272" s="9" t="n"/>
      <c r="D272" s="9" t="n"/>
      <c r="E272" s="9" t="n"/>
      <c r="F272" s="9" t="n"/>
      <c r="G272" s="9" t="n"/>
      <c r="H272" s="9" t="n"/>
      <c r="I272" s="9" t="n"/>
      <c r="J272" s="3" t="n"/>
      <c r="K272" s="9" t="n"/>
    </row>
    <row r="273">
      <c r="A273" s="4" t="n"/>
      <c r="B273" s="9">
        <f>IF(A273="","",INT((DAY(A273)-1)/7)+1)</f>
        <v/>
      </c>
      <c r="C273" s="9" t="n"/>
      <c r="D273" s="9" t="n"/>
      <c r="E273" s="9" t="n"/>
      <c r="F273" s="9" t="n"/>
      <c r="G273" s="9" t="n"/>
      <c r="H273" s="9" t="n"/>
      <c r="I273" s="9" t="n"/>
      <c r="J273" s="3" t="n"/>
      <c r="K273" s="9" t="n"/>
    </row>
    <row r="274">
      <c r="A274" s="4" t="n"/>
      <c r="B274" s="9">
        <f>IF(A274="","",INT((DAY(A274)-1)/7)+1)</f>
        <v/>
      </c>
      <c r="C274" s="9" t="n"/>
      <c r="D274" s="9" t="n"/>
      <c r="E274" s="9" t="n"/>
      <c r="F274" s="9" t="n"/>
      <c r="G274" s="9" t="n"/>
      <c r="H274" s="9" t="n"/>
      <c r="I274" s="9" t="n"/>
      <c r="J274" s="3" t="n"/>
      <c r="K274" s="9" t="n"/>
    </row>
    <row r="275">
      <c r="A275" s="4" t="n"/>
      <c r="B275" s="9">
        <f>IF(A275="","",INT((DAY(A275)-1)/7)+1)</f>
        <v/>
      </c>
      <c r="C275" s="9" t="n"/>
      <c r="D275" s="9" t="n"/>
      <c r="E275" s="9" t="n"/>
      <c r="F275" s="9" t="n"/>
      <c r="G275" s="9" t="n"/>
      <c r="H275" s="9" t="n"/>
      <c r="I275" s="9" t="n"/>
      <c r="J275" s="3" t="n"/>
      <c r="K275" s="9" t="n"/>
    </row>
    <row r="276">
      <c r="A276" s="4" t="n"/>
      <c r="B276" s="9">
        <f>IF(A276="","",INT((DAY(A276)-1)/7)+1)</f>
        <v/>
      </c>
      <c r="C276" s="9" t="n"/>
      <c r="D276" s="9" t="n"/>
      <c r="E276" s="9" t="n"/>
      <c r="F276" s="9" t="n"/>
      <c r="G276" s="9" t="n"/>
      <c r="H276" s="9" t="n"/>
      <c r="I276" s="9" t="n"/>
      <c r="J276" s="3" t="n"/>
      <c r="K276" s="9" t="n"/>
    </row>
    <row r="277">
      <c r="A277" s="4" t="n"/>
      <c r="B277" s="9">
        <f>IF(A277="","",INT((DAY(A277)-1)/7)+1)</f>
        <v/>
      </c>
      <c r="C277" s="9" t="n"/>
      <c r="D277" s="9" t="n"/>
      <c r="E277" s="9" t="n"/>
      <c r="F277" s="9" t="n"/>
      <c r="G277" s="9" t="n"/>
      <c r="H277" s="9" t="n"/>
      <c r="I277" s="9" t="n"/>
      <c r="J277" s="3" t="n"/>
      <c r="K277" s="9" t="n"/>
    </row>
    <row r="278">
      <c r="A278" s="4" t="n"/>
      <c r="B278" s="9">
        <f>IF(A278="","",INT((DAY(A278)-1)/7)+1)</f>
        <v/>
      </c>
      <c r="C278" s="9" t="n"/>
      <c r="D278" s="9" t="n"/>
      <c r="E278" s="9" t="n"/>
      <c r="F278" s="9" t="n"/>
      <c r="G278" s="9" t="n"/>
      <c r="H278" s="9" t="n"/>
      <c r="I278" s="9" t="n"/>
      <c r="J278" s="3" t="n"/>
      <c r="K278" s="9" t="n"/>
    </row>
    <row r="279">
      <c r="A279" s="4" t="n"/>
      <c r="B279" s="9">
        <f>IF(A279="","",INT((DAY(A279)-1)/7)+1)</f>
        <v/>
      </c>
      <c r="C279" s="9" t="n"/>
      <c r="D279" s="9" t="n"/>
      <c r="E279" s="9" t="n"/>
      <c r="F279" s="9" t="n"/>
      <c r="G279" s="9" t="n"/>
      <c r="H279" s="9" t="n"/>
      <c r="I279" s="9" t="n"/>
      <c r="J279" s="3" t="n"/>
      <c r="K279" s="9" t="n"/>
    </row>
    <row r="280">
      <c r="A280" s="4" t="n"/>
      <c r="B280" s="9">
        <f>IF(A280="","",INT((DAY(A280)-1)/7)+1)</f>
        <v/>
      </c>
      <c r="C280" s="9" t="n"/>
      <c r="D280" s="9" t="n"/>
      <c r="E280" s="9" t="n"/>
      <c r="F280" s="9" t="n"/>
      <c r="G280" s="9" t="n"/>
      <c r="H280" s="9" t="n"/>
      <c r="I280" s="9" t="n"/>
      <c r="J280" s="3" t="n"/>
      <c r="K280" s="9" t="n"/>
    </row>
    <row r="281">
      <c r="A281" s="4" t="n"/>
      <c r="B281" s="9">
        <f>IF(A281="","",INT((DAY(A281)-1)/7)+1)</f>
        <v/>
      </c>
      <c r="C281" s="9" t="n"/>
      <c r="D281" s="9" t="n"/>
      <c r="E281" s="9" t="n"/>
      <c r="F281" s="9" t="n"/>
      <c r="G281" s="9" t="n"/>
      <c r="H281" s="9" t="n"/>
      <c r="I281" s="9" t="n"/>
      <c r="J281" s="3" t="n"/>
      <c r="K281" s="9" t="n"/>
    </row>
    <row r="282">
      <c r="A282" s="4" t="n"/>
      <c r="B282" s="9">
        <f>IF(A282="","",INT((DAY(A282)-1)/7)+1)</f>
        <v/>
      </c>
      <c r="C282" s="9" t="n"/>
      <c r="D282" s="9" t="n"/>
      <c r="E282" s="9" t="n"/>
      <c r="F282" s="9" t="n"/>
      <c r="G282" s="9" t="n"/>
      <c r="H282" s="9" t="n"/>
      <c r="I282" s="9" t="n"/>
      <c r="J282" s="3" t="n"/>
      <c r="K282" s="9" t="n"/>
    </row>
    <row r="283">
      <c r="A283" s="4" t="n"/>
      <c r="B283" s="9">
        <f>IF(A283="","",INT((DAY(A283)-1)/7)+1)</f>
        <v/>
      </c>
      <c r="C283" s="9" t="n"/>
      <c r="D283" s="9" t="n"/>
      <c r="E283" s="9" t="n"/>
      <c r="F283" s="9" t="n"/>
      <c r="G283" s="9" t="n"/>
      <c r="H283" s="9" t="n"/>
      <c r="I283" s="9" t="n"/>
      <c r="J283" s="3" t="n"/>
      <c r="K283" s="9" t="n"/>
    </row>
    <row r="284">
      <c r="A284" s="4" t="n"/>
      <c r="B284" s="9">
        <f>IF(A284="","",INT((DAY(A284)-1)/7)+1)</f>
        <v/>
      </c>
      <c r="C284" s="9" t="n"/>
      <c r="D284" s="9" t="n"/>
      <c r="E284" s="9" t="n"/>
      <c r="F284" s="9" t="n"/>
      <c r="G284" s="9" t="n"/>
      <c r="H284" s="9" t="n"/>
      <c r="I284" s="9" t="n"/>
      <c r="J284" s="3" t="n"/>
      <c r="K284" s="9" t="n"/>
    </row>
    <row r="285">
      <c r="A285" s="4" t="n"/>
      <c r="B285" s="9">
        <f>IF(A285="","",INT((DAY(A285)-1)/7)+1)</f>
        <v/>
      </c>
      <c r="C285" s="9" t="n"/>
      <c r="D285" s="9" t="n"/>
      <c r="E285" s="9" t="n"/>
      <c r="F285" s="9" t="n"/>
      <c r="G285" s="9" t="n"/>
      <c r="H285" s="9" t="n"/>
      <c r="I285" s="9" t="n"/>
      <c r="J285" s="3" t="n"/>
      <c r="K285" s="9" t="n"/>
    </row>
    <row r="286">
      <c r="A286" s="4" t="n"/>
      <c r="B286" s="9">
        <f>IF(A286="","",INT((DAY(A286)-1)/7)+1)</f>
        <v/>
      </c>
      <c r="C286" s="9" t="n"/>
      <c r="D286" s="9" t="n"/>
      <c r="E286" s="9" t="n"/>
      <c r="F286" s="9" t="n"/>
      <c r="G286" s="9" t="n"/>
      <c r="H286" s="9" t="n"/>
      <c r="I286" s="9" t="n"/>
      <c r="J286" s="3" t="n"/>
      <c r="K286" s="9" t="n"/>
    </row>
    <row r="287">
      <c r="A287" s="4" t="n"/>
      <c r="B287" s="9">
        <f>IF(A287="","",INT((DAY(A287)-1)/7)+1)</f>
        <v/>
      </c>
      <c r="C287" s="9" t="n"/>
      <c r="D287" s="9" t="n"/>
      <c r="E287" s="9" t="n"/>
      <c r="F287" s="9" t="n"/>
      <c r="G287" s="9" t="n"/>
      <c r="H287" s="9" t="n"/>
      <c r="I287" s="9" t="n"/>
      <c r="J287" s="3" t="n"/>
      <c r="K287" s="9" t="n"/>
    </row>
    <row r="288">
      <c r="A288" s="4" t="n"/>
      <c r="B288" s="9">
        <f>IF(A288="","",INT((DAY(A288)-1)/7)+1)</f>
        <v/>
      </c>
      <c r="C288" s="9" t="n"/>
      <c r="D288" s="9" t="n"/>
      <c r="E288" s="9" t="n"/>
      <c r="F288" s="9" t="n"/>
      <c r="G288" s="9" t="n"/>
      <c r="H288" s="9" t="n"/>
      <c r="I288" s="9" t="n"/>
      <c r="J288" s="3" t="n"/>
      <c r="K288" s="9" t="n"/>
    </row>
    <row r="289">
      <c r="A289" s="4" t="n"/>
      <c r="B289" s="9">
        <f>IF(A289="","",INT((DAY(A289)-1)/7)+1)</f>
        <v/>
      </c>
      <c r="C289" s="9" t="n"/>
      <c r="D289" s="9" t="n"/>
      <c r="E289" s="9" t="n"/>
      <c r="F289" s="9" t="n"/>
      <c r="G289" s="9" t="n"/>
      <c r="H289" s="9" t="n"/>
      <c r="I289" s="9" t="n"/>
      <c r="J289" s="3" t="n"/>
      <c r="K289" s="9" t="n"/>
    </row>
    <row r="290">
      <c r="A290" s="4" t="n"/>
      <c r="B290" s="9">
        <f>IF(A290="","",INT((DAY(A290)-1)/7)+1)</f>
        <v/>
      </c>
      <c r="C290" s="9" t="n"/>
      <c r="D290" s="9" t="n"/>
      <c r="E290" s="9" t="n"/>
      <c r="F290" s="9" t="n"/>
      <c r="G290" s="9" t="n"/>
      <c r="H290" s="9" t="n"/>
      <c r="I290" s="9" t="n"/>
      <c r="J290" s="3" t="n"/>
      <c r="K290" s="9" t="n"/>
    </row>
    <row r="291">
      <c r="A291" s="4" t="n"/>
      <c r="B291" s="9">
        <f>IF(A291="","",INT((DAY(A291)-1)/7)+1)</f>
        <v/>
      </c>
      <c r="C291" s="9" t="n"/>
      <c r="D291" s="9" t="n"/>
      <c r="E291" s="9" t="n"/>
      <c r="F291" s="9" t="n"/>
      <c r="G291" s="9" t="n"/>
      <c r="H291" s="9" t="n"/>
      <c r="I291" s="9" t="n"/>
      <c r="J291" s="3" t="n"/>
      <c r="K291" s="9" t="n"/>
    </row>
    <row r="292">
      <c r="A292" s="4" t="n"/>
      <c r="B292" s="9">
        <f>IF(A292="","",INT((DAY(A292)-1)/7)+1)</f>
        <v/>
      </c>
      <c r="C292" s="9" t="n"/>
      <c r="D292" s="9" t="n"/>
      <c r="E292" s="9" t="n"/>
      <c r="F292" s="9" t="n"/>
      <c r="G292" s="9" t="n"/>
      <c r="H292" s="9" t="n"/>
      <c r="I292" s="9" t="n"/>
      <c r="J292" s="3" t="n"/>
      <c r="K292" s="9" t="n"/>
    </row>
    <row r="293">
      <c r="A293" s="4" t="n"/>
      <c r="B293" s="9">
        <f>IF(A293="","",INT((DAY(A293)-1)/7)+1)</f>
        <v/>
      </c>
      <c r="C293" s="9" t="n"/>
      <c r="D293" s="9" t="n"/>
      <c r="E293" s="9" t="n"/>
      <c r="F293" s="9" t="n"/>
      <c r="G293" s="9" t="n"/>
      <c r="H293" s="9" t="n"/>
      <c r="I293" s="9" t="n"/>
      <c r="J293" s="3" t="n"/>
      <c r="K293" s="9" t="n"/>
    </row>
    <row r="294">
      <c r="A294" s="4" t="n"/>
      <c r="B294" s="9">
        <f>IF(A294="","",INT((DAY(A294)-1)/7)+1)</f>
        <v/>
      </c>
      <c r="C294" s="9" t="n"/>
      <c r="D294" s="9" t="n"/>
      <c r="E294" s="9" t="n"/>
      <c r="F294" s="9" t="n"/>
      <c r="G294" s="9" t="n"/>
      <c r="H294" s="9" t="n"/>
      <c r="I294" s="9" t="n"/>
      <c r="J294" s="3" t="n"/>
      <c r="K294" s="9" t="n"/>
    </row>
    <row r="295">
      <c r="A295" s="4" t="n"/>
      <c r="B295" s="9">
        <f>IF(A295="","",INT((DAY(A295)-1)/7)+1)</f>
        <v/>
      </c>
      <c r="C295" s="9" t="n"/>
      <c r="D295" s="9" t="n"/>
      <c r="E295" s="9" t="n"/>
      <c r="F295" s="9" t="n"/>
      <c r="G295" s="9" t="n"/>
      <c r="H295" s="9" t="n"/>
      <c r="I295" s="9" t="n"/>
      <c r="J295" s="3" t="n"/>
      <c r="K295" s="9" t="n"/>
    </row>
    <row r="296">
      <c r="A296" s="4" t="n"/>
      <c r="B296" s="9">
        <f>IF(A296="","",INT((DAY(A296)-1)/7)+1)</f>
        <v/>
      </c>
      <c r="C296" s="9" t="n"/>
      <c r="D296" s="9" t="n"/>
      <c r="E296" s="9" t="n"/>
      <c r="F296" s="9" t="n"/>
      <c r="G296" s="9" t="n"/>
      <c r="H296" s="9" t="n"/>
      <c r="I296" s="9" t="n"/>
      <c r="J296" s="3" t="n"/>
      <c r="K296" s="9" t="n"/>
    </row>
    <row r="297">
      <c r="A297" s="4" t="n"/>
      <c r="B297" s="9">
        <f>IF(A297="","",INT((DAY(A297)-1)/7)+1)</f>
        <v/>
      </c>
      <c r="C297" s="9" t="n"/>
      <c r="D297" s="9" t="n"/>
      <c r="E297" s="9" t="n"/>
      <c r="F297" s="9" t="n"/>
      <c r="G297" s="9" t="n"/>
      <c r="H297" s="9" t="n"/>
      <c r="I297" s="9" t="n"/>
      <c r="J297" s="3" t="n"/>
      <c r="K297" s="9" t="n"/>
    </row>
    <row r="298">
      <c r="A298" s="4" t="n"/>
      <c r="B298" s="9">
        <f>IF(A298="","",INT((DAY(A298)-1)/7)+1)</f>
        <v/>
      </c>
      <c r="C298" s="9" t="n"/>
      <c r="D298" s="9" t="n"/>
      <c r="E298" s="9" t="n"/>
      <c r="F298" s="9" t="n"/>
      <c r="G298" s="9" t="n"/>
      <c r="H298" s="9" t="n"/>
      <c r="I298" s="9" t="n"/>
      <c r="J298" s="3" t="n"/>
      <c r="K298" s="9" t="n"/>
    </row>
    <row r="299">
      <c r="A299" s="4" t="n"/>
      <c r="B299" s="9">
        <f>IF(A299="","",INT((DAY(A299)-1)/7)+1)</f>
        <v/>
      </c>
      <c r="C299" s="9" t="n"/>
      <c r="D299" s="9" t="n"/>
      <c r="E299" s="9" t="n"/>
      <c r="F299" s="9" t="n"/>
      <c r="G299" s="9" t="n"/>
      <c r="H299" s="9" t="n"/>
      <c r="I299" s="9" t="n"/>
      <c r="J299" s="3" t="n"/>
      <c r="K299" s="9" t="n"/>
    </row>
    <row r="300">
      <c r="A300" s="4" t="n"/>
      <c r="B300" s="9">
        <f>IF(A300="","",INT((DAY(A300)-1)/7)+1)</f>
        <v/>
      </c>
      <c r="C300" s="9" t="n"/>
      <c r="D300" s="9" t="n"/>
      <c r="E300" s="9" t="n"/>
      <c r="F300" s="9" t="n"/>
      <c r="G300" s="9" t="n"/>
      <c r="H300" s="9" t="n"/>
      <c r="I300" s="9" t="n"/>
      <c r="J300" s="3" t="n"/>
      <c r="K300" s="9" t="n"/>
    </row>
    <row r="301">
      <c r="A301" s="4" t="n"/>
      <c r="B301" s="9">
        <f>IF(A301="","",INT((DAY(A301)-1)/7)+1)</f>
        <v/>
      </c>
      <c r="C301" s="9" t="n"/>
      <c r="D301" s="9" t="n"/>
      <c r="E301" s="9" t="n"/>
      <c r="F301" s="9" t="n"/>
      <c r="G301" s="9" t="n"/>
      <c r="H301" s="9" t="n"/>
      <c r="I301" s="9" t="n"/>
      <c r="J301" s="3" t="n"/>
      <c r="K301" s="9" t="n"/>
    </row>
    <row r="302">
      <c r="A302" s="4" t="n"/>
      <c r="B302" s="9">
        <f>IF(A302="","",INT((DAY(A302)-1)/7)+1)</f>
        <v/>
      </c>
      <c r="C302" s="9" t="n"/>
      <c r="D302" s="9" t="n"/>
      <c r="E302" s="9" t="n"/>
      <c r="F302" s="9" t="n"/>
      <c r="G302" s="9" t="n"/>
      <c r="H302" s="9" t="n"/>
      <c r="I302" s="9" t="n"/>
      <c r="J302" s="3" t="n"/>
      <c r="K302" s="9" t="n"/>
    </row>
    <row r="303">
      <c r="A303" s="4" t="n"/>
      <c r="B303" s="9">
        <f>IF(A303="","",INT((DAY(A303)-1)/7)+1)</f>
        <v/>
      </c>
      <c r="C303" s="9" t="n"/>
      <c r="D303" s="9" t="n"/>
      <c r="E303" s="9" t="n"/>
      <c r="F303" s="9" t="n"/>
      <c r="G303" s="9" t="n"/>
      <c r="H303" s="9" t="n"/>
      <c r="I303" s="9" t="n"/>
      <c r="J303" s="3" t="n"/>
      <c r="K303" s="9" t="n"/>
    </row>
    <row r="304">
      <c r="A304" s="4" t="n"/>
      <c r="B304" s="9">
        <f>IF(A304="","",INT((DAY(A304)-1)/7)+1)</f>
        <v/>
      </c>
      <c r="C304" s="9" t="n"/>
      <c r="D304" s="9" t="n"/>
      <c r="E304" s="9" t="n"/>
      <c r="F304" s="9" t="n"/>
      <c r="G304" s="9" t="n"/>
      <c r="H304" s="9" t="n"/>
      <c r="I304" s="9" t="n"/>
      <c r="J304" s="3" t="n"/>
      <c r="K304" s="9" t="n"/>
    </row>
    <row r="305">
      <c r="A305" s="4" t="n"/>
      <c r="B305" s="9">
        <f>IF(A305="","",INT((DAY(A305)-1)/7)+1)</f>
        <v/>
      </c>
      <c r="C305" s="9" t="n"/>
      <c r="D305" s="9" t="n"/>
      <c r="E305" s="9" t="n"/>
      <c r="F305" s="9" t="n"/>
      <c r="G305" s="9" t="n"/>
      <c r="H305" s="9" t="n"/>
      <c r="I305" s="9" t="n"/>
      <c r="J305" s="3" t="n"/>
      <c r="K305" s="9" t="n"/>
    </row>
    <row r="306">
      <c r="A306" s="4" t="n"/>
      <c r="B306" s="9">
        <f>IF(A306="","",INT((DAY(A306)-1)/7)+1)</f>
        <v/>
      </c>
      <c r="C306" s="9" t="n"/>
      <c r="D306" s="9" t="n"/>
      <c r="E306" s="9" t="n"/>
      <c r="F306" s="9" t="n"/>
      <c r="G306" s="9" t="n"/>
      <c r="H306" s="9" t="n"/>
      <c r="I306" s="9" t="n"/>
      <c r="J306" s="3" t="n"/>
      <c r="K306" s="9" t="n"/>
    </row>
    <row r="307">
      <c r="A307" s="4" t="n"/>
      <c r="B307" s="9">
        <f>IF(A307="","",INT((DAY(A307)-1)/7)+1)</f>
        <v/>
      </c>
      <c r="C307" s="9" t="n"/>
      <c r="D307" s="9" t="n"/>
      <c r="E307" s="9" t="n"/>
      <c r="F307" s="9" t="n"/>
      <c r="G307" s="9" t="n"/>
      <c r="H307" s="9" t="n"/>
      <c r="I307" s="9" t="n"/>
      <c r="J307" s="3" t="n"/>
      <c r="K307" s="9" t="n"/>
    </row>
    <row r="308">
      <c r="A308" s="4" t="n"/>
      <c r="B308" s="9">
        <f>IF(A308="","",INT((DAY(A308)-1)/7)+1)</f>
        <v/>
      </c>
      <c r="C308" s="9" t="n"/>
      <c r="D308" s="9" t="n"/>
      <c r="E308" s="9" t="n"/>
      <c r="F308" s="9" t="n"/>
      <c r="G308" s="9" t="n"/>
      <c r="H308" s="9" t="n"/>
      <c r="I308" s="9" t="n"/>
      <c r="J308" s="3" t="n"/>
      <c r="K308" s="9" t="n"/>
    </row>
    <row r="309">
      <c r="A309" s="4" t="n"/>
      <c r="B309" s="9">
        <f>IF(A309="","",INT((DAY(A309)-1)/7)+1)</f>
        <v/>
      </c>
      <c r="C309" s="9" t="n"/>
      <c r="D309" s="9" t="n"/>
      <c r="E309" s="9" t="n"/>
      <c r="F309" s="9" t="n"/>
      <c r="G309" s="9" t="n"/>
      <c r="H309" s="9" t="n"/>
      <c r="I309" s="9" t="n"/>
      <c r="J309" s="3" t="n"/>
      <c r="K309" s="9" t="n"/>
    </row>
    <row r="310">
      <c r="A310" s="4" t="n"/>
      <c r="B310" s="9">
        <f>IF(A310="","",INT((DAY(A310)-1)/7)+1)</f>
        <v/>
      </c>
      <c r="C310" s="9" t="n"/>
      <c r="D310" s="9" t="n"/>
      <c r="E310" s="9" t="n"/>
      <c r="F310" s="9" t="n"/>
      <c r="G310" s="9" t="n"/>
      <c r="H310" s="9" t="n"/>
      <c r="I310" s="9" t="n"/>
      <c r="J310" s="3" t="n"/>
      <c r="K310" s="9" t="n"/>
    </row>
    <row r="311">
      <c r="A311" s="4" t="n"/>
      <c r="B311" s="9">
        <f>IF(A311="","",INT((DAY(A311)-1)/7)+1)</f>
        <v/>
      </c>
      <c r="C311" s="9" t="n"/>
      <c r="D311" s="9" t="n"/>
      <c r="E311" s="9" t="n"/>
      <c r="F311" s="9" t="n"/>
      <c r="G311" s="9" t="n"/>
      <c r="H311" s="9" t="n"/>
      <c r="I311" s="9" t="n"/>
      <c r="J311" s="3" t="n"/>
      <c r="K311" s="9" t="n"/>
    </row>
    <row r="312">
      <c r="A312" s="4" t="n"/>
      <c r="B312" s="9">
        <f>IF(A312="","",INT((DAY(A312)-1)/7)+1)</f>
        <v/>
      </c>
      <c r="C312" s="9" t="n"/>
      <c r="D312" s="9" t="n"/>
      <c r="E312" s="9" t="n"/>
      <c r="F312" s="9" t="n"/>
      <c r="G312" s="9" t="n"/>
      <c r="H312" s="9" t="n"/>
      <c r="I312" s="9" t="n"/>
      <c r="J312" s="3" t="n"/>
      <c r="K312" s="9" t="n"/>
    </row>
    <row r="313">
      <c r="A313" s="4" t="n"/>
      <c r="B313" s="9">
        <f>IF(A313="","",INT((DAY(A313)-1)/7)+1)</f>
        <v/>
      </c>
      <c r="C313" s="9" t="n"/>
      <c r="D313" s="9" t="n"/>
      <c r="E313" s="9" t="n"/>
      <c r="F313" s="9" t="n"/>
      <c r="G313" s="9" t="n"/>
      <c r="H313" s="9" t="n"/>
      <c r="I313" s="9" t="n"/>
      <c r="J313" s="3" t="n"/>
      <c r="K313" s="9" t="n"/>
    </row>
    <row r="314">
      <c r="A314" s="4" t="n"/>
      <c r="B314" s="9">
        <f>IF(A314="","",INT((DAY(A314)-1)/7)+1)</f>
        <v/>
      </c>
      <c r="C314" s="9" t="n"/>
      <c r="D314" s="9" t="n"/>
      <c r="E314" s="9" t="n"/>
      <c r="F314" s="9" t="n"/>
      <c r="G314" s="9" t="n"/>
      <c r="H314" s="9" t="n"/>
      <c r="I314" s="9" t="n"/>
      <c r="J314" s="3" t="n"/>
      <c r="K314" s="9" t="n"/>
    </row>
    <row r="315">
      <c r="A315" s="4" t="n"/>
      <c r="B315" s="9">
        <f>IF(A315="","",INT((DAY(A315)-1)/7)+1)</f>
        <v/>
      </c>
      <c r="C315" s="9" t="n"/>
      <c r="D315" s="9" t="n"/>
      <c r="E315" s="9" t="n"/>
      <c r="F315" s="9" t="n"/>
      <c r="G315" s="9" t="n"/>
      <c r="H315" s="9" t="n"/>
      <c r="I315" s="9" t="n"/>
      <c r="J315" s="3" t="n"/>
      <c r="K315" s="9" t="n"/>
    </row>
    <row r="316">
      <c r="A316" s="4" t="n"/>
      <c r="B316" s="9">
        <f>IF(A316="","",INT((DAY(A316)-1)/7)+1)</f>
        <v/>
      </c>
      <c r="C316" s="9" t="n"/>
      <c r="D316" s="9" t="n"/>
      <c r="E316" s="9" t="n"/>
      <c r="F316" s="9" t="n"/>
      <c r="G316" s="9" t="n"/>
      <c r="H316" s="9" t="n"/>
      <c r="I316" s="9" t="n"/>
      <c r="J316" s="3" t="n"/>
      <c r="K316" s="9" t="n"/>
    </row>
    <row r="317">
      <c r="A317" s="4" t="n"/>
      <c r="B317" s="9">
        <f>IF(A317="","",INT((DAY(A317)-1)/7)+1)</f>
        <v/>
      </c>
      <c r="C317" s="9" t="n"/>
      <c r="D317" s="9" t="n"/>
      <c r="E317" s="9" t="n"/>
      <c r="F317" s="9" t="n"/>
      <c r="G317" s="9" t="n"/>
      <c r="H317" s="9" t="n"/>
      <c r="I317" s="9" t="n"/>
      <c r="J317" s="3" t="n"/>
      <c r="K317" s="9" t="n"/>
    </row>
    <row r="318">
      <c r="A318" s="4" t="n"/>
      <c r="B318" s="9">
        <f>IF(A318="","",INT((DAY(A318)-1)/7)+1)</f>
        <v/>
      </c>
      <c r="C318" s="9" t="n"/>
      <c r="D318" s="9" t="n"/>
      <c r="E318" s="9" t="n"/>
      <c r="F318" s="9" t="n"/>
      <c r="G318" s="9" t="n"/>
      <c r="H318" s="9" t="n"/>
      <c r="I318" s="9" t="n"/>
      <c r="J318" s="3" t="n"/>
      <c r="K318" s="9" t="n"/>
    </row>
    <row r="319">
      <c r="A319" s="4" t="n"/>
      <c r="B319" s="9">
        <f>IF(A319="","",INT((DAY(A319)-1)/7)+1)</f>
        <v/>
      </c>
      <c r="C319" s="9" t="n"/>
      <c r="D319" s="9" t="n"/>
      <c r="E319" s="9" t="n"/>
      <c r="F319" s="9" t="n"/>
      <c r="G319" s="9" t="n"/>
      <c r="H319" s="9" t="n"/>
      <c r="I319" s="9" t="n"/>
      <c r="J319" s="3" t="n"/>
      <c r="K319" s="9" t="n"/>
    </row>
    <row r="320">
      <c r="A320" s="4" t="n"/>
      <c r="B320" s="9">
        <f>IF(A320="","",INT((DAY(A320)-1)/7)+1)</f>
        <v/>
      </c>
      <c r="C320" s="9" t="n"/>
      <c r="D320" s="9" t="n"/>
      <c r="E320" s="9" t="n"/>
      <c r="F320" s="9" t="n"/>
      <c r="G320" s="9" t="n"/>
      <c r="H320" s="9" t="n"/>
      <c r="I320" s="9" t="n"/>
      <c r="J320" s="3" t="n"/>
      <c r="K320" s="9" t="n"/>
    </row>
    <row r="321">
      <c r="A321" s="4" t="n"/>
      <c r="B321" s="9">
        <f>IF(A321="","",INT((DAY(A321)-1)/7)+1)</f>
        <v/>
      </c>
      <c r="C321" s="9" t="n"/>
      <c r="D321" s="9" t="n"/>
      <c r="E321" s="9" t="n"/>
      <c r="F321" s="9" t="n"/>
      <c r="G321" s="9" t="n"/>
      <c r="H321" s="9" t="n"/>
      <c r="I321" s="9" t="n"/>
      <c r="J321" s="3" t="n"/>
      <c r="K321" s="9" t="n"/>
    </row>
    <row r="322">
      <c r="A322" s="4" t="n"/>
      <c r="B322" s="9">
        <f>IF(A322="","",INT((DAY(A322)-1)/7)+1)</f>
        <v/>
      </c>
      <c r="C322" s="9" t="n"/>
      <c r="D322" s="9" t="n"/>
      <c r="E322" s="9" t="n"/>
      <c r="F322" s="9" t="n"/>
      <c r="G322" s="9" t="n"/>
      <c r="H322" s="9" t="n"/>
      <c r="I322" s="9" t="n"/>
      <c r="J322" s="3" t="n"/>
      <c r="K322" s="9" t="n"/>
    </row>
    <row r="323">
      <c r="A323" s="4" t="n"/>
      <c r="B323" s="9">
        <f>IF(A323="","",INT((DAY(A323)-1)/7)+1)</f>
        <v/>
      </c>
      <c r="C323" s="9" t="n"/>
      <c r="D323" s="9" t="n"/>
      <c r="E323" s="9" t="n"/>
      <c r="F323" s="9" t="n"/>
      <c r="G323" s="9" t="n"/>
      <c r="H323" s="9" t="n"/>
      <c r="I323" s="9" t="n"/>
      <c r="J323" s="3" t="n"/>
      <c r="K323" s="9" t="n"/>
    </row>
    <row r="324">
      <c r="A324" s="4" t="n"/>
      <c r="B324" s="9">
        <f>IF(A324="","",INT((DAY(A324)-1)/7)+1)</f>
        <v/>
      </c>
      <c r="C324" s="9" t="n"/>
      <c r="D324" s="9" t="n"/>
      <c r="E324" s="9" t="n"/>
      <c r="F324" s="9" t="n"/>
      <c r="G324" s="9" t="n"/>
      <c r="H324" s="9" t="n"/>
      <c r="I324" s="9" t="n"/>
      <c r="J324" s="3" t="n"/>
      <c r="K324" s="9" t="n"/>
    </row>
    <row r="325">
      <c r="A325" s="4" t="n"/>
      <c r="B325" s="9">
        <f>IF(A325="","",INT((DAY(A325)-1)/7)+1)</f>
        <v/>
      </c>
      <c r="C325" s="9" t="n"/>
      <c r="D325" s="9" t="n"/>
      <c r="E325" s="9" t="n"/>
      <c r="F325" s="9" t="n"/>
      <c r="G325" s="9" t="n"/>
      <c r="H325" s="9" t="n"/>
      <c r="I325" s="9" t="n"/>
      <c r="J325" s="3" t="n"/>
      <c r="K325" s="9" t="n"/>
    </row>
    <row r="326">
      <c r="A326" s="4" t="n"/>
      <c r="B326" s="9">
        <f>IF(A326="","",INT((DAY(A326)-1)/7)+1)</f>
        <v/>
      </c>
      <c r="C326" s="9" t="n"/>
      <c r="D326" s="9" t="n"/>
      <c r="E326" s="9" t="n"/>
      <c r="F326" s="9" t="n"/>
      <c r="G326" s="9" t="n"/>
      <c r="H326" s="9" t="n"/>
      <c r="I326" s="9" t="n"/>
      <c r="J326" s="3" t="n"/>
      <c r="K326" s="9" t="n"/>
    </row>
    <row r="327">
      <c r="A327" s="4" t="n"/>
      <c r="B327" s="9">
        <f>IF(A327="","",INT((DAY(A327)-1)/7)+1)</f>
        <v/>
      </c>
      <c r="C327" s="9" t="n"/>
      <c r="D327" s="9" t="n"/>
      <c r="E327" s="9" t="n"/>
      <c r="F327" s="9" t="n"/>
      <c r="G327" s="9" t="n"/>
      <c r="H327" s="9" t="n"/>
      <c r="I327" s="9" t="n"/>
      <c r="J327" s="3" t="n"/>
      <c r="K327" s="9" t="n"/>
    </row>
    <row r="328">
      <c r="A328" s="4" t="n"/>
      <c r="B328" s="9">
        <f>IF(A328="","",INT((DAY(A328)-1)/7)+1)</f>
        <v/>
      </c>
      <c r="C328" s="9" t="n"/>
      <c r="D328" s="9" t="n"/>
      <c r="E328" s="9" t="n"/>
      <c r="F328" s="9" t="n"/>
      <c r="G328" s="9" t="n"/>
      <c r="H328" s="9" t="n"/>
      <c r="I328" s="9" t="n"/>
      <c r="J328" s="3" t="n"/>
      <c r="K328" s="9" t="n"/>
    </row>
    <row r="329">
      <c r="A329" s="4" t="n"/>
      <c r="B329" s="9">
        <f>IF(A329="","",INT((DAY(A329)-1)/7)+1)</f>
        <v/>
      </c>
      <c r="C329" s="9" t="n"/>
      <c r="D329" s="9" t="n"/>
      <c r="E329" s="9" t="n"/>
      <c r="F329" s="9" t="n"/>
      <c r="G329" s="9" t="n"/>
      <c r="H329" s="9" t="n"/>
      <c r="I329" s="9" t="n"/>
      <c r="J329" s="3" t="n"/>
      <c r="K329" s="9" t="n"/>
    </row>
    <row r="330">
      <c r="A330" s="4" t="n"/>
      <c r="B330" s="9">
        <f>IF(A330="","",INT((DAY(A330)-1)/7)+1)</f>
        <v/>
      </c>
      <c r="C330" s="9" t="n"/>
      <c r="D330" s="9" t="n"/>
      <c r="E330" s="9" t="n"/>
      <c r="F330" s="9" t="n"/>
      <c r="G330" s="9" t="n"/>
      <c r="H330" s="9" t="n"/>
      <c r="I330" s="9" t="n"/>
      <c r="J330" s="3" t="n"/>
      <c r="K330" s="9" t="n"/>
    </row>
    <row r="331">
      <c r="A331" s="4" t="n"/>
      <c r="B331" s="9">
        <f>IF(A331="","",INT((DAY(A331)-1)/7)+1)</f>
        <v/>
      </c>
      <c r="C331" s="9" t="n"/>
      <c r="D331" s="9" t="n"/>
      <c r="E331" s="9" t="n"/>
      <c r="F331" s="9" t="n"/>
      <c r="G331" s="9" t="n"/>
      <c r="H331" s="9" t="n"/>
      <c r="I331" s="9" t="n"/>
      <c r="J331" s="3" t="n"/>
      <c r="K331" s="9" t="n"/>
    </row>
    <row r="332">
      <c r="A332" s="4" t="n"/>
      <c r="B332" s="9">
        <f>IF(A332="","",INT((DAY(A332)-1)/7)+1)</f>
        <v/>
      </c>
      <c r="C332" s="9" t="n"/>
      <c r="D332" s="9" t="n"/>
      <c r="E332" s="9" t="n"/>
      <c r="F332" s="9" t="n"/>
      <c r="G332" s="9" t="n"/>
      <c r="H332" s="9" t="n"/>
      <c r="I332" s="9" t="n"/>
      <c r="J332" s="3" t="n"/>
      <c r="K332" s="9" t="n"/>
    </row>
    <row r="333">
      <c r="A333" s="4" t="n"/>
      <c r="B333" s="9">
        <f>IF(A333="","",INT((DAY(A333)-1)/7)+1)</f>
        <v/>
      </c>
      <c r="C333" s="9" t="n"/>
      <c r="D333" s="9" t="n"/>
      <c r="E333" s="9" t="n"/>
      <c r="F333" s="9" t="n"/>
      <c r="G333" s="9" t="n"/>
      <c r="H333" s="9" t="n"/>
      <c r="I333" s="9" t="n"/>
      <c r="J333" s="3" t="n"/>
      <c r="K333" s="9" t="n"/>
    </row>
    <row r="334">
      <c r="A334" s="4" t="n"/>
      <c r="B334" s="9">
        <f>IF(A334="","",INT((DAY(A334)-1)/7)+1)</f>
        <v/>
      </c>
      <c r="C334" s="9" t="n"/>
      <c r="D334" s="9" t="n"/>
      <c r="E334" s="9" t="n"/>
      <c r="F334" s="9" t="n"/>
      <c r="G334" s="9" t="n"/>
      <c r="H334" s="9" t="n"/>
      <c r="I334" s="9" t="n"/>
      <c r="J334" s="3" t="n"/>
      <c r="K334" s="9" t="n"/>
    </row>
    <row r="335">
      <c r="A335" s="4" t="n"/>
      <c r="B335" s="9">
        <f>IF(A335="","",INT((DAY(A335)-1)/7)+1)</f>
        <v/>
      </c>
      <c r="C335" s="9" t="n"/>
      <c r="D335" s="9" t="n"/>
      <c r="E335" s="9" t="n"/>
      <c r="F335" s="9" t="n"/>
      <c r="G335" s="9" t="n"/>
      <c r="H335" s="9" t="n"/>
      <c r="I335" s="9" t="n"/>
      <c r="J335" s="3" t="n"/>
      <c r="K335" s="9" t="n"/>
    </row>
    <row r="336">
      <c r="A336" s="4" t="n"/>
      <c r="B336" s="9">
        <f>IF(A336="","",INT((DAY(A336)-1)/7)+1)</f>
        <v/>
      </c>
      <c r="C336" s="9" t="n"/>
      <c r="D336" s="9" t="n"/>
      <c r="E336" s="9" t="n"/>
      <c r="F336" s="9" t="n"/>
      <c r="G336" s="9" t="n"/>
      <c r="H336" s="9" t="n"/>
      <c r="I336" s="9" t="n"/>
      <c r="J336" s="3" t="n"/>
      <c r="K336" s="9" t="n"/>
    </row>
    <row r="337">
      <c r="A337" s="4" t="n"/>
      <c r="B337" s="9">
        <f>IF(A337="","",INT((DAY(A337)-1)/7)+1)</f>
        <v/>
      </c>
      <c r="C337" s="9" t="n"/>
      <c r="D337" s="9" t="n"/>
      <c r="E337" s="9" t="n"/>
      <c r="F337" s="9" t="n"/>
      <c r="G337" s="9" t="n"/>
      <c r="H337" s="9" t="n"/>
      <c r="I337" s="9" t="n"/>
      <c r="J337" s="3" t="n"/>
      <c r="K337" s="9" t="n"/>
    </row>
    <row r="338">
      <c r="A338" s="4" t="n"/>
      <c r="B338" s="9">
        <f>IF(A338="","",INT((DAY(A338)-1)/7)+1)</f>
        <v/>
      </c>
      <c r="C338" s="9" t="n"/>
      <c r="D338" s="9" t="n"/>
      <c r="E338" s="9" t="n"/>
      <c r="F338" s="9" t="n"/>
      <c r="G338" s="9" t="n"/>
      <c r="H338" s="9" t="n"/>
      <c r="I338" s="9" t="n"/>
      <c r="J338" s="3" t="n"/>
      <c r="K338" s="9" t="n"/>
    </row>
    <row r="339">
      <c r="A339" s="4" t="n"/>
      <c r="B339" s="9">
        <f>IF(A339="","",INT((DAY(A339)-1)/7)+1)</f>
        <v/>
      </c>
      <c r="C339" s="9" t="n"/>
      <c r="D339" s="9" t="n"/>
      <c r="E339" s="9" t="n"/>
      <c r="F339" s="9" t="n"/>
      <c r="G339" s="9" t="n"/>
      <c r="H339" s="9" t="n"/>
      <c r="I339" s="9" t="n"/>
      <c r="J339" s="3" t="n"/>
      <c r="K339" s="9" t="n"/>
    </row>
    <row r="340">
      <c r="A340" s="4" t="n"/>
      <c r="B340" s="9">
        <f>IF(A340="","",INT((DAY(A340)-1)/7)+1)</f>
        <v/>
      </c>
      <c r="C340" s="9" t="n"/>
      <c r="D340" s="9" t="n"/>
      <c r="E340" s="9" t="n"/>
      <c r="F340" s="9" t="n"/>
      <c r="G340" s="9" t="n"/>
      <c r="H340" s="9" t="n"/>
      <c r="I340" s="9" t="n"/>
      <c r="J340" s="3" t="n"/>
      <c r="K340" s="9" t="n"/>
    </row>
    <row r="341">
      <c r="A341" s="4" t="n"/>
      <c r="B341" s="9">
        <f>IF(A341="","",INT((DAY(A341)-1)/7)+1)</f>
        <v/>
      </c>
      <c r="C341" s="9" t="n"/>
      <c r="D341" s="9" t="n"/>
      <c r="E341" s="9" t="n"/>
      <c r="F341" s="9" t="n"/>
      <c r="G341" s="9" t="n"/>
      <c r="H341" s="9" t="n"/>
      <c r="I341" s="9" t="n"/>
      <c r="J341" s="3" t="n"/>
      <c r="K341" s="9" t="n"/>
    </row>
    <row r="342">
      <c r="A342" s="4" t="n"/>
      <c r="B342" s="9">
        <f>IF(A342="","",INT((DAY(A342)-1)/7)+1)</f>
        <v/>
      </c>
      <c r="C342" s="9" t="n"/>
      <c r="D342" s="9" t="n"/>
      <c r="E342" s="9" t="n"/>
      <c r="F342" s="9" t="n"/>
      <c r="G342" s="9" t="n"/>
      <c r="H342" s="9" t="n"/>
      <c r="I342" s="9" t="n"/>
      <c r="J342" s="3" t="n"/>
      <c r="K342" s="9" t="n"/>
    </row>
    <row r="343">
      <c r="A343" s="4" t="n"/>
      <c r="B343" s="9">
        <f>IF(A343="","",INT((DAY(A343)-1)/7)+1)</f>
        <v/>
      </c>
      <c r="C343" s="9" t="n"/>
      <c r="D343" s="9" t="n"/>
      <c r="E343" s="9" t="n"/>
      <c r="F343" s="9" t="n"/>
      <c r="G343" s="9" t="n"/>
      <c r="H343" s="9" t="n"/>
      <c r="I343" s="9" t="n"/>
      <c r="J343" s="3" t="n"/>
      <c r="K343" s="9" t="n"/>
    </row>
    <row r="344">
      <c r="A344" s="4" t="n"/>
      <c r="B344" s="9">
        <f>IF(A344="","",INT((DAY(A344)-1)/7)+1)</f>
        <v/>
      </c>
      <c r="C344" s="9" t="n"/>
      <c r="D344" s="9" t="n"/>
      <c r="E344" s="9" t="n"/>
      <c r="F344" s="9" t="n"/>
      <c r="G344" s="9" t="n"/>
      <c r="H344" s="9" t="n"/>
      <c r="I344" s="9" t="n"/>
      <c r="J344" s="3" t="n"/>
      <c r="K344" s="9" t="n"/>
    </row>
    <row r="345">
      <c r="A345" s="4" t="n"/>
      <c r="B345" s="9">
        <f>IF(A345="","",INT((DAY(A345)-1)/7)+1)</f>
        <v/>
      </c>
      <c r="C345" s="9" t="n"/>
      <c r="D345" s="9" t="n"/>
      <c r="E345" s="9" t="n"/>
      <c r="F345" s="9" t="n"/>
      <c r="G345" s="9" t="n"/>
      <c r="H345" s="9" t="n"/>
      <c r="I345" s="9" t="n"/>
      <c r="J345" s="3" t="n"/>
      <c r="K345" s="9" t="n"/>
    </row>
    <row r="346">
      <c r="A346" s="4" t="n"/>
      <c r="B346" s="9">
        <f>IF(A346="","",INT((DAY(A346)-1)/7)+1)</f>
        <v/>
      </c>
      <c r="C346" s="9" t="n"/>
      <c r="D346" s="9" t="n"/>
      <c r="E346" s="9" t="n"/>
      <c r="F346" s="9" t="n"/>
      <c r="G346" s="9" t="n"/>
      <c r="H346" s="9" t="n"/>
      <c r="I346" s="9" t="n"/>
      <c r="J346" s="3" t="n"/>
      <c r="K346" s="9" t="n"/>
    </row>
    <row r="347">
      <c r="A347" s="4" t="n"/>
      <c r="B347" s="9">
        <f>IF(A347="","",INT((DAY(A347)-1)/7)+1)</f>
        <v/>
      </c>
      <c r="C347" s="9" t="n"/>
      <c r="D347" s="9" t="n"/>
      <c r="E347" s="9" t="n"/>
      <c r="F347" s="9" t="n"/>
      <c r="G347" s="9" t="n"/>
      <c r="H347" s="9" t="n"/>
      <c r="I347" s="9" t="n"/>
      <c r="J347" s="3" t="n"/>
      <c r="K347" s="9" t="n"/>
    </row>
    <row r="348">
      <c r="A348" s="4" t="n"/>
      <c r="B348" s="9">
        <f>IF(A348="","",INT((DAY(A348)-1)/7)+1)</f>
        <v/>
      </c>
      <c r="C348" s="9" t="n"/>
      <c r="D348" s="9" t="n"/>
      <c r="E348" s="9" t="n"/>
      <c r="F348" s="9" t="n"/>
      <c r="G348" s="9" t="n"/>
      <c r="H348" s="9" t="n"/>
      <c r="I348" s="9" t="n"/>
      <c r="J348" s="3" t="n"/>
      <c r="K348" s="9" t="n"/>
    </row>
    <row r="349">
      <c r="A349" s="4" t="n"/>
      <c r="B349" s="9">
        <f>IF(A349="","",INT((DAY(A349)-1)/7)+1)</f>
        <v/>
      </c>
      <c r="C349" s="9" t="n"/>
      <c r="D349" s="9" t="n"/>
      <c r="E349" s="9" t="n"/>
      <c r="F349" s="9" t="n"/>
      <c r="G349" s="9" t="n"/>
      <c r="H349" s="9" t="n"/>
      <c r="I349" s="9" t="n"/>
      <c r="J349" s="3" t="n"/>
      <c r="K349" s="9" t="n"/>
    </row>
    <row r="350">
      <c r="A350" s="4" t="n"/>
      <c r="B350" s="9">
        <f>IF(A350="","",INT((DAY(A350)-1)/7)+1)</f>
        <v/>
      </c>
      <c r="C350" s="9" t="n"/>
      <c r="D350" s="9" t="n"/>
      <c r="E350" s="9" t="n"/>
      <c r="F350" s="9" t="n"/>
      <c r="G350" s="9" t="n"/>
      <c r="H350" s="9" t="n"/>
      <c r="I350" s="9" t="n"/>
      <c r="J350" s="3" t="n"/>
      <c r="K350" s="9" t="n"/>
    </row>
    <row r="351">
      <c r="A351" s="4" t="n"/>
      <c r="B351" s="9">
        <f>IF(A351="","",INT((DAY(A351)-1)/7)+1)</f>
        <v/>
      </c>
      <c r="C351" s="9" t="n"/>
      <c r="D351" s="9" t="n"/>
      <c r="E351" s="9" t="n"/>
      <c r="F351" s="9" t="n"/>
      <c r="G351" s="9" t="n"/>
      <c r="H351" s="9" t="n"/>
      <c r="I351" s="9" t="n"/>
      <c r="J351" s="3" t="n"/>
      <c r="K351" s="9" t="n"/>
    </row>
    <row r="352">
      <c r="A352" s="4" t="n"/>
      <c r="B352" s="9">
        <f>IF(A352="","",INT((DAY(A352)-1)/7)+1)</f>
        <v/>
      </c>
      <c r="C352" s="9" t="n"/>
      <c r="D352" s="9" t="n"/>
      <c r="E352" s="9" t="n"/>
      <c r="F352" s="9" t="n"/>
      <c r="G352" s="9" t="n"/>
      <c r="H352" s="9" t="n"/>
      <c r="I352" s="9" t="n"/>
      <c r="J352" s="3" t="n"/>
      <c r="K352" s="9" t="n"/>
    </row>
    <row r="353">
      <c r="A353" s="4" t="n"/>
      <c r="B353" s="9">
        <f>IF(A353="","",INT((DAY(A353)-1)/7)+1)</f>
        <v/>
      </c>
      <c r="C353" s="9" t="n"/>
      <c r="D353" s="9" t="n"/>
      <c r="E353" s="9" t="n"/>
      <c r="F353" s="9" t="n"/>
      <c r="G353" s="9" t="n"/>
      <c r="H353" s="9" t="n"/>
      <c r="I353" s="9" t="n"/>
      <c r="J353" s="3" t="n"/>
      <c r="K353" s="9" t="n"/>
    </row>
    <row r="354">
      <c r="A354" s="4" t="n"/>
      <c r="B354" s="9">
        <f>IF(A354="","",INT((DAY(A354)-1)/7)+1)</f>
        <v/>
      </c>
      <c r="C354" s="9" t="n"/>
      <c r="D354" s="9" t="n"/>
      <c r="E354" s="9" t="n"/>
      <c r="F354" s="9" t="n"/>
      <c r="G354" s="9" t="n"/>
      <c r="H354" s="9" t="n"/>
      <c r="I354" s="9" t="n"/>
      <c r="J354" s="3" t="n"/>
      <c r="K354" s="9" t="n"/>
    </row>
    <row r="355">
      <c r="A355" s="4" t="n"/>
      <c r="B355" s="9">
        <f>IF(A355="","",INT((DAY(A355)-1)/7)+1)</f>
        <v/>
      </c>
      <c r="C355" s="9" t="n"/>
      <c r="D355" s="9" t="n"/>
      <c r="E355" s="9" t="n"/>
      <c r="F355" s="9" t="n"/>
      <c r="G355" s="9" t="n"/>
      <c r="H355" s="9" t="n"/>
      <c r="I355" s="9" t="n"/>
      <c r="J355" s="3" t="n"/>
      <c r="K355" s="9" t="n"/>
    </row>
    <row r="356">
      <c r="A356" s="4" t="n"/>
      <c r="B356" s="9">
        <f>IF(A356="","",INT((DAY(A356)-1)/7)+1)</f>
        <v/>
      </c>
      <c r="C356" s="9" t="n"/>
      <c r="D356" s="9" t="n"/>
      <c r="E356" s="9" t="n"/>
      <c r="F356" s="9" t="n"/>
      <c r="G356" s="9" t="n"/>
      <c r="H356" s="9" t="n"/>
      <c r="I356" s="9" t="n"/>
      <c r="J356" s="3" t="n"/>
      <c r="K356" s="9" t="n"/>
    </row>
    <row r="357">
      <c r="A357" s="4" t="n"/>
      <c r="B357" s="9">
        <f>IF(A357="","",INT((DAY(A357)-1)/7)+1)</f>
        <v/>
      </c>
      <c r="C357" s="9" t="n"/>
      <c r="D357" s="9" t="n"/>
      <c r="E357" s="9" t="n"/>
      <c r="F357" s="9" t="n"/>
      <c r="G357" s="9" t="n"/>
      <c r="H357" s="9" t="n"/>
      <c r="I357" s="9" t="n"/>
      <c r="J357" s="3" t="n"/>
      <c r="K357" s="9" t="n"/>
    </row>
    <row r="358">
      <c r="A358" s="4" t="n"/>
      <c r="B358" s="9">
        <f>IF(A358="","",INT((DAY(A358)-1)/7)+1)</f>
        <v/>
      </c>
      <c r="C358" s="9" t="n"/>
      <c r="D358" s="9" t="n"/>
      <c r="E358" s="9" t="n"/>
      <c r="F358" s="9" t="n"/>
      <c r="G358" s="9" t="n"/>
      <c r="H358" s="9" t="n"/>
      <c r="I358" s="9" t="n"/>
      <c r="J358" s="3" t="n"/>
      <c r="K358" s="9" t="n"/>
    </row>
    <row r="359">
      <c r="A359" s="4" t="n"/>
      <c r="B359" s="9">
        <f>IF(A359="","",INT((DAY(A359)-1)/7)+1)</f>
        <v/>
      </c>
      <c r="C359" s="9" t="n"/>
      <c r="D359" s="9" t="n"/>
      <c r="E359" s="9" t="n"/>
      <c r="F359" s="9" t="n"/>
      <c r="G359" s="9" t="n"/>
      <c r="H359" s="9" t="n"/>
      <c r="I359" s="9" t="n"/>
      <c r="J359" s="3" t="n"/>
      <c r="K359" s="9" t="n"/>
    </row>
    <row r="360">
      <c r="A360" s="4" t="n"/>
      <c r="B360" s="9">
        <f>IF(A360="","",INT((DAY(A360)-1)/7)+1)</f>
        <v/>
      </c>
      <c r="C360" s="9" t="n"/>
      <c r="D360" s="9" t="n"/>
      <c r="E360" s="9" t="n"/>
      <c r="F360" s="9" t="n"/>
      <c r="G360" s="9" t="n"/>
      <c r="H360" s="9" t="n"/>
      <c r="I360" s="9" t="n"/>
      <c r="J360" s="3" t="n"/>
      <c r="K360" s="9" t="n"/>
    </row>
    <row r="361">
      <c r="A361" s="4" t="n"/>
      <c r="B361" s="9">
        <f>IF(A361="","",INT((DAY(A361)-1)/7)+1)</f>
        <v/>
      </c>
      <c r="C361" s="9" t="n"/>
      <c r="D361" s="9" t="n"/>
      <c r="E361" s="9" t="n"/>
      <c r="F361" s="9" t="n"/>
      <c r="G361" s="9" t="n"/>
      <c r="H361" s="9" t="n"/>
      <c r="I361" s="9" t="n"/>
      <c r="J361" s="3" t="n"/>
      <c r="K361" s="9" t="n"/>
    </row>
    <row r="362">
      <c r="A362" s="4" t="n"/>
      <c r="B362" s="9">
        <f>IF(A362="","",INT((DAY(A362)-1)/7)+1)</f>
        <v/>
      </c>
      <c r="C362" s="9" t="n"/>
      <c r="D362" s="9" t="n"/>
      <c r="E362" s="9" t="n"/>
      <c r="F362" s="9" t="n"/>
      <c r="G362" s="9" t="n"/>
      <c r="H362" s="9" t="n"/>
      <c r="I362" s="9" t="n"/>
      <c r="J362" s="3" t="n"/>
      <c r="K362" s="9" t="n"/>
    </row>
    <row r="363">
      <c r="A363" s="4" t="n"/>
      <c r="B363" s="9">
        <f>IF(A363="","",INT((DAY(A363)-1)/7)+1)</f>
        <v/>
      </c>
      <c r="C363" s="9" t="n"/>
      <c r="D363" s="9" t="n"/>
      <c r="E363" s="9" t="n"/>
      <c r="F363" s="9" t="n"/>
      <c r="G363" s="9" t="n"/>
      <c r="H363" s="9" t="n"/>
      <c r="I363" s="9" t="n"/>
      <c r="J363" s="3" t="n"/>
      <c r="K363" s="9" t="n"/>
    </row>
    <row r="364">
      <c r="A364" s="4" t="n"/>
      <c r="B364" s="9">
        <f>IF(A364="","",INT((DAY(A364)-1)/7)+1)</f>
        <v/>
      </c>
      <c r="C364" s="9" t="n"/>
      <c r="D364" s="9" t="n"/>
      <c r="E364" s="9" t="n"/>
      <c r="F364" s="9" t="n"/>
      <c r="G364" s="9" t="n"/>
      <c r="H364" s="9" t="n"/>
      <c r="I364" s="9" t="n"/>
      <c r="J364" s="3" t="n"/>
      <c r="K364" s="9" t="n"/>
    </row>
    <row r="365">
      <c r="A365" s="4" t="n"/>
      <c r="B365" s="9">
        <f>IF(A365="","",INT((DAY(A365)-1)/7)+1)</f>
        <v/>
      </c>
      <c r="C365" s="9" t="n"/>
      <c r="D365" s="9" t="n"/>
      <c r="E365" s="9" t="n"/>
      <c r="F365" s="9" t="n"/>
      <c r="G365" s="9" t="n"/>
      <c r="H365" s="9" t="n"/>
      <c r="I365" s="9" t="n"/>
      <c r="J365" s="3" t="n"/>
      <c r="K365" s="9" t="n"/>
    </row>
    <row r="366">
      <c r="A366" s="4" t="n"/>
      <c r="B366" s="9">
        <f>IF(A366="","",INT((DAY(A366)-1)/7)+1)</f>
        <v/>
      </c>
      <c r="C366" s="9" t="n"/>
      <c r="D366" s="9" t="n"/>
      <c r="E366" s="9" t="n"/>
      <c r="F366" s="9" t="n"/>
      <c r="G366" s="9" t="n"/>
      <c r="H366" s="9" t="n"/>
      <c r="I366" s="9" t="n"/>
      <c r="J366" s="3" t="n"/>
      <c r="K366" s="9" t="n"/>
    </row>
    <row r="367">
      <c r="A367" s="4" t="n"/>
      <c r="B367" s="9">
        <f>IF(A367="","",INT((DAY(A367)-1)/7)+1)</f>
        <v/>
      </c>
      <c r="C367" s="9" t="n"/>
      <c r="D367" s="9" t="n"/>
      <c r="E367" s="9" t="n"/>
      <c r="F367" s="9" t="n"/>
      <c r="G367" s="9" t="n"/>
      <c r="H367" s="9" t="n"/>
      <c r="I367" s="9" t="n"/>
      <c r="J367" s="3" t="n"/>
      <c r="K367" s="9" t="n"/>
    </row>
    <row r="368">
      <c r="A368" s="4" t="n"/>
      <c r="B368" s="9">
        <f>IF(A368="","",INT((DAY(A368)-1)/7)+1)</f>
        <v/>
      </c>
      <c r="C368" s="9" t="n"/>
      <c r="D368" s="9" t="n"/>
      <c r="E368" s="9" t="n"/>
      <c r="F368" s="9" t="n"/>
      <c r="G368" s="9" t="n"/>
      <c r="H368" s="9" t="n"/>
      <c r="I368" s="9" t="n"/>
      <c r="J368" s="3" t="n"/>
      <c r="K368" s="9" t="n"/>
    </row>
    <row r="369">
      <c r="A369" s="4" t="n"/>
      <c r="B369" s="9">
        <f>IF(A369="","",INT((DAY(A369)-1)/7)+1)</f>
        <v/>
      </c>
      <c r="C369" s="9" t="n"/>
      <c r="D369" s="9" t="n"/>
      <c r="E369" s="9" t="n"/>
      <c r="F369" s="9" t="n"/>
      <c r="G369" s="9" t="n"/>
      <c r="H369" s="9" t="n"/>
      <c r="I369" s="9" t="n"/>
      <c r="J369" s="3" t="n"/>
      <c r="K369" s="9" t="n"/>
    </row>
    <row r="370">
      <c r="A370" s="4" t="n"/>
      <c r="B370" s="9">
        <f>IF(A370="","",INT((DAY(A370)-1)/7)+1)</f>
        <v/>
      </c>
      <c r="C370" s="9" t="n"/>
      <c r="D370" s="9" t="n"/>
      <c r="E370" s="9" t="n"/>
      <c r="F370" s="9" t="n"/>
      <c r="G370" s="9" t="n"/>
      <c r="H370" s="9" t="n"/>
      <c r="I370" s="9" t="n"/>
      <c r="J370" s="3" t="n"/>
      <c r="K370" s="9" t="n"/>
    </row>
    <row r="371">
      <c r="A371" s="4" t="n"/>
      <c r="B371" s="9">
        <f>IF(A371="","",INT((DAY(A371)-1)/7)+1)</f>
        <v/>
      </c>
      <c r="C371" s="9" t="n"/>
      <c r="D371" s="9" t="n"/>
      <c r="E371" s="9" t="n"/>
      <c r="F371" s="9" t="n"/>
      <c r="G371" s="9" t="n"/>
      <c r="H371" s="9" t="n"/>
      <c r="I371" s="9" t="n"/>
      <c r="J371" s="3" t="n"/>
      <c r="K371" s="9" t="n"/>
    </row>
    <row r="372">
      <c r="A372" s="4" t="n"/>
      <c r="B372" s="9">
        <f>IF(A372="","",INT((DAY(A372)-1)/7)+1)</f>
        <v/>
      </c>
      <c r="C372" s="9" t="n"/>
      <c r="D372" s="9" t="n"/>
      <c r="E372" s="9" t="n"/>
      <c r="F372" s="9" t="n"/>
      <c r="G372" s="9" t="n"/>
      <c r="H372" s="9" t="n"/>
      <c r="I372" s="9" t="n"/>
      <c r="J372" s="3" t="n"/>
      <c r="K372" s="9" t="n"/>
    </row>
    <row r="373">
      <c r="A373" s="4" t="n"/>
      <c r="B373" s="9">
        <f>IF(A373="","",INT((DAY(A373)-1)/7)+1)</f>
        <v/>
      </c>
      <c r="C373" s="9" t="n"/>
      <c r="D373" s="9" t="n"/>
      <c r="E373" s="9" t="n"/>
      <c r="F373" s="9" t="n"/>
      <c r="G373" s="9" t="n"/>
      <c r="H373" s="9" t="n"/>
      <c r="I373" s="9" t="n"/>
      <c r="J373" s="3" t="n"/>
      <c r="K373" s="9" t="n"/>
    </row>
    <row r="374">
      <c r="A374" s="4" t="n"/>
      <c r="B374" s="9">
        <f>IF(A374="","",INT((DAY(A374)-1)/7)+1)</f>
        <v/>
      </c>
      <c r="C374" s="9" t="n"/>
      <c r="D374" s="9" t="n"/>
      <c r="E374" s="9" t="n"/>
      <c r="F374" s="9" t="n"/>
      <c r="G374" s="9" t="n"/>
      <c r="H374" s="9" t="n"/>
      <c r="I374" s="9" t="n"/>
      <c r="J374" s="3" t="n"/>
      <c r="K374" s="9" t="n"/>
    </row>
    <row r="375">
      <c r="A375" s="4" t="n"/>
      <c r="B375" s="9">
        <f>IF(A375="","",INT((DAY(A375)-1)/7)+1)</f>
        <v/>
      </c>
      <c r="C375" s="9" t="n"/>
      <c r="D375" s="9" t="n"/>
      <c r="E375" s="9" t="n"/>
      <c r="F375" s="9" t="n"/>
      <c r="G375" s="9" t="n"/>
      <c r="H375" s="9" t="n"/>
      <c r="I375" s="9" t="n"/>
      <c r="J375" s="3" t="n"/>
      <c r="K375" s="9" t="n"/>
    </row>
    <row r="376">
      <c r="A376" s="4" t="n"/>
      <c r="B376" s="9">
        <f>IF(A376="","",INT((DAY(A376)-1)/7)+1)</f>
        <v/>
      </c>
      <c r="C376" s="9" t="n"/>
      <c r="D376" s="9" t="n"/>
      <c r="E376" s="9" t="n"/>
      <c r="F376" s="9" t="n"/>
      <c r="G376" s="9" t="n"/>
      <c r="H376" s="9" t="n"/>
      <c r="I376" s="9" t="n"/>
      <c r="J376" s="3" t="n"/>
      <c r="K376" s="9" t="n"/>
    </row>
    <row r="377">
      <c r="A377" s="4" t="n"/>
      <c r="B377" s="9">
        <f>IF(A377="","",INT((DAY(A377)-1)/7)+1)</f>
        <v/>
      </c>
      <c r="C377" s="9" t="n"/>
      <c r="D377" s="9" t="n"/>
      <c r="E377" s="9" t="n"/>
      <c r="F377" s="9" t="n"/>
      <c r="G377" s="9" t="n"/>
      <c r="H377" s="9" t="n"/>
      <c r="I377" s="9" t="n"/>
      <c r="J377" s="3" t="n"/>
      <c r="K377" s="9" t="n"/>
    </row>
    <row r="378">
      <c r="A378" s="4" t="n"/>
      <c r="B378" s="9">
        <f>IF(A378="","",INT((DAY(A378)-1)/7)+1)</f>
        <v/>
      </c>
      <c r="C378" s="9" t="n"/>
      <c r="D378" s="9" t="n"/>
      <c r="E378" s="9" t="n"/>
      <c r="F378" s="9" t="n"/>
      <c r="G378" s="9" t="n"/>
      <c r="H378" s="9" t="n"/>
      <c r="I378" s="9" t="n"/>
      <c r="J378" s="3" t="n"/>
      <c r="K378" s="9" t="n"/>
    </row>
    <row r="379">
      <c r="A379" s="4" t="n"/>
      <c r="B379" s="9">
        <f>IF(A379="","",INT((DAY(A379)-1)/7)+1)</f>
        <v/>
      </c>
      <c r="C379" s="9" t="n"/>
      <c r="D379" s="9" t="n"/>
      <c r="E379" s="9" t="n"/>
      <c r="F379" s="9" t="n"/>
      <c r="G379" s="9" t="n"/>
      <c r="H379" s="9" t="n"/>
      <c r="I379" s="9" t="n"/>
      <c r="J379" s="3" t="n"/>
      <c r="K379" s="9" t="n"/>
    </row>
    <row r="380">
      <c r="A380" s="4" t="n"/>
      <c r="B380" s="9">
        <f>IF(A380="","",INT((DAY(A380)-1)/7)+1)</f>
        <v/>
      </c>
      <c r="C380" s="9" t="n"/>
      <c r="D380" s="9" t="n"/>
      <c r="E380" s="9" t="n"/>
      <c r="F380" s="9" t="n"/>
      <c r="G380" s="9" t="n"/>
      <c r="H380" s="9" t="n"/>
      <c r="I380" s="9" t="n"/>
      <c r="J380" s="3" t="n"/>
      <c r="K380" s="9" t="n"/>
    </row>
    <row r="381">
      <c r="A381" s="4" t="n"/>
      <c r="B381" s="9">
        <f>IF(A381="","",INT((DAY(A381)-1)/7)+1)</f>
        <v/>
      </c>
      <c r="C381" s="9" t="n"/>
      <c r="D381" s="9" t="n"/>
      <c r="E381" s="9" t="n"/>
      <c r="F381" s="9" t="n"/>
      <c r="G381" s="9" t="n"/>
      <c r="H381" s="9" t="n"/>
      <c r="I381" s="9" t="n"/>
      <c r="J381" s="3" t="n"/>
      <c r="K381" s="9" t="n"/>
    </row>
    <row r="382">
      <c r="A382" s="4" t="n"/>
      <c r="B382" s="9">
        <f>IF(A382="","",INT((DAY(A382)-1)/7)+1)</f>
        <v/>
      </c>
      <c r="C382" s="9" t="n"/>
      <c r="D382" s="9" t="n"/>
      <c r="E382" s="9" t="n"/>
      <c r="F382" s="9" t="n"/>
      <c r="G382" s="9" t="n"/>
      <c r="H382" s="9" t="n"/>
      <c r="I382" s="9" t="n"/>
      <c r="J382" s="3" t="n"/>
      <c r="K382" s="9" t="n"/>
    </row>
    <row r="383">
      <c r="A383" s="4" t="n"/>
      <c r="B383" s="9">
        <f>IF(A383="","",INT((DAY(A383)-1)/7)+1)</f>
        <v/>
      </c>
      <c r="C383" s="9" t="n"/>
      <c r="D383" s="9" t="n"/>
      <c r="E383" s="9" t="n"/>
      <c r="F383" s="9" t="n"/>
      <c r="G383" s="9" t="n"/>
      <c r="H383" s="9" t="n"/>
      <c r="I383" s="9" t="n"/>
      <c r="J383" s="3" t="n"/>
      <c r="K383" s="9" t="n"/>
    </row>
    <row r="384">
      <c r="A384" s="4" t="n"/>
      <c r="B384" s="9">
        <f>IF(A384="","",INT((DAY(A384)-1)/7)+1)</f>
        <v/>
      </c>
      <c r="C384" s="9" t="n"/>
      <c r="D384" s="9" t="n"/>
      <c r="E384" s="9" t="n"/>
      <c r="F384" s="9" t="n"/>
      <c r="G384" s="9" t="n"/>
      <c r="H384" s="9" t="n"/>
      <c r="I384" s="9" t="n"/>
      <c r="J384" s="3" t="n"/>
      <c r="K384" s="9" t="n"/>
    </row>
    <row r="385">
      <c r="A385" s="4" t="n"/>
      <c r="B385" s="9">
        <f>IF(A385="","",INT((DAY(A385)-1)/7)+1)</f>
        <v/>
      </c>
      <c r="C385" s="9" t="n"/>
      <c r="D385" s="9" t="n"/>
      <c r="E385" s="9" t="n"/>
      <c r="F385" s="9" t="n"/>
      <c r="G385" s="9" t="n"/>
      <c r="H385" s="9" t="n"/>
      <c r="I385" s="9" t="n"/>
      <c r="J385" s="3" t="n"/>
      <c r="K385" s="9" t="n"/>
    </row>
    <row r="386">
      <c r="A386" s="4" t="n"/>
      <c r="B386" s="9">
        <f>IF(A386="","",INT((DAY(A386)-1)/7)+1)</f>
        <v/>
      </c>
      <c r="C386" s="9" t="n"/>
      <c r="D386" s="9" t="n"/>
      <c r="E386" s="9" t="n"/>
      <c r="F386" s="9" t="n"/>
      <c r="G386" s="9" t="n"/>
      <c r="H386" s="9" t="n"/>
      <c r="I386" s="9" t="n"/>
      <c r="J386" s="3" t="n"/>
      <c r="K386" s="9" t="n"/>
    </row>
    <row r="387">
      <c r="A387" s="4" t="n"/>
      <c r="B387" s="9">
        <f>IF(A387="","",INT((DAY(A387)-1)/7)+1)</f>
        <v/>
      </c>
      <c r="C387" s="9" t="n"/>
      <c r="D387" s="9" t="n"/>
      <c r="E387" s="9" t="n"/>
      <c r="F387" s="9" t="n"/>
      <c r="G387" s="9" t="n"/>
      <c r="H387" s="9" t="n"/>
      <c r="I387" s="9" t="n"/>
      <c r="J387" s="3" t="n"/>
      <c r="K387" s="9" t="n"/>
    </row>
    <row r="388">
      <c r="A388" s="4" t="n"/>
      <c r="B388" s="9">
        <f>IF(A388="","",INT((DAY(A388)-1)/7)+1)</f>
        <v/>
      </c>
      <c r="C388" s="9" t="n"/>
      <c r="D388" s="9" t="n"/>
      <c r="E388" s="9" t="n"/>
      <c r="F388" s="9" t="n"/>
      <c r="G388" s="9" t="n"/>
      <c r="H388" s="9" t="n"/>
      <c r="I388" s="9" t="n"/>
      <c r="J388" s="3" t="n"/>
      <c r="K388" s="9" t="n"/>
    </row>
    <row r="389">
      <c r="A389" s="4" t="n"/>
      <c r="B389" s="9">
        <f>IF(A389="","",INT((DAY(A389)-1)/7)+1)</f>
        <v/>
      </c>
      <c r="C389" s="9" t="n"/>
      <c r="D389" s="9" t="n"/>
      <c r="E389" s="9" t="n"/>
      <c r="F389" s="9" t="n"/>
      <c r="G389" s="9" t="n"/>
      <c r="H389" s="9" t="n"/>
      <c r="I389" s="9" t="n"/>
      <c r="J389" s="3" t="n"/>
      <c r="K389" s="9" t="n"/>
    </row>
    <row r="390">
      <c r="A390" s="4" t="n"/>
      <c r="B390" s="9">
        <f>IF(A390="","",INT((DAY(A390)-1)/7)+1)</f>
        <v/>
      </c>
      <c r="C390" s="9" t="n"/>
      <c r="D390" s="9" t="n"/>
      <c r="E390" s="9" t="n"/>
      <c r="F390" s="9" t="n"/>
      <c r="G390" s="9" t="n"/>
      <c r="H390" s="9" t="n"/>
      <c r="I390" s="9" t="n"/>
      <c r="J390" s="3" t="n"/>
      <c r="K390" s="9" t="n"/>
    </row>
    <row r="391">
      <c r="A391" s="4" t="n"/>
      <c r="B391" s="9">
        <f>IF(A391="","",INT((DAY(A391)-1)/7)+1)</f>
        <v/>
      </c>
      <c r="C391" s="9" t="n"/>
      <c r="D391" s="9" t="n"/>
      <c r="E391" s="9" t="n"/>
      <c r="F391" s="9" t="n"/>
      <c r="G391" s="9" t="n"/>
      <c r="H391" s="9" t="n"/>
      <c r="I391" s="9" t="n"/>
      <c r="J391" s="3" t="n"/>
      <c r="K391" s="9" t="n"/>
    </row>
    <row r="392">
      <c r="A392" s="4" t="n"/>
      <c r="B392" s="9">
        <f>IF(A392="","",INT((DAY(A392)-1)/7)+1)</f>
        <v/>
      </c>
      <c r="C392" s="9" t="n"/>
      <c r="D392" s="9" t="n"/>
      <c r="E392" s="9" t="n"/>
      <c r="F392" s="9" t="n"/>
      <c r="G392" s="9" t="n"/>
      <c r="H392" s="9" t="n"/>
      <c r="I392" s="9" t="n"/>
      <c r="J392" s="3" t="n"/>
      <c r="K392" s="9" t="n"/>
    </row>
    <row r="393">
      <c r="A393" s="4" t="n"/>
      <c r="B393" s="9">
        <f>IF(A393="","",INT((DAY(A393)-1)/7)+1)</f>
        <v/>
      </c>
      <c r="C393" s="9" t="n"/>
      <c r="D393" s="9" t="n"/>
      <c r="E393" s="9" t="n"/>
      <c r="F393" s="9" t="n"/>
      <c r="G393" s="9" t="n"/>
      <c r="H393" s="9" t="n"/>
      <c r="I393" s="9" t="n"/>
      <c r="J393" s="3" t="n"/>
      <c r="K393" s="9" t="n"/>
    </row>
    <row r="394">
      <c r="A394" s="4" t="n"/>
      <c r="B394" s="9">
        <f>IF(A394="","",INT((DAY(A394)-1)/7)+1)</f>
        <v/>
      </c>
      <c r="C394" s="9" t="n"/>
      <c r="D394" s="9" t="n"/>
      <c r="E394" s="9" t="n"/>
      <c r="F394" s="9" t="n"/>
      <c r="G394" s="9" t="n"/>
      <c r="H394" s="9" t="n"/>
      <c r="I394" s="9" t="n"/>
      <c r="J394" s="3" t="n"/>
      <c r="K394" s="9" t="n"/>
    </row>
    <row r="395">
      <c r="A395" s="4" t="n"/>
      <c r="B395" s="9">
        <f>IF(A395="","",INT((DAY(A395)-1)/7)+1)</f>
        <v/>
      </c>
      <c r="C395" s="9" t="n"/>
      <c r="D395" s="9" t="n"/>
      <c r="E395" s="9" t="n"/>
      <c r="F395" s="9" t="n"/>
      <c r="G395" s="9" t="n"/>
      <c r="H395" s="9" t="n"/>
      <c r="I395" s="9" t="n"/>
      <c r="J395" s="3" t="n"/>
      <c r="K395" s="9" t="n"/>
    </row>
    <row r="396">
      <c r="A396" s="4" t="n"/>
      <c r="B396" s="9">
        <f>IF(A396="","",INT((DAY(A396)-1)/7)+1)</f>
        <v/>
      </c>
      <c r="C396" s="9" t="n"/>
      <c r="D396" s="9" t="n"/>
      <c r="E396" s="9" t="n"/>
      <c r="F396" s="9" t="n"/>
      <c r="G396" s="9" t="n"/>
      <c r="H396" s="9" t="n"/>
      <c r="I396" s="9" t="n"/>
      <c r="J396" s="3" t="n"/>
      <c r="K396" s="9" t="n"/>
    </row>
    <row r="397">
      <c r="A397" s="4" t="n"/>
      <c r="B397" s="9">
        <f>IF(A397="","",INT((DAY(A397)-1)/7)+1)</f>
        <v/>
      </c>
      <c r="C397" s="9" t="n"/>
      <c r="D397" s="9" t="n"/>
      <c r="E397" s="9" t="n"/>
      <c r="F397" s="9" t="n"/>
      <c r="G397" s="9" t="n"/>
      <c r="H397" s="9" t="n"/>
      <c r="I397" s="9" t="n"/>
      <c r="J397" s="3" t="n"/>
      <c r="K397" s="9" t="n"/>
    </row>
    <row r="398">
      <c r="A398" s="4" t="n"/>
      <c r="B398" s="9">
        <f>IF(A398="","",INT((DAY(A398)-1)/7)+1)</f>
        <v/>
      </c>
      <c r="C398" s="9" t="n"/>
      <c r="D398" s="9" t="n"/>
      <c r="E398" s="9" t="n"/>
      <c r="F398" s="9" t="n"/>
      <c r="G398" s="9" t="n"/>
      <c r="H398" s="9" t="n"/>
      <c r="I398" s="9" t="n"/>
      <c r="J398" s="3" t="n"/>
      <c r="K398" s="9" t="n"/>
    </row>
    <row r="399">
      <c r="A399" s="4" t="n"/>
      <c r="B399" s="9">
        <f>IF(A399="","",INT((DAY(A399)-1)/7)+1)</f>
        <v/>
      </c>
      <c r="C399" s="9" t="n"/>
      <c r="D399" s="9" t="n"/>
      <c r="E399" s="9" t="n"/>
      <c r="F399" s="9" t="n"/>
      <c r="G399" s="9" t="n"/>
      <c r="H399" s="9" t="n"/>
      <c r="I399" s="9" t="n"/>
      <c r="J399" s="3" t="n"/>
      <c r="K399" s="9" t="n"/>
    </row>
    <row r="400">
      <c r="A400" s="4" t="n"/>
      <c r="B400" s="9">
        <f>IF(A400="","",INT((DAY(A400)-1)/7)+1)</f>
        <v/>
      </c>
      <c r="C400" s="9" t="n"/>
      <c r="D400" s="9" t="n"/>
      <c r="E400" s="9" t="n"/>
      <c r="F400" s="9" t="n"/>
      <c r="G400" s="9" t="n"/>
      <c r="H400" s="9" t="n"/>
      <c r="I400" s="9" t="n"/>
      <c r="J400" s="3" t="n"/>
      <c r="K400" s="9" t="n"/>
    </row>
    <row r="401">
      <c r="A401" s="4" t="n"/>
      <c r="B401" s="9">
        <f>IF(A401="","",INT((DAY(A401)-1)/7)+1)</f>
        <v/>
      </c>
      <c r="C401" s="9" t="n"/>
      <c r="D401" s="9" t="n"/>
      <c r="E401" s="9" t="n"/>
      <c r="F401" s="9" t="n"/>
      <c r="G401" s="9" t="n"/>
      <c r="H401" s="9" t="n"/>
      <c r="I401" s="9" t="n"/>
      <c r="J401" s="3" t="n"/>
      <c r="K401" s="9" t="n"/>
    </row>
    <row r="402">
      <c r="A402" s="4" t="n"/>
      <c r="B402" s="9">
        <f>IF(A402="","",INT((DAY(A402)-1)/7)+1)</f>
        <v/>
      </c>
      <c r="C402" s="9" t="n"/>
      <c r="D402" s="9" t="n"/>
      <c r="E402" s="9" t="n"/>
      <c r="F402" s="9" t="n"/>
      <c r="G402" s="9" t="n"/>
      <c r="H402" s="9" t="n"/>
      <c r="I402" s="9" t="n"/>
      <c r="J402" s="3" t="n"/>
      <c r="K402" s="9" t="n"/>
    </row>
    <row r="403">
      <c r="A403" s="4" t="n"/>
      <c r="B403" s="9">
        <f>IF(A403="","",INT((DAY(A403)-1)/7)+1)</f>
        <v/>
      </c>
      <c r="C403" s="9" t="n"/>
      <c r="D403" s="9" t="n"/>
      <c r="E403" s="9" t="n"/>
      <c r="F403" s="9" t="n"/>
      <c r="G403" s="9" t="n"/>
      <c r="H403" s="9" t="n"/>
      <c r="I403" s="9" t="n"/>
      <c r="J403" s="3" t="n"/>
      <c r="K403" s="9" t="n"/>
    </row>
    <row r="404">
      <c r="A404" s="4" t="n"/>
      <c r="B404" s="9">
        <f>IF(A404="","",INT((DAY(A404)-1)/7)+1)</f>
        <v/>
      </c>
      <c r="C404" s="9" t="n"/>
      <c r="D404" s="9" t="n"/>
      <c r="E404" s="9" t="n"/>
      <c r="F404" s="9" t="n"/>
      <c r="G404" s="9" t="n"/>
      <c r="H404" s="9" t="n"/>
      <c r="I404" s="9" t="n"/>
      <c r="J404" s="3" t="n"/>
      <c r="K404" s="9" t="n"/>
    </row>
    <row r="405">
      <c r="A405" s="4" t="n"/>
      <c r="B405" s="9">
        <f>IF(A405="","",INT((DAY(A405)-1)/7)+1)</f>
        <v/>
      </c>
      <c r="C405" s="9" t="n"/>
      <c r="D405" s="9" t="n"/>
      <c r="E405" s="9" t="n"/>
      <c r="F405" s="9" t="n"/>
      <c r="G405" s="9" t="n"/>
      <c r="H405" s="9" t="n"/>
      <c r="I405" s="9" t="n"/>
      <c r="J405" s="3" t="n"/>
      <c r="K405" s="9" t="n"/>
    </row>
    <row r="406">
      <c r="A406" s="4" t="n"/>
      <c r="B406" s="9">
        <f>IF(A406="","",INT((DAY(A406)-1)/7)+1)</f>
        <v/>
      </c>
      <c r="C406" s="9" t="n"/>
      <c r="D406" s="9" t="n"/>
      <c r="E406" s="9" t="n"/>
      <c r="F406" s="9" t="n"/>
      <c r="G406" s="9" t="n"/>
      <c r="H406" s="9" t="n"/>
      <c r="I406" s="9" t="n"/>
      <c r="J406" s="3" t="n"/>
      <c r="K406" s="9" t="n"/>
    </row>
    <row r="407">
      <c r="A407" s="4" t="n"/>
      <c r="B407" s="9">
        <f>IF(A407="","",INT((DAY(A407)-1)/7)+1)</f>
        <v/>
      </c>
      <c r="C407" s="9" t="n"/>
      <c r="D407" s="9" t="n"/>
      <c r="E407" s="9" t="n"/>
      <c r="F407" s="9" t="n"/>
      <c r="G407" s="9" t="n"/>
      <c r="H407" s="9" t="n"/>
      <c r="I407" s="9" t="n"/>
      <c r="J407" s="3" t="n"/>
      <c r="K407" s="9" t="n"/>
    </row>
    <row r="408">
      <c r="A408" s="4" t="n"/>
      <c r="B408" s="9">
        <f>IF(A408="","",INT((DAY(A408)-1)/7)+1)</f>
        <v/>
      </c>
      <c r="C408" s="9" t="n"/>
      <c r="D408" s="9" t="n"/>
      <c r="E408" s="9" t="n"/>
      <c r="F408" s="9" t="n"/>
      <c r="G408" s="9" t="n"/>
      <c r="H408" s="9" t="n"/>
      <c r="I408" s="9" t="n"/>
      <c r="J408" s="3" t="n"/>
      <c r="K408" s="9" t="n"/>
    </row>
    <row r="409">
      <c r="A409" s="4" t="n"/>
      <c r="B409" s="9">
        <f>IF(A409="","",INT((DAY(A409)-1)/7)+1)</f>
        <v/>
      </c>
      <c r="C409" s="9" t="n"/>
      <c r="D409" s="9" t="n"/>
      <c r="E409" s="9" t="n"/>
      <c r="F409" s="9" t="n"/>
      <c r="G409" s="9" t="n"/>
      <c r="H409" s="9" t="n"/>
      <c r="I409" s="9" t="n"/>
      <c r="J409" s="3" t="n"/>
      <c r="K409" s="9" t="n"/>
    </row>
    <row r="410">
      <c r="A410" s="4" t="n"/>
      <c r="B410" s="9">
        <f>IF(A410="","",INT((DAY(A410)-1)/7)+1)</f>
        <v/>
      </c>
      <c r="C410" s="9" t="n"/>
      <c r="D410" s="9" t="n"/>
      <c r="E410" s="9" t="n"/>
      <c r="F410" s="9" t="n"/>
      <c r="G410" s="9" t="n"/>
      <c r="H410" s="9" t="n"/>
      <c r="I410" s="9" t="n"/>
      <c r="J410" s="3" t="n"/>
      <c r="K410" s="9" t="n"/>
    </row>
    <row r="411">
      <c r="A411" s="4" t="n"/>
      <c r="B411" s="9">
        <f>IF(A411="","",INT((DAY(A411)-1)/7)+1)</f>
        <v/>
      </c>
      <c r="C411" s="9" t="n"/>
      <c r="D411" s="9" t="n"/>
      <c r="E411" s="9" t="n"/>
      <c r="F411" s="9" t="n"/>
      <c r="G411" s="9" t="n"/>
      <c r="H411" s="9" t="n"/>
      <c r="I411" s="9" t="n"/>
      <c r="J411" s="3" t="n"/>
      <c r="K411" s="9" t="n"/>
    </row>
    <row r="412">
      <c r="A412" s="4" t="n"/>
      <c r="B412" s="9">
        <f>IF(A412="","",INT((DAY(A412)-1)/7)+1)</f>
        <v/>
      </c>
      <c r="C412" s="9" t="n"/>
      <c r="D412" s="9" t="n"/>
      <c r="E412" s="9" t="n"/>
      <c r="F412" s="9" t="n"/>
      <c r="G412" s="9" t="n"/>
      <c r="H412" s="9" t="n"/>
      <c r="I412" s="9" t="n"/>
      <c r="J412" s="3" t="n"/>
      <c r="K412" s="9" t="n"/>
    </row>
    <row r="413">
      <c r="A413" s="4" t="n"/>
      <c r="B413" s="9">
        <f>IF(A413="","",INT((DAY(A413)-1)/7)+1)</f>
        <v/>
      </c>
      <c r="C413" s="9" t="n"/>
      <c r="D413" s="9" t="n"/>
      <c r="E413" s="9" t="n"/>
      <c r="F413" s="9" t="n"/>
      <c r="G413" s="9" t="n"/>
      <c r="H413" s="9" t="n"/>
      <c r="I413" s="9" t="n"/>
      <c r="J413" s="3" t="n"/>
      <c r="K413" s="9" t="n"/>
    </row>
    <row r="414">
      <c r="A414" s="4" t="n"/>
      <c r="B414" s="9">
        <f>IF(A414="","",INT((DAY(A414)-1)/7)+1)</f>
        <v/>
      </c>
      <c r="C414" s="9" t="n"/>
      <c r="D414" s="9" t="n"/>
      <c r="E414" s="9" t="n"/>
      <c r="F414" s="9" t="n"/>
      <c r="G414" s="9" t="n"/>
      <c r="H414" s="9" t="n"/>
      <c r="I414" s="9" t="n"/>
      <c r="J414" s="3" t="n"/>
      <c r="K414" s="9" t="n"/>
    </row>
    <row r="415">
      <c r="A415" s="4" t="n"/>
      <c r="B415" s="9">
        <f>IF(A415="","",INT((DAY(A415)-1)/7)+1)</f>
        <v/>
      </c>
      <c r="C415" s="9" t="n"/>
      <c r="D415" s="9" t="n"/>
      <c r="E415" s="9" t="n"/>
      <c r="F415" s="9" t="n"/>
      <c r="G415" s="9" t="n"/>
      <c r="H415" s="9" t="n"/>
      <c r="I415" s="9" t="n"/>
      <c r="J415" s="3" t="n"/>
      <c r="K415" s="9" t="n"/>
    </row>
    <row r="416">
      <c r="A416" s="4" t="n"/>
      <c r="B416" s="9">
        <f>IF(A416="","",INT((DAY(A416)-1)/7)+1)</f>
        <v/>
      </c>
      <c r="C416" s="9" t="n"/>
      <c r="D416" s="9" t="n"/>
      <c r="E416" s="9" t="n"/>
      <c r="F416" s="9" t="n"/>
      <c r="G416" s="9" t="n"/>
      <c r="H416" s="9" t="n"/>
      <c r="I416" s="9" t="n"/>
      <c r="J416" s="3" t="n"/>
      <c r="K416" s="9" t="n"/>
    </row>
    <row r="417">
      <c r="A417" s="4" t="n"/>
      <c r="B417" s="9">
        <f>IF(A417="","",INT((DAY(A417)-1)/7)+1)</f>
        <v/>
      </c>
      <c r="C417" s="9" t="n"/>
      <c r="D417" s="9" t="n"/>
      <c r="E417" s="9" t="n"/>
      <c r="F417" s="9" t="n"/>
      <c r="G417" s="9" t="n"/>
      <c r="H417" s="9" t="n"/>
      <c r="I417" s="9" t="n"/>
      <c r="J417" s="3" t="n"/>
      <c r="K417" s="9" t="n"/>
    </row>
    <row r="418">
      <c r="A418" s="4" t="n"/>
      <c r="B418" s="9">
        <f>IF(A418="","",INT((DAY(A418)-1)/7)+1)</f>
        <v/>
      </c>
      <c r="C418" s="9" t="n"/>
      <c r="D418" s="9" t="n"/>
      <c r="E418" s="9" t="n"/>
      <c r="F418" s="9" t="n"/>
      <c r="G418" s="9" t="n"/>
      <c r="H418" s="9" t="n"/>
      <c r="I418" s="9" t="n"/>
      <c r="J418" s="3" t="n"/>
      <c r="K418" s="9" t="n"/>
    </row>
    <row r="419">
      <c r="A419" s="4" t="n"/>
      <c r="B419" s="9">
        <f>IF(A419="","",INT((DAY(A419)-1)/7)+1)</f>
        <v/>
      </c>
      <c r="C419" s="9" t="n"/>
      <c r="D419" s="9" t="n"/>
      <c r="E419" s="9" t="n"/>
      <c r="F419" s="9" t="n"/>
      <c r="G419" s="9" t="n"/>
      <c r="H419" s="9" t="n"/>
      <c r="I419" s="9" t="n"/>
      <c r="J419" s="3" t="n"/>
      <c r="K419" s="9" t="n"/>
    </row>
    <row r="420">
      <c r="A420" s="4" t="n"/>
      <c r="B420" s="9">
        <f>IF(A420="","",INT((DAY(A420)-1)/7)+1)</f>
        <v/>
      </c>
      <c r="C420" s="9" t="n"/>
      <c r="D420" s="9" t="n"/>
      <c r="E420" s="9" t="n"/>
      <c r="F420" s="9" t="n"/>
      <c r="G420" s="9" t="n"/>
      <c r="H420" s="9" t="n"/>
      <c r="I420" s="9" t="n"/>
      <c r="J420" s="3" t="n"/>
      <c r="K420" s="9" t="n"/>
    </row>
    <row r="421">
      <c r="A421" s="4" t="n"/>
      <c r="B421" s="9">
        <f>IF(A421="","",INT((DAY(A421)-1)/7)+1)</f>
        <v/>
      </c>
      <c r="C421" s="9" t="n"/>
      <c r="D421" s="9" t="n"/>
      <c r="E421" s="9" t="n"/>
      <c r="F421" s="9" t="n"/>
      <c r="G421" s="9" t="n"/>
      <c r="H421" s="9" t="n"/>
      <c r="I421" s="9" t="n"/>
      <c r="J421" s="3" t="n"/>
      <c r="K421" s="9" t="n"/>
    </row>
    <row r="422">
      <c r="A422" s="4" t="n"/>
      <c r="B422" s="9">
        <f>IF(A422="","",INT((DAY(A422)-1)/7)+1)</f>
        <v/>
      </c>
      <c r="C422" s="9" t="n"/>
      <c r="D422" s="9" t="n"/>
      <c r="E422" s="9" t="n"/>
      <c r="F422" s="9" t="n"/>
      <c r="G422" s="9" t="n"/>
      <c r="H422" s="9" t="n"/>
      <c r="I422" s="9" t="n"/>
      <c r="J422" s="3" t="n"/>
      <c r="K422" s="9" t="n"/>
    </row>
    <row r="423">
      <c r="A423" s="4" t="n"/>
      <c r="B423" s="9">
        <f>IF(A423="","",INT((DAY(A423)-1)/7)+1)</f>
        <v/>
      </c>
      <c r="C423" s="9" t="n"/>
      <c r="D423" s="9" t="n"/>
      <c r="E423" s="9" t="n"/>
      <c r="F423" s="9" t="n"/>
      <c r="G423" s="9" t="n"/>
      <c r="H423" s="9" t="n"/>
      <c r="I423" s="9" t="n"/>
      <c r="J423" s="3" t="n"/>
      <c r="K423" s="9" t="n"/>
    </row>
    <row r="424">
      <c r="A424" s="4" t="n"/>
      <c r="B424" s="9">
        <f>IF(A424="","",INT((DAY(A424)-1)/7)+1)</f>
        <v/>
      </c>
      <c r="C424" s="9" t="n"/>
      <c r="D424" s="9" t="n"/>
      <c r="E424" s="9" t="n"/>
      <c r="F424" s="9" t="n"/>
      <c r="G424" s="9" t="n"/>
      <c r="H424" s="9" t="n"/>
      <c r="I424" s="9" t="n"/>
      <c r="J424" s="3" t="n"/>
      <c r="K424" s="9" t="n"/>
    </row>
    <row r="425">
      <c r="A425" s="4" t="n"/>
      <c r="B425" s="9">
        <f>IF(A425="","",INT((DAY(A425)-1)/7)+1)</f>
        <v/>
      </c>
      <c r="C425" s="9" t="n"/>
      <c r="D425" s="9" t="n"/>
      <c r="E425" s="9" t="n"/>
      <c r="F425" s="9" t="n"/>
      <c r="G425" s="9" t="n"/>
      <c r="H425" s="9" t="n"/>
      <c r="I425" s="9" t="n"/>
      <c r="J425" s="3" t="n"/>
      <c r="K425" s="9" t="n"/>
    </row>
    <row r="426">
      <c r="A426" s="4" t="n"/>
      <c r="B426" s="9">
        <f>IF(A426="","",INT((DAY(A426)-1)/7)+1)</f>
        <v/>
      </c>
      <c r="C426" s="9" t="n"/>
      <c r="D426" s="9" t="n"/>
      <c r="E426" s="9" t="n"/>
      <c r="F426" s="9" t="n"/>
      <c r="G426" s="9" t="n"/>
      <c r="H426" s="9" t="n"/>
      <c r="I426" s="9" t="n"/>
      <c r="J426" s="3" t="n"/>
      <c r="K426" s="9" t="n"/>
    </row>
    <row r="427">
      <c r="A427" s="4" t="n"/>
      <c r="B427" s="9">
        <f>IF(A427="","",INT((DAY(A427)-1)/7)+1)</f>
        <v/>
      </c>
      <c r="C427" s="9" t="n"/>
      <c r="D427" s="9" t="n"/>
      <c r="E427" s="9" t="n"/>
      <c r="F427" s="9" t="n"/>
      <c r="G427" s="9" t="n"/>
      <c r="H427" s="9" t="n"/>
      <c r="I427" s="9" t="n"/>
      <c r="J427" s="3" t="n"/>
      <c r="K427" s="9" t="n"/>
    </row>
    <row r="428">
      <c r="A428" s="4" t="n"/>
      <c r="B428" s="9">
        <f>IF(A428="","",INT((DAY(A428)-1)/7)+1)</f>
        <v/>
      </c>
      <c r="C428" s="9" t="n"/>
      <c r="D428" s="9" t="n"/>
      <c r="E428" s="9" t="n"/>
      <c r="F428" s="9" t="n"/>
      <c r="G428" s="9" t="n"/>
      <c r="H428" s="9" t="n"/>
      <c r="I428" s="9" t="n"/>
      <c r="J428" s="3" t="n"/>
      <c r="K428" s="9" t="n"/>
    </row>
    <row r="429">
      <c r="A429" s="4" t="n"/>
      <c r="B429" s="9">
        <f>IF(A429="","",INT((DAY(A429)-1)/7)+1)</f>
        <v/>
      </c>
      <c r="C429" s="9" t="n"/>
      <c r="D429" s="9" t="n"/>
      <c r="E429" s="9" t="n"/>
      <c r="F429" s="9" t="n"/>
      <c r="G429" s="9" t="n"/>
      <c r="H429" s="9" t="n"/>
      <c r="I429" s="9" t="n"/>
      <c r="J429" s="3" t="n"/>
      <c r="K429" s="9" t="n"/>
    </row>
    <row r="430">
      <c r="A430" s="4" t="n"/>
      <c r="B430" s="9">
        <f>IF(A430="","",INT((DAY(A430)-1)/7)+1)</f>
        <v/>
      </c>
      <c r="C430" s="9" t="n"/>
      <c r="D430" s="9" t="n"/>
      <c r="E430" s="9" t="n"/>
      <c r="F430" s="9" t="n"/>
      <c r="G430" s="9" t="n"/>
      <c r="H430" s="9" t="n"/>
      <c r="I430" s="9" t="n"/>
      <c r="J430" s="3" t="n"/>
      <c r="K430" s="9" t="n"/>
    </row>
    <row r="431">
      <c r="A431" s="4" t="n"/>
      <c r="B431" s="9">
        <f>IF(A431="","",INT((DAY(A431)-1)/7)+1)</f>
        <v/>
      </c>
      <c r="C431" s="9" t="n"/>
      <c r="D431" s="9" t="n"/>
      <c r="E431" s="9" t="n"/>
      <c r="F431" s="9" t="n"/>
      <c r="G431" s="9" t="n"/>
      <c r="H431" s="9" t="n"/>
      <c r="I431" s="9" t="n"/>
      <c r="J431" s="3" t="n"/>
      <c r="K431" s="9" t="n"/>
    </row>
    <row r="432">
      <c r="A432" s="4" t="n"/>
      <c r="B432" s="9">
        <f>IF(A432="","",INT((DAY(A432)-1)/7)+1)</f>
        <v/>
      </c>
      <c r="C432" s="9" t="n"/>
      <c r="D432" s="9" t="n"/>
      <c r="E432" s="9" t="n"/>
      <c r="F432" s="9" t="n"/>
      <c r="G432" s="9" t="n"/>
      <c r="H432" s="9" t="n"/>
      <c r="I432" s="9" t="n"/>
      <c r="J432" s="3" t="n"/>
      <c r="K432" s="9" t="n"/>
    </row>
    <row r="433">
      <c r="A433" s="4" t="n"/>
      <c r="B433" s="9">
        <f>IF(A433="","",INT((DAY(A433)-1)/7)+1)</f>
        <v/>
      </c>
      <c r="C433" s="9" t="n"/>
      <c r="D433" s="9" t="n"/>
      <c r="E433" s="9" t="n"/>
      <c r="F433" s="9" t="n"/>
      <c r="G433" s="9" t="n"/>
      <c r="H433" s="9" t="n"/>
      <c r="I433" s="9" t="n"/>
      <c r="J433" s="3" t="n"/>
      <c r="K433" s="9" t="n"/>
    </row>
    <row r="434">
      <c r="A434" s="4" t="n"/>
      <c r="B434" s="9">
        <f>IF(A434="","",INT((DAY(A434)-1)/7)+1)</f>
        <v/>
      </c>
      <c r="C434" s="9" t="n"/>
      <c r="D434" s="9" t="n"/>
      <c r="E434" s="9" t="n"/>
      <c r="F434" s="9" t="n"/>
      <c r="G434" s="9" t="n"/>
      <c r="H434" s="9" t="n"/>
      <c r="I434" s="9" t="n"/>
      <c r="J434" s="3" t="n"/>
      <c r="K434" s="9" t="n"/>
    </row>
    <row r="435">
      <c r="A435" s="4" t="n"/>
      <c r="B435" s="9">
        <f>IF(A435="","",INT((DAY(A435)-1)/7)+1)</f>
        <v/>
      </c>
      <c r="C435" s="9" t="n"/>
      <c r="D435" s="9" t="n"/>
      <c r="E435" s="9" t="n"/>
      <c r="F435" s="9" t="n"/>
      <c r="G435" s="9" t="n"/>
      <c r="H435" s="9" t="n"/>
      <c r="I435" s="9" t="n"/>
      <c r="J435" s="3" t="n"/>
      <c r="K435" s="9" t="n"/>
    </row>
    <row r="436">
      <c r="A436" s="4" t="n"/>
      <c r="B436" s="9">
        <f>IF(A436="","",INT((DAY(A436)-1)/7)+1)</f>
        <v/>
      </c>
      <c r="C436" s="9" t="n"/>
      <c r="D436" s="9" t="n"/>
      <c r="E436" s="9" t="n"/>
      <c r="F436" s="9" t="n"/>
      <c r="G436" s="9" t="n"/>
      <c r="H436" s="9" t="n"/>
      <c r="I436" s="9" t="n"/>
      <c r="J436" s="3" t="n"/>
      <c r="K436" s="9" t="n"/>
    </row>
    <row r="437">
      <c r="A437" s="4" t="n"/>
      <c r="B437" s="9">
        <f>IF(A437="","",INT((DAY(A437)-1)/7)+1)</f>
        <v/>
      </c>
      <c r="C437" s="9" t="n"/>
      <c r="D437" s="9" t="n"/>
      <c r="E437" s="9" t="n"/>
      <c r="F437" s="9" t="n"/>
      <c r="G437" s="9" t="n"/>
      <c r="H437" s="9" t="n"/>
      <c r="I437" s="9" t="n"/>
      <c r="J437" s="3" t="n"/>
      <c r="K437" s="9" t="n"/>
    </row>
    <row r="438">
      <c r="A438" s="4" t="n"/>
      <c r="B438" s="9">
        <f>IF(A438="","",INT((DAY(A438)-1)/7)+1)</f>
        <v/>
      </c>
      <c r="C438" s="9" t="n"/>
      <c r="D438" s="9" t="n"/>
      <c r="E438" s="9" t="n"/>
      <c r="F438" s="9" t="n"/>
      <c r="G438" s="9" t="n"/>
      <c r="H438" s="9" t="n"/>
      <c r="I438" s="9" t="n"/>
      <c r="J438" s="3" t="n"/>
      <c r="K438" s="9" t="n"/>
    </row>
    <row r="439">
      <c r="A439" s="4" t="n"/>
      <c r="B439" s="9">
        <f>IF(A439="","",INT((DAY(A439)-1)/7)+1)</f>
        <v/>
      </c>
      <c r="C439" s="9" t="n"/>
      <c r="D439" s="9" t="n"/>
      <c r="E439" s="9" t="n"/>
      <c r="F439" s="9" t="n"/>
      <c r="G439" s="9" t="n"/>
      <c r="H439" s="9" t="n"/>
      <c r="I439" s="9" t="n"/>
      <c r="J439" s="3" t="n"/>
      <c r="K439" s="9" t="n"/>
    </row>
    <row r="440">
      <c r="A440" s="4" t="n"/>
      <c r="B440" s="9">
        <f>IF(A440="","",INT((DAY(A440)-1)/7)+1)</f>
        <v/>
      </c>
      <c r="C440" s="9" t="n"/>
      <c r="D440" s="9" t="n"/>
      <c r="E440" s="9" t="n"/>
      <c r="F440" s="9" t="n"/>
      <c r="G440" s="9" t="n"/>
      <c r="H440" s="9" t="n"/>
      <c r="I440" s="9" t="n"/>
      <c r="J440" s="3" t="n"/>
      <c r="K440" s="9" t="n"/>
    </row>
    <row r="441">
      <c r="A441" s="4" t="n"/>
      <c r="B441" s="9">
        <f>IF(A441="","",INT((DAY(A441)-1)/7)+1)</f>
        <v/>
      </c>
      <c r="C441" s="9" t="n"/>
      <c r="D441" s="9" t="n"/>
      <c r="E441" s="9" t="n"/>
      <c r="F441" s="9" t="n"/>
      <c r="G441" s="9" t="n"/>
      <c r="H441" s="9" t="n"/>
      <c r="I441" s="9" t="n"/>
      <c r="J441" s="3" t="n"/>
      <c r="K441" s="9" t="n"/>
    </row>
    <row r="442">
      <c r="A442" s="4" t="n"/>
      <c r="B442" s="9">
        <f>IF(A442="","",INT((DAY(A442)-1)/7)+1)</f>
        <v/>
      </c>
      <c r="C442" s="9" t="n"/>
      <c r="D442" s="9" t="n"/>
      <c r="E442" s="9" t="n"/>
      <c r="F442" s="9" t="n"/>
      <c r="G442" s="9" t="n"/>
      <c r="H442" s="9" t="n"/>
      <c r="I442" s="9" t="n"/>
      <c r="J442" s="3" t="n"/>
      <c r="K442" s="9" t="n"/>
    </row>
    <row r="443">
      <c r="A443" s="4" t="n"/>
      <c r="B443" s="9">
        <f>IF(A443="","",INT((DAY(A443)-1)/7)+1)</f>
        <v/>
      </c>
      <c r="C443" s="9" t="n"/>
      <c r="D443" s="9" t="n"/>
      <c r="E443" s="9" t="n"/>
      <c r="F443" s="9" t="n"/>
      <c r="G443" s="9" t="n"/>
      <c r="H443" s="9" t="n"/>
      <c r="I443" s="9" t="n"/>
      <c r="J443" s="3" t="n"/>
      <c r="K443" s="9" t="n"/>
    </row>
    <row r="444">
      <c r="A444" s="4" t="n"/>
      <c r="B444" s="9">
        <f>IF(A444="","",INT((DAY(A444)-1)/7)+1)</f>
        <v/>
      </c>
      <c r="C444" s="9" t="n"/>
      <c r="D444" s="9" t="n"/>
      <c r="E444" s="9" t="n"/>
      <c r="F444" s="9" t="n"/>
      <c r="G444" s="9" t="n"/>
      <c r="H444" s="9" t="n"/>
      <c r="I444" s="9" t="n"/>
      <c r="J444" s="3" t="n"/>
      <c r="K444" s="9" t="n"/>
    </row>
    <row r="445">
      <c r="A445" s="4" t="n"/>
      <c r="B445" s="9">
        <f>IF(A445="","",INT((DAY(A445)-1)/7)+1)</f>
        <v/>
      </c>
      <c r="C445" s="9" t="n"/>
      <c r="D445" s="9" t="n"/>
      <c r="E445" s="9" t="n"/>
      <c r="F445" s="9" t="n"/>
      <c r="G445" s="9" t="n"/>
      <c r="H445" s="9" t="n"/>
      <c r="I445" s="9" t="n"/>
      <c r="J445" s="3" t="n"/>
      <c r="K445" s="9" t="n"/>
    </row>
    <row r="446">
      <c r="A446" s="4" t="n"/>
      <c r="B446" s="9">
        <f>IF(A446="","",INT((DAY(A446)-1)/7)+1)</f>
        <v/>
      </c>
      <c r="C446" s="9" t="n"/>
      <c r="D446" s="9" t="n"/>
      <c r="E446" s="9" t="n"/>
      <c r="F446" s="9" t="n"/>
      <c r="G446" s="9" t="n"/>
      <c r="H446" s="9" t="n"/>
      <c r="I446" s="9" t="n"/>
      <c r="J446" s="3" t="n"/>
      <c r="K446" s="9" t="n"/>
    </row>
    <row r="447">
      <c r="A447" s="4" t="n"/>
      <c r="B447" s="9">
        <f>IF(A447="","",INT((DAY(A447)-1)/7)+1)</f>
        <v/>
      </c>
      <c r="C447" s="9" t="n"/>
      <c r="D447" s="9" t="n"/>
      <c r="E447" s="9" t="n"/>
      <c r="F447" s="9" t="n"/>
      <c r="G447" s="9" t="n"/>
      <c r="H447" s="9" t="n"/>
      <c r="I447" s="9" t="n"/>
      <c r="J447" s="3" t="n"/>
      <c r="K447" s="9" t="n"/>
    </row>
    <row r="448">
      <c r="A448" s="4" t="n"/>
      <c r="B448" s="9">
        <f>IF(A448="","",INT((DAY(A448)-1)/7)+1)</f>
        <v/>
      </c>
      <c r="C448" s="9" t="n"/>
      <c r="D448" s="9" t="n"/>
      <c r="E448" s="9" t="n"/>
      <c r="F448" s="9" t="n"/>
      <c r="G448" s="9" t="n"/>
      <c r="H448" s="9" t="n"/>
      <c r="I448" s="9" t="n"/>
      <c r="J448" s="3" t="n"/>
      <c r="K448" s="9" t="n"/>
    </row>
    <row r="449">
      <c r="A449" s="4" t="n"/>
      <c r="B449" s="9">
        <f>IF(A449="","",INT((DAY(A449)-1)/7)+1)</f>
        <v/>
      </c>
      <c r="C449" s="9" t="n"/>
      <c r="D449" s="9" t="n"/>
      <c r="E449" s="9" t="n"/>
      <c r="F449" s="9" t="n"/>
      <c r="G449" s="9" t="n"/>
      <c r="H449" s="9" t="n"/>
      <c r="I449" s="9" t="n"/>
      <c r="J449" s="3" t="n"/>
      <c r="K449" s="9" t="n"/>
    </row>
    <row r="450">
      <c r="A450" s="4" t="n"/>
      <c r="B450" s="9">
        <f>IF(A450="","",INT((DAY(A450)-1)/7)+1)</f>
        <v/>
      </c>
      <c r="C450" s="9" t="n"/>
      <c r="D450" s="9" t="n"/>
      <c r="E450" s="9" t="n"/>
      <c r="F450" s="9" t="n"/>
      <c r="G450" s="9" t="n"/>
      <c r="H450" s="9" t="n"/>
      <c r="I450" s="9" t="n"/>
      <c r="J450" s="3" t="n"/>
      <c r="K450" s="9" t="n"/>
    </row>
    <row r="451">
      <c r="A451" s="4" t="n"/>
      <c r="B451" s="9">
        <f>IF(A451="","",INT((DAY(A451)-1)/7)+1)</f>
        <v/>
      </c>
      <c r="C451" s="9" t="n"/>
      <c r="D451" s="9" t="n"/>
      <c r="E451" s="9" t="n"/>
      <c r="F451" s="9" t="n"/>
      <c r="G451" s="9" t="n"/>
      <c r="H451" s="9" t="n"/>
      <c r="I451" s="9" t="n"/>
      <c r="J451" s="3" t="n"/>
      <c r="K451" s="9" t="n"/>
    </row>
    <row r="452">
      <c r="A452" s="4" t="n"/>
      <c r="B452" s="9">
        <f>IF(A452="","",INT((DAY(A452)-1)/7)+1)</f>
        <v/>
      </c>
      <c r="C452" s="9" t="n"/>
      <c r="D452" s="9" t="n"/>
      <c r="E452" s="9" t="n"/>
      <c r="F452" s="9" t="n"/>
      <c r="G452" s="9" t="n"/>
      <c r="H452" s="9" t="n"/>
      <c r="I452" s="9" t="n"/>
      <c r="J452" s="3" t="n"/>
      <c r="K452" s="9" t="n"/>
    </row>
    <row r="453">
      <c r="A453" s="4" t="n"/>
      <c r="B453" s="9">
        <f>IF(A453="","",INT((DAY(A453)-1)/7)+1)</f>
        <v/>
      </c>
      <c r="C453" s="9" t="n"/>
      <c r="D453" s="9" t="n"/>
      <c r="E453" s="9" t="n"/>
      <c r="F453" s="9" t="n"/>
      <c r="G453" s="9" t="n"/>
      <c r="H453" s="9" t="n"/>
      <c r="I453" s="9" t="n"/>
      <c r="J453" s="3" t="n"/>
      <c r="K453" s="9" t="n"/>
    </row>
    <row r="454">
      <c r="A454" s="4" t="n"/>
      <c r="B454" s="9">
        <f>IF(A454="","",INT((DAY(A454)-1)/7)+1)</f>
        <v/>
      </c>
      <c r="C454" s="9" t="n"/>
      <c r="D454" s="9" t="n"/>
      <c r="E454" s="9" t="n"/>
      <c r="F454" s="9" t="n"/>
      <c r="G454" s="9" t="n"/>
      <c r="H454" s="9" t="n"/>
      <c r="I454" s="9" t="n"/>
      <c r="J454" s="3" t="n"/>
      <c r="K454" s="9" t="n"/>
    </row>
    <row r="455">
      <c r="A455" s="4" t="n"/>
      <c r="B455" s="9">
        <f>IF(A455="","",INT((DAY(A455)-1)/7)+1)</f>
        <v/>
      </c>
      <c r="C455" s="9" t="n"/>
      <c r="D455" s="9" t="n"/>
      <c r="E455" s="9" t="n"/>
      <c r="F455" s="9" t="n"/>
      <c r="G455" s="9" t="n"/>
      <c r="H455" s="9" t="n"/>
      <c r="I455" s="9" t="n"/>
      <c r="J455" s="3" t="n"/>
      <c r="K455" s="9" t="n"/>
    </row>
    <row r="456">
      <c r="A456" s="4" t="n"/>
      <c r="B456" s="9">
        <f>IF(A456="","",INT((DAY(A456)-1)/7)+1)</f>
        <v/>
      </c>
      <c r="C456" s="9" t="n"/>
      <c r="D456" s="9" t="n"/>
      <c r="E456" s="9" t="n"/>
      <c r="F456" s="9" t="n"/>
      <c r="G456" s="9" t="n"/>
      <c r="H456" s="9" t="n"/>
      <c r="I456" s="9" t="n"/>
      <c r="J456" s="3" t="n"/>
      <c r="K456" s="9" t="n"/>
    </row>
    <row r="457">
      <c r="A457" s="4" t="n"/>
      <c r="B457" s="9">
        <f>IF(A457="","",INT((DAY(A457)-1)/7)+1)</f>
        <v/>
      </c>
      <c r="C457" s="9" t="n"/>
      <c r="D457" s="9" t="n"/>
      <c r="E457" s="9" t="n"/>
      <c r="F457" s="9" t="n"/>
      <c r="G457" s="9" t="n"/>
      <c r="H457" s="9" t="n"/>
      <c r="I457" s="9" t="n"/>
      <c r="J457" s="3" t="n"/>
      <c r="K457" s="9" t="n"/>
    </row>
    <row r="458">
      <c r="A458" s="4" t="n"/>
      <c r="B458" s="9">
        <f>IF(A458="","",INT((DAY(A458)-1)/7)+1)</f>
        <v/>
      </c>
      <c r="C458" s="9" t="n"/>
      <c r="D458" s="9" t="n"/>
      <c r="E458" s="9" t="n"/>
      <c r="F458" s="9" t="n"/>
      <c r="G458" s="9" t="n"/>
      <c r="H458" s="9" t="n"/>
      <c r="I458" s="9" t="n"/>
      <c r="J458" s="3" t="n"/>
      <c r="K458" s="9" t="n"/>
    </row>
    <row r="459">
      <c r="A459" s="4" t="n"/>
      <c r="B459" s="9">
        <f>IF(A459="","",INT((DAY(A459)-1)/7)+1)</f>
        <v/>
      </c>
      <c r="C459" s="9" t="n"/>
      <c r="D459" s="9" t="n"/>
      <c r="E459" s="9" t="n"/>
      <c r="F459" s="9" t="n"/>
      <c r="G459" s="9" t="n"/>
      <c r="H459" s="9" t="n"/>
      <c r="I459" s="9" t="n"/>
      <c r="J459" s="3" t="n"/>
      <c r="K459" s="9" t="n"/>
    </row>
    <row r="460">
      <c r="A460" s="4" t="n"/>
      <c r="B460" s="9">
        <f>IF(A460="","",INT((DAY(A460)-1)/7)+1)</f>
        <v/>
      </c>
      <c r="C460" s="9" t="n"/>
      <c r="D460" s="9" t="n"/>
      <c r="E460" s="9" t="n"/>
      <c r="F460" s="9" t="n"/>
      <c r="G460" s="9" t="n"/>
      <c r="H460" s="9" t="n"/>
      <c r="I460" s="9" t="n"/>
      <c r="J460" s="3" t="n"/>
      <c r="K460" s="9" t="n"/>
    </row>
    <row r="461">
      <c r="A461" s="4" t="n"/>
      <c r="B461" s="9">
        <f>IF(A461="","",INT((DAY(A461)-1)/7)+1)</f>
        <v/>
      </c>
      <c r="C461" s="9" t="n"/>
      <c r="D461" s="9" t="n"/>
      <c r="E461" s="9" t="n"/>
      <c r="F461" s="9" t="n"/>
      <c r="G461" s="9" t="n"/>
      <c r="H461" s="9" t="n"/>
      <c r="I461" s="9" t="n"/>
      <c r="J461" s="3" t="n"/>
      <c r="K461" s="9" t="n"/>
    </row>
    <row r="462">
      <c r="A462" s="4" t="n"/>
      <c r="B462" s="9">
        <f>IF(A462="","",INT((DAY(A462)-1)/7)+1)</f>
        <v/>
      </c>
      <c r="C462" s="9" t="n"/>
      <c r="D462" s="9" t="n"/>
      <c r="E462" s="9" t="n"/>
      <c r="F462" s="9" t="n"/>
      <c r="G462" s="9" t="n"/>
      <c r="H462" s="9" t="n"/>
      <c r="I462" s="9" t="n"/>
      <c r="J462" s="3" t="n"/>
      <c r="K462" s="9" t="n"/>
    </row>
    <row r="463">
      <c r="A463" s="4" t="n"/>
      <c r="B463" s="9">
        <f>IF(A463="","",INT((DAY(A463)-1)/7)+1)</f>
        <v/>
      </c>
      <c r="C463" s="9" t="n"/>
      <c r="D463" s="9" t="n"/>
      <c r="E463" s="9" t="n"/>
      <c r="F463" s="9" t="n"/>
      <c r="G463" s="9" t="n"/>
      <c r="H463" s="9" t="n"/>
      <c r="I463" s="9" t="n"/>
      <c r="J463" s="3" t="n"/>
      <c r="K463" s="9" t="n"/>
    </row>
    <row r="464">
      <c r="A464" s="4" t="n"/>
      <c r="B464" s="9">
        <f>IF(A464="","",INT((DAY(A464)-1)/7)+1)</f>
        <v/>
      </c>
      <c r="C464" s="9" t="n"/>
      <c r="D464" s="9" t="n"/>
      <c r="E464" s="9" t="n"/>
      <c r="F464" s="9" t="n"/>
      <c r="G464" s="9" t="n"/>
      <c r="H464" s="9" t="n"/>
      <c r="I464" s="9" t="n"/>
      <c r="J464" s="3" t="n"/>
      <c r="K464" s="9" t="n"/>
    </row>
    <row r="465">
      <c r="A465" s="4" t="n"/>
      <c r="B465" s="9">
        <f>IF(A465="","",INT((DAY(A465)-1)/7)+1)</f>
        <v/>
      </c>
      <c r="C465" s="9" t="n"/>
      <c r="D465" s="9" t="n"/>
      <c r="E465" s="9" t="n"/>
      <c r="F465" s="9" t="n"/>
      <c r="G465" s="9" t="n"/>
      <c r="H465" s="9" t="n"/>
      <c r="I465" s="9" t="n"/>
      <c r="J465" s="3" t="n"/>
      <c r="K465" s="9" t="n"/>
    </row>
    <row r="466">
      <c r="A466" s="4" t="n"/>
      <c r="B466" s="9">
        <f>IF(A466="","",INT((DAY(A466)-1)/7)+1)</f>
        <v/>
      </c>
      <c r="C466" s="9" t="n"/>
      <c r="D466" s="9" t="n"/>
      <c r="E466" s="9" t="n"/>
      <c r="F466" s="9" t="n"/>
      <c r="G466" s="9" t="n"/>
      <c r="H466" s="9" t="n"/>
      <c r="I466" s="9" t="n"/>
      <c r="J466" s="3" t="n"/>
      <c r="K466" s="9" t="n"/>
    </row>
    <row r="467">
      <c r="A467" s="4" t="n"/>
      <c r="B467" s="9">
        <f>IF(A467="","",INT((DAY(A467)-1)/7)+1)</f>
        <v/>
      </c>
      <c r="C467" s="9" t="n"/>
      <c r="D467" s="9" t="n"/>
      <c r="E467" s="9" t="n"/>
      <c r="F467" s="9" t="n"/>
      <c r="G467" s="9" t="n"/>
      <c r="H467" s="9" t="n"/>
      <c r="I467" s="9" t="n"/>
      <c r="J467" s="3" t="n"/>
      <c r="K467" s="9" t="n"/>
    </row>
    <row r="468">
      <c r="A468" s="4" t="n"/>
      <c r="B468" s="9">
        <f>IF(A468="","",INT((DAY(A468)-1)/7)+1)</f>
        <v/>
      </c>
      <c r="C468" s="9" t="n"/>
      <c r="D468" s="9" t="n"/>
      <c r="E468" s="9" t="n"/>
      <c r="F468" s="9" t="n"/>
      <c r="G468" s="9" t="n"/>
      <c r="H468" s="9" t="n"/>
      <c r="I468" s="9" t="n"/>
      <c r="J468" s="3" t="n"/>
      <c r="K468" s="9" t="n"/>
    </row>
    <row r="469">
      <c r="A469" s="4" t="n"/>
      <c r="B469" s="9">
        <f>IF(A469="","",INT((DAY(A469)-1)/7)+1)</f>
        <v/>
      </c>
      <c r="C469" s="9" t="n"/>
      <c r="D469" s="9" t="n"/>
      <c r="E469" s="9" t="n"/>
      <c r="F469" s="9" t="n"/>
      <c r="G469" s="9" t="n"/>
      <c r="H469" s="9" t="n"/>
      <c r="I469" s="9" t="n"/>
      <c r="J469" s="3" t="n"/>
      <c r="K469" s="9" t="n"/>
    </row>
    <row r="470">
      <c r="A470" s="4" t="n"/>
      <c r="B470" s="9">
        <f>IF(A470="","",INT((DAY(A470)-1)/7)+1)</f>
        <v/>
      </c>
      <c r="C470" s="9" t="n"/>
      <c r="D470" s="9" t="n"/>
      <c r="E470" s="9" t="n"/>
      <c r="F470" s="9" t="n"/>
      <c r="G470" s="9" t="n"/>
      <c r="H470" s="9" t="n"/>
      <c r="I470" s="9" t="n"/>
      <c r="J470" s="3" t="n"/>
      <c r="K470" s="9" t="n"/>
    </row>
    <row r="471">
      <c r="A471" s="4" t="n"/>
      <c r="B471" s="9">
        <f>IF(A471="","",INT((DAY(A471)-1)/7)+1)</f>
        <v/>
      </c>
      <c r="C471" s="9" t="n"/>
      <c r="D471" s="9" t="n"/>
      <c r="E471" s="9" t="n"/>
      <c r="F471" s="9" t="n"/>
      <c r="G471" s="9" t="n"/>
      <c r="H471" s="9" t="n"/>
      <c r="I471" s="9" t="n"/>
      <c r="J471" s="3" t="n"/>
      <c r="K471" s="9" t="n"/>
    </row>
    <row r="472">
      <c r="A472" s="4" t="n"/>
      <c r="B472" s="9">
        <f>IF(A472="","",INT((DAY(A472)-1)/7)+1)</f>
        <v/>
      </c>
      <c r="C472" s="9" t="n"/>
      <c r="D472" s="9" t="n"/>
      <c r="E472" s="9" t="n"/>
      <c r="F472" s="9" t="n"/>
      <c r="G472" s="9" t="n"/>
      <c r="H472" s="9" t="n"/>
      <c r="I472" s="9" t="n"/>
      <c r="J472" s="3" t="n"/>
      <c r="K472" s="9" t="n"/>
    </row>
    <row r="473">
      <c r="A473" s="4" t="n"/>
      <c r="B473" s="9">
        <f>IF(A473="","",INT((DAY(A473)-1)/7)+1)</f>
        <v/>
      </c>
      <c r="C473" s="9" t="n"/>
      <c r="D473" s="9" t="n"/>
      <c r="E473" s="9" t="n"/>
      <c r="F473" s="9" t="n"/>
      <c r="G473" s="9" t="n"/>
      <c r="H473" s="9" t="n"/>
      <c r="I473" s="9" t="n"/>
      <c r="J473" s="3" t="n"/>
      <c r="K473" s="9" t="n"/>
    </row>
    <row r="474">
      <c r="A474" s="4" t="n"/>
      <c r="B474" s="9">
        <f>IF(A474="","",INT((DAY(A474)-1)/7)+1)</f>
        <v/>
      </c>
      <c r="C474" s="9" t="n"/>
      <c r="D474" s="9" t="n"/>
      <c r="E474" s="9" t="n"/>
      <c r="F474" s="9" t="n"/>
      <c r="G474" s="9" t="n"/>
      <c r="H474" s="9" t="n"/>
      <c r="I474" s="9" t="n"/>
      <c r="J474" s="3" t="n"/>
      <c r="K474" s="9" t="n"/>
    </row>
    <row r="475">
      <c r="A475" s="4" t="n"/>
      <c r="B475" s="9">
        <f>IF(A475="","",INT((DAY(A475)-1)/7)+1)</f>
        <v/>
      </c>
      <c r="C475" s="9" t="n"/>
      <c r="D475" s="9" t="n"/>
      <c r="E475" s="9" t="n"/>
      <c r="F475" s="9" t="n"/>
      <c r="G475" s="9" t="n"/>
      <c r="H475" s="9" t="n"/>
      <c r="I475" s="9" t="n"/>
      <c r="J475" s="3" t="n"/>
      <c r="K475" s="9" t="n"/>
    </row>
    <row r="476">
      <c r="A476" s="4" t="n"/>
      <c r="B476" s="9">
        <f>IF(A476="","",INT((DAY(A476)-1)/7)+1)</f>
        <v/>
      </c>
      <c r="C476" s="9" t="n"/>
      <c r="D476" s="9" t="n"/>
      <c r="E476" s="9" t="n"/>
      <c r="F476" s="9" t="n"/>
      <c r="G476" s="9" t="n"/>
      <c r="H476" s="9" t="n"/>
      <c r="I476" s="9" t="n"/>
      <c r="J476" s="3" t="n"/>
      <c r="K476" s="9" t="n"/>
    </row>
    <row r="477">
      <c r="A477" s="4" t="n"/>
      <c r="B477" s="9">
        <f>IF(A477="","",INT((DAY(A477)-1)/7)+1)</f>
        <v/>
      </c>
      <c r="C477" s="9" t="n"/>
      <c r="D477" s="9" t="n"/>
      <c r="E477" s="9" t="n"/>
      <c r="F477" s="9" t="n"/>
      <c r="G477" s="9" t="n"/>
      <c r="H477" s="9" t="n"/>
      <c r="I477" s="9" t="n"/>
      <c r="J477" s="3" t="n"/>
      <c r="K477" s="9" t="n"/>
    </row>
    <row r="478">
      <c r="A478" s="4" t="n"/>
      <c r="B478" s="9">
        <f>IF(A478="","",INT((DAY(A478)-1)/7)+1)</f>
        <v/>
      </c>
      <c r="C478" s="9" t="n"/>
      <c r="D478" s="9" t="n"/>
      <c r="E478" s="9" t="n"/>
      <c r="F478" s="9" t="n"/>
      <c r="G478" s="9" t="n"/>
      <c r="H478" s="9" t="n"/>
      <c r="I478" s="9" t="n"/>
      <c r="J478" s="3" t="n"/>
      <c r="K478" s="9" t="n"/>
    </row>
    <row r="479">
      <c r="A479" s="4" t="n"/>
      <c r="B479" s="9">
        <f>IF(A479="","",INT((DAY(A479)-1)/7)+1)</f>
        <v/>
      </c>
      <c r="C479" s="9" t="n"/>
      <c r="D479" s="9" t="n"/>
      <c r="E479" s="9" t="n"/>
      <c r="F479" s="9" t="n"/>
      <c r="G479" s="9" t="n"/>
      <c r="H479" s="9" t="n"/>
      <c r="I479" s="9" t="n"/>
      <c r="J479" s="3" t="n"/>
      <c r="K479" s="9" t="n"/>
    </row>
    <row r="480">
      <c r="A480" s="4" t="n"/>
      <c r="B480" s="9">
        <f>IF(A480="","",INT((DAY(A480)-1)/7)+1)</f>
        <v/>
      </c>
      <c r="C480" s="9" t="n"/>
      <c r="D480" s="9" t="n"/>
      <c r="E480" s="9" t="n"/>
      <c r="F480" s="9" t="n"/>
      <c r="G480" s="9" t="n"/>
      <c r="H480" s="9" t="n"/>
      <c r="I480" s="9" t="n"/>
      <c r="J480" s="3" t="n"/>
      <c r="K480" s="9" t="n"/>
    </row>
    <row r="481">
      <c r="A481" s="4" t="n"/>
      <c r="B481" s="9">
        <f>IF(A481="","",INT((DAY(A481)-1)/7)+1)</f>
        <v/>
      </c>
      <c r="C481" s="9" t="n"/>
      <c r="D481" s="9" t="n"/>
      <c r="E481" s="9" t="n"/>
      <c r="F481" s="9" t="n"/>
      <c r="G481" s="9" t="n"/>
      <c r="H481" s="9" t="n"/>
      <c r="I481" s="9" t="n"/>
      <c r="J481" s="3" t="n"/>
      <c r="K481" s="9" t="n"/>
    </row>
    <row r="482">
      <c r="A482" s="4" t="n"/>
      <c r="B482" s="9">
        <f>IF(A482="","",INT((DAY(A482)-1)/7)+1)</f>
        <v/>
      </c>
      <c r="C482" s="9" t="n"/>
      <c r="D482" s="9" t="n"/>
      <c r="E482" s="9" t="n"/>
      <c r="F482" s="9" t="n"/>
      <c r="G482" s="9" t="n"/>
      <c r="H482" s="9" t="n"/>
      <c r="I482" s="9" t="n"/>
      <c r="J482" s="3" t="n"/>
      <c r="K482" s="9" t="n"/>
    </row>
    <row r="483">
      <c r="A483" s="4" t="n"/>
      <c r="B483" s="9">
        <f>IF(A483="","",INT((DAY(A483)-1)/7)+1)</f>
        <v/>
      </c>
      <c r="C483" s="9" t="n"/>
      <c r="D483" s="9" t="n"/>
      <c r="E483" s="9" t="n"/>
      <c r="F483" s="9" t="n"/>
      <c r="G483" s="9" t="n"/>
      <c r="H483" s="9" t="n"/>
      <c r="I483" s="9" t="n"/>
      <c r="J483" s="3" t="n"/>
      <c r="K483" s="9" t="n"/>
    </row>
    <row r="484">
      <c r="A484" s="4" t="n"/>
      <c r="B484" s="9">
        <f>IF(A484="","",INT((DAY(A484)-1)/7)+1)</f>
        <v/>
      </c>
      <c r="C484" s="9" t="n"/>
      <c r="D484" s="9" t="n"/>
      <c r="E484" s="9" t="n"/>
      <c r="F484" s="9" t="n"/>
      <c r="G484" s="9" t="n"/>
      <c r="H484" s="9" t="n"/>
      <c r="I484" s="9" t="n"/>
      <c r="J484" s="3" t="n"/>
      <c r="K484" s="9" t="n"/>
    </row>
    <row r="485">
      <c r="A485" s="4" t="n"/>
      <c r="B485" s="9">
        <f>IF(A485="","",INT((DAY(A485)-1)/7)+1)</f>
        <v/>
      </c>
      <c r="C485" s="9" t="n"/>
      <c r="D485" s="9" t="n"/>
      <c r="E485" s="9" t="n"/>
      <c r="F485" s="9" t="n"/>
      <c r="G485" s="9" t="n"/>
      <c r="H485" s="9" t="n"/>
      <c r="I485" s="9" t="n"/>
      <c r="J485" s="3" t="n"/>
      <c r="K485" s="9" t="n"/>
    </row>
    <row r="486">
      <c r="A486" s="4" t="n"/>
      <c r="B486" s="9">
        <f>IF(A486="","",INT((DAY(A486)-1)/7)+1)</f>
        <v/>
      </c>
      <c r="C486" s="9" t="n"/>
      <c r="D486" s="9" t="n"/>
      <c r="E486" s="9" t="n"/>
      <c r="F486" s="9" t="n"/>
      <c r="G486" s="9" t="n"/>
      <c r="H486" s="9" t="n"/>
      <c r="I486" s="9" t="n"/>
      <c r="J486" s="3" t="n"/>
      <c r="K486" s="9" t="n"/>
    </row>
    <row r="487">
      <c r="A487" s="4" t="n"/>
      <c r="B487" s="9">
        <f>IF(A487="","",INT((DAY(A487)-1)/7)+1)</f>
        <v/>
      </c>
      <c r="C487" s="9" t="n"/>
      <c r="D487" s="9" t="n"/>
      <c r="E487" s="9" t="n"/>
      <c r="F487" s="9" t="n"/>
      <c r="G487" s="9" t="n"/>
      <c r="H487" s="9" t="n"/>
      <c r="I487" s="9" t="n"/>
      <c r="J487" s="3" t="n"/>
      <c r="K487" s="9" t="n"/>
    </row>
    <row r="488">
      <c r="A488" s="4" t="n"/>
      <c r="B488" s="9">
        <f>IF(A488="","",INT((DAY(A488)-1)/7)+1)</f>
        <v/>
      </c>
      <c r="C488" s="9" t="n"/>
      <c r="D488" s="9" t="n"/>
      <c r="E488" s="9" t="n"/>
      <c r="F488" s="9" t="n"/>
      <c r="G488" s="9" t="n"/>
      <c r="H488" s="9" t="n"/>
      <c r="I488" s="9" t="n"/>
      <c r="J488" s="3" t="n"/>
      <c r="K488" s="9" t="n"/>
    </row>
    <row r="489">
      <c r="A489" s="4" t="n"/>
      <c r="B489" s="9">
        <f>IF(A489="","",INT((DAY(A489)-1)/7)+1)</f>
        <v/>
      </c>
      <c r="C489" s="9" t="n"/>
      <c r="D489" s="9" t="n"/>
      <c r="E489" s="9" t="n"/>
      <c r="F489" s="9" t="n"/>
      <c r="G489" s="9" t="n"/>
      <c r="H489" s="9" t="n"/>
      <c r="I489" s="9" t="n"/>
      <c r="J489" s="3" t="n"/>
      <c r="K489" s="9" t="n"/>
    </row>
    <row r="490">
      <c r="A490" s="4" t="n"/>
      <c r="B490" s="9">
        <f>IF(A490="","",INT((DAY(A490)-1)/7)+1)</f>
        <v/>
      </c>
      <c r="C490" s="9" t="n"/>
      <c r="D490" s="9" t="n"/>
      <c r="E490" s="9" t="n"/>
      <c r="F490" s="9" t="n"/>
      <c r="G490" s="9" t="n"/>
      <c r="H490" s="9" t="n"/>
      <c r="I490" s="9" t="n"/>
      <c r="J490" s="3" t="n"/>
      <c r="K490" s="9" t="n"/>
    </row>
    <row r="491">
      <c r="A491" s="4" t="n"/>
      <c r="B491" s="9">
        <f>IF(A491="","",INT((DAY(A491)-1)/7)+1)</f>
        <v/>
      </c>
      <c r="C491" s="9" t="n"/>
      <c r="D491" s="9" t="n"/>
      <c r="E491" s="9" t="n"/>
      <c r="F491" s="9" t="n"/>
      <c r="G491" s="9" t="n"/>
      <c r="H491" s="9" t="n"/>
      <c r="I491" s="9" t="n"/>
      <c r="J491" s="3" t="n"/>
      <c r="K491" s="9" t="n"/>
    </row>
    <row r="492">
      <c r="A492" s="4" t="n"/>
      <c r="B492" s="9">
        <f>IF(A492="","",INT((DAY(A492)-1)/7)+1)</f>
        <v/>
      </c>
      <c r="C492" s="9" t="n"/>
      <c r="D492" s="9" t="n"/>
      <c r="E492" s="9" t="n"/>
      <c r="F492" s="9" t="n"/>
      <c r="G492" s="9" t="n"/>
      <c r="H492" s="9" t="n"/>
      <c r="I492" s="9" t="n"/>
      <c r="J492" s="3" t="n"/>
      <c r="K492" s="9" t="n"/>
    </row>
    <row r="493">
      <c r="A493" s="4" t="n"/>
      <c r="B493" s="9">
        <f>IF(A493="","",INT((DAY(A493)-1)/7)+1)</f>
        <v/>
      </c>
      <c r="C493" s="9" t="n"/>
      <c r="D493" s="9" t="n"/>
      <c r="E493" s="9" t="n"/>
      <c r="F493" s="9" t="n"/>
      <c r="G493" s="9" t="n"/>
      <c r="H493" s="9" t="n"/>
      <c r="I493" s="9" t="n"/>
      <c r="J493" s="3" t="n"/>
      <c r="K493" s="9" t="n"/>
    </row>
    <row r="494">
      <c r="A494" s="4" t="n"/>
      <c r="B494" s="9">
        <f>IF(A494="","",INT((DAY(A494)-1)/7)+1)</f>
        <v/>
      </c>
      <c r="C494" s="9" t="n"/>
      <c r="D494" s="9" t="n"/>
      <c r="E494" s="9" t="n"/>
      <c r="F494" s="9" t="n"/>
      <c r="G494" s="9" t="n"/>
      <c r="H494" s="9" t="n"/>
      <c r="I494" s="9" t="n"/>
      <c r="J494" s="3" t="n"/>
      <c r="K494" s="9" t="n"/>
    </row>
    <row r="495">
      <c r="A495" s="4" t="n"/>
      <c r="B495" s="9">
        <f>IF(A495="","",INT((DAY(A495)-1)/7)+1)</f>
        <v/>
      </c>
      <c r="C495" s="9" t="n"/>
      <c r="D495" s="9" t="n"/>
      <c r="E495" s="9" t="n"/>
      <c r="F495" s="9" t="n"/>
      <c r="G495" s="9" t="n"/>
      <c r="H495" s="9" t="n"/>
      <c r="I495" s="9" t="n"/>
      <c r="J495" s="3" t="n"/>
      <c r="K495" s="9" t="n"/>
    </row>
    <row r="496">
      <c r="A496" s="4" t="n"/>
      <c r="B496" s="9">
        <f>IF(A496="","",INT((DAY(A496)-1)/7)+1)</f>
        <v/>
      </c>
      <c r="C496" s="9" t="n"/>
      <c r="D496" s="9" t="n"/>
      <c r="E496" s="9" t="n"/>
      <c r="F496" s="9" t="n"/>
      <c r="G496" s="9" t="n"/>
      <c r="H496" s="9" t="n"/>
      <c r="I496" s="9" t="n"/>
      <c r="J496" s="3" t="n"/>
      <c r="K496" s="9" t="n"/>
    </row>
    <row r="497">
      <c r="A497" s="4" t="n"/>
      <c r="B497" s="9">
        <f>IF(A497="","",INT((DAY(A497)-1)/7)+1)</f>
        <v/>
      </c>
      <c r="C497" s="9" t="n"/>
      <c r="D497" s="9" t="n"/>
      <c r="E497" s="9" t="n"/>
      <c r="F497" s="9" t="n"/>
      <c r="G497" s="9" t="n"/>
      <c r="H497" s="9" t="n"/>
      <c r="I497" s="9" t="n"/>
      <c r="J497" s="3" t="n"/>
      <c r="K497" s="9" t="n"/>
    </row>
    <row r="498">
      <c r="A498" s="4" t="n"/>
      <c r="B498" s="9">
        <f>IF(A498="","",INT((DAY(A498)-1)/7)+1)</f>
        <v/>
      </c>
      <c r="C498" s="9" t="n"/>
      <c r="D498" s="9" t="n"/>
      <c r="E498" s="9" t="n"/>
      <c r="F498" s="9" t="n"/>
      <c r="G498" s="9" t="n"/>
      <c r="H498" s="9" t="n"/>
      <c r="I498" s="9" t="n"/>
      <c r="J498" s="3" t="n"/>
      <c r="K498" s="9" t="n"/>
    </row>
    <row r="499">
      <c r="A499" s="4" t="n"/>
      <c r="B499" s="9">
        <f>IF(A499="","",INT((DAY(A499)-1)/7)+1)</f>
        <v/>
      </c>
      <c r="C499" s="9" t="n"/>
      <c r="D499" s="9" t="n"/>
      <c r="E499" s="9" t="n"/>
      <c r="F499" s="9" t="n"/>
      <c r="G499" s="9" t="n"/>
      <c r="H499" s="9" t="n"/>
      <c r="I499" s="9" t="n"/>
      <c r="J499" s="3" t="n"/>
      <c r="K499" s="9" t="n"/>
    </row>
    <row r="500">
      <c r="A500" s="4" t="n"/>
      <c r="B500" s="9">
        <f>IF(A500="","",INT((DAY(A500)-1)/7)+1)</f>
        <v/>
      </c>
      <c r="C500" s="9" t="n"/>
      <c r="D500" s="9" t="n"/>
      <c r="E500" s="9" t="n"/>
      <c r="F500" s="9" t="n"/>
      <c r="G500" s="9" t="n"/>
      <c r="H500" s="9" t="n"/>
      <c r="I500" s="9" t="n"/>
      <c r="J500" s="3" t="n"/>
      <c r="K500" s="9" t="n"/>
    </row>
    <row r="501">
      <c r="A501" s="4" t="n"/>
      <c r="B501" s="9">
        <f>IF(A501="","",INT((DAY(A501)-1)/7)+1)</f>
        <v/>
      </c>
      <c r="C501" s="9" t="n"/>
      <c r="D501" s="9" t="n"/>
      <c r="E501" s="9" t="n"/>
      <c r="F501" s="9" t="n"/>
      <c r="G501" s="9" t="n"/>
      <c r="H501" s="9" t="n"/>
      <c r="I501" s="9" t="n"/>
      <c r="J501" s="3" t="n"/>
      <c r="K501" s="9" t="n"/>
    </row>
    <row r="502">
      <c r="A502" s="4" t="n"/>
      <c r="B502" s="9">
        <f>IF(A502="","",INT((DAY(A502)-1)/7)+1)</f>
        <v/>
      </c>
      <c r="C502" s="9" t="n"/>
      <c r="D502" s="9" t="n"/>
      <c r="E502" s="9" t="n"/>
      <c r="F502" s="9" t="n"/>
      <c r="G502" s="9" t="n"/>
      <c r="H502" s="9" t="n"/>
      <c r="I502" s="9" t="n"/>
      <c r="J502" s="3" t="n"/>
      <c r="K502" s="9" t="n"/>
    </row>
    <row r="503">
      <c r="A503" s="4" t="n"/>
      <c r="B503" s="9">
        <f>IF(A503="","",INT((DAY(A503)-1)/7)+1)</f>
        <v/>
      </c>
      <c r="C503" s="9" t="n"/>
      <c r="D503" s="9" t="n"/>
      <c r="E503" s="9" t="n"/>
      <c r="F503" s="9" t="n"/>
      <c r="G503" s="9" t="n"/>
      <c r="H503" s="9" t="n"/>
      <c r="I503" s="9" t="n"/>
      <c r="J503" s="3" t="n"/>
      <c r="K503" s="9" t="n"/>
    </row>
    <row r="504">
      <c r="A504" s="4" t="n"/>
      <c r="B504" s="9">
        <f>IF(A504="","",INT((DAY(A504)-1)/7)+1)</f>
        <v/>
      </c>
      <c r="C504" s="9" t="n"/>
      <c r="D504" s="9" t="n"/>
      <c r="E504" s="9" t="n"/>
      <c r="F504" s="9" t="n"/>
      <c r="G504" s="9" t="n"/>
      <c r="H504" s="9" t="n"/>
      <c r="I504" s="9" t="n"/>
      <c r="J504" s="3" t="n"/>
      <c r="K504" s="9" t="n"/>
    </row>
    <row r="505">
      <c r="A505" s="4" t="n"/>
      <c r="B505" s="9">
        <f>IF(A505="","",INT((DAY(A505)-1)/7)+1)</f>
        <v/>
      </c>
      <c r="C505" s="9" t="n"/>
      <c r="D505" s="9" t="n"/>
      <c r="E505" s="9" t="n"/>
      <c r="F505" s="9" t="n"/>
      <c r="G505" s="9" t="n"/>
      <c r="H505" s="9" t="n"/>
      <c r="I505" s="9" t="n"/>
      <c r="J505" s="3" t="n"/>
      <c r="K505" s="9" t="n"/>
    </row>
    <row r="506">
      <c r="A506" s="4" t="n"/>
      <c r="B506" s="9">
        <f>IF(A506="","",INT((DAY(A506)-1)/7)+1)</f>
        <v/>
      </c>
      <c r="C506" s="9" t="n"/>
      <c r="D506" s="9" t="n"/>
      <c r="E506" s="9" t="n"/>
      <c r="F506" s="9" t="n"/>
      <c r="G506" s="9" t="n"/>
      <c r="H506" s="9" t="n"/>
      <c r="I506" s="9" t="n"/>
      <c r="J506" s="3" t="n"/>
      <c r="K506" s="9" t="n"/>
    </row>
    <row r="507">
      <c r="A507" s="4" t="n"/>
      <c r="B507" s="9">
        <f>IF(A507="","",INT((DAY(A507)-1)/7)+1)</f>
        <v/>
      </c>
      <c r="C507" s="9" t="n"/>
      <c r="D507" s="9" t="n"/>
      <c r="E507" s="9" t="n"/>
      <c r="F507" s="9" t="n"/>
      <c r="G507" s="9" t="n"/>
      <c r="H507" s="9" t="n"/>
      <c r="I507" s="9" t="n"/>
      <c r="J507" s="3" t="n"/>
      <c r="K507" s="9" t="n"/>
    </row>
    <row r="508">
      <c r="A508" s="4" t="n"/>
      <c r="B508" s="9">
        <f>IF(A508="","",INT((DAY(A508)-1)/7)+1)</f>
        <v/>
      </c>
      <c r="C508" s="9" t="n"/>
      <c r="D508" s="9" t="n"/>
      <c r="E508" s="9" t="n"/>
      <c r="F508" s="9" t="n"/>
      <c r="G508" s="9" t="n"/>
      <c r="H508" s="9" t="n"/>
      <c r="I508" s="9" t="n"/>
      <c r="J508" s="3" t="n"/>
      <c r="K508" s="9" t="n"/>
    </row>
    <row r="509">
      <c r="A509" s="4" t="n"/>
      <c r="B509" s="9">
        <f>IF(A509="","",INT((DAY(A509)-1)/7)+1)</f>
        <v/>
      </c>
      <c r="C509" s="9" t="n"/>
      <c r="D509" s="9" t="n"/>
      <c r="E509" s="9" t="n"/>
      <c r="F509" s="9" t="n"/>
      <c r="G509" s="9" t="n"/>
      <c r="H509" s="9" t="n"/>
      <c r="I509" s="9" t="n"/>
      <c r="J509" s="3" t="n"/>
      <c r="K509" s="9" t="n"/>
    </row>
    <row r="510">
      <c r="A510" s="4" t="n"/>
      <c r="B510" s="9">
        <f>IF(A510="","",INT((DAY(A510)-1)/7)+1)</f>
        <v/>
      </c>
      <c r="C510" s="9" t="n"/>
      <c r="D510" s="9" t="n"/>
      <c r="E510" s="9" t="n"/>
      <c r="F510" s="9" t="n"/>
      <c r="G510" s="9" t="n"/>
      <c r="H510" s="9" t="n"/>
      <c r="I510" s="9" t="n"/>
      <c r="J510" s="3" t="n"/>
      <c r="K510" s="9" t="n"/>
    </row>
    <row r="511">
      <c r="A511" s="4" t="n"/>
      <c r="B511" s="9">
        <f>IF(A511="","",INT((DAY(A511)-1)/7)+1)</f>
        <v/>
      </c>
      <c r="C511" s="9" t="n"/>
      <c r="D511" s="9" t="n"/>
      <c r="E511" s="9" t="n"/>
      <c r="F511" s="9" t="n"/>
      <c r="G511" s="9" t="n"/>
      <c r="H511" s="9" t="n"/>
      <c r="I511" s="9" t="n"/>
      <c r="J511" s="3" t="n"/>
      <c r="K511" s="9" t="n"/>
    </row>
    <row r="512">
      <c r="A512" s="4" t="n"/>
      <c r="B512" s="9">
        <f>IF(A512="","",INT((DAY(A512)-1)/7)+1)</f>
        <v/>
      </c>
      <c r="C512" s="9" t="n"/>
      <c r="D512" s="9" t="n"/>
      <c r="E512" s="9" t="n"/>
      <c r="F512" s="9" t="n"/>
      <c r="G512" s="9" t="n"/>
      <c r="H512" s="9" t="n"/>
      <c r="I512" s="9" t="n"/>
      <c r="J512" s="3" t="n"/>
      <c r="K512" s="9" t="n"/>
    </row>
    <row r="513">
      <c r="A513" s="4" t="n"/>
      <c r="B513" s="9">
        <f>IF(A513="","",INT((DAY(A513)-1)/7)+1)</f>
        <v/>
      </c>
      <c r="C513" s="9" t="n"/>
      <c r="D513" s="9" t="n"/>
      <c r="E513" s="9" t="n"/>
      <c r="F513" s="9" t="n"/>
      <c r="G513" s="9" t="n"/>
      <c r="H513" s="9" t="n"/>
      <c r="I513" s="9" t="n"/>
      <c r="J513" s="3" t="n"/>
      <c r="K513" s="9" t="n"/>
    </row>
    <row r="514">
      <c r="A514" s="4" t="n"/>
      <c r="B514" s="9">
        <f>IF(A514="","",INT((DAY(A514)-1)/7)+1)</f>
        <v/>
      </c>
      <c r="C514" s="9" t="n"/>
      <c r="D514" s="9" t="n"/>
      <c r="E514" s="9" t="n"/>
      <c r="F514" s="9" t="n"/>
      <c r="G514" s="9" t="n"/>
      <c r="H514" s="9" t="n"/>
      <c r="I514" s="9" t="n"/>
      <c r="J514" s="3" t="n"/>
      <c r="K514" s="9" t="n"/>
    </row>
    <row r="515">
      <c r="A515" s="4" t="n"/>
      <c r="B515" s="9">
        <f>IF(A515="","",INT((DAY(A515)-1)/7)+1)</f>
        <v/>
      </c>
      <c r="C515" s="9" t="n"/>
      <c r="D515" s="9" t="n"/>
      <c r="E515" s="9" t="n"/>
      <c r="F515" s="9" t="n"/>
      <c r="G515" s="9" t="n"/>
      <c r="H515" s="9" t="n"/>
      <c r="I515" s="9" t="n"/>
      <c r="J515" s="3" t="n"/>
      <c r="K515" s="9" t="n"/>
    </row>
    <row r="516">
      <c r="A516" s="4" t="n"/>
      <c r="B516" s="9">
        <f>IF(A516="","",INT((DAY(A516)-1)/7)+1)</f>
        <v/>
      </c>
      <c r="C516" s="9" t="n"/>
      <c r="D516" s="9" t="n"/>
      <c r="E516" s="9" t="n"/>
      <c r="F516" s="9" t="n"/>
      <c r="G516" s="9" t="n"/>
      <c r="H516" s="9" t="n"/>
      <c r="I516" s="9" t="n"/>
      <c r="J516" s="3" t="n"/>
      <c r="K516" s="9" t="n"/>
    </row>
    <row r="517">
      <c r="A517" s="4" t="n"/>
      <c r="B517" s="9">
        <f>IF(A517="","",INT((DAY(A517)-1)/7)+1)</f>
        <v/>
      </c>
      <c r="C517" s="9" t="n"/>
      <c r="D517" s="9" t="n"/>
      <c r="E517" s="9" t="n"/>
      <c r="F517" s="9" t="n"/>
      <c r="G517" s="9" t="n"/>
      <c r="H517" s="9" t="n"/>
      <c r="I517" s="9" t="n"/>
      <c r="J517" s="3" t="n"/>
      <c r="K517" s="9" t="n"/>
    </row>
    <row r="518">
      <c r="A518" s="4" t="n"/>
      <c r="B518" s="9">
        <f>IF(A518="","",INT((DAY(A518)-1)/7)+1)</f>
        <v/>
      </c>
      <c r="C518" s="9" t="n"/>
      <c r="D518" s="9" t="n"/>
      <c r="E518" s="9" t="n"/>
      <c r="F518" s="9" t="n"/>
      <c r="G518" s="9" t="n"/>
      <c r="H518" s="9" t="n"/>
      <c r="I518" s="9" t="n"/>
      <c r="J518" s="3" t="n"/>
      <c r="K518" s="9" t="n"/>
    </row>
    <row r="519">
      <c r="A519" s="4" t="n"/>
      <c r="B519" s="9">
        <f>IF(A519="","",INT((DAY(A519)-1)/7)+1)</f>
        <v/>
      </c>
      <c r="C519" s="9" t="n"/>
      <c r="D519" s="9" t="n"/>
      <c r="E519" s="9" t="n"/>
      <c r="F519" s="9" t="n"/>
      <c r="G519" s="9" t="n"/>
      <c r="H519" s="9" t="n"/>
      <c r="I519" s="9" t="n"/>
      <c r="J519" s="3" t="n"/>
      <c r="K519" s="9" t="n"/>
    </row>
    <row r="520">
      <c r="A520" s="4" t="n"/>
      <c r="B520" s="9">
        <f>IF(A520="","",INT((DAY(A520)-1)/7)+1)</f>
        <v/>
      </c>
      <c r="C520" s="9" t="n"/>
      <c r="D520" s="9" t="n"/>
      <c r="E520" s="9" t="n"/>
      <c r="F520" s="9" t="n"/>
      <c r="G520" s="9" t="n"/>
      <c r="H520" s="9" t="n"/>
      <c r="I520" s="9" t="n"/>
      <c r="J520" s="3" t="n"/>
      <c r="K520" s="9" t="n"/>
    </row>
    <row r="521">
      <c r="A521" s="4" t="n"/>
      <c r="B521" s="9">
        <f>IF(A521="","",INT((DAY(A521)-1)/7)+1)</f>
        <v/>
      </c>
      <c r="C521" s="9" t="n"/>
      <c r="D521" s="9" t="n"/>
      <c r="E521" s="9" t="n"/>
      <c r="F521" s="9" t="n"/>
      <c r="G521" s="9" t="n"/>
      <c r="H521" s="9" t="n"/>
      <c r="I521" s="9" t="n"/>
      <c r="J521" s="3" t="n"/>
      <c r="K521" s="9" t="n"/>
    </row>
    <row r="522">
      <c r="A522" s="4" t="n"/>
      <c r="B522" s="9">
        <f>IF(A522="","",INT((DAY(A522)-1)/7)+1)</f>
        <v/>
      </c>
      <c r="C522" s="9" t="n"/>
      <c r="D522" s="9" t="n"/>
      <c r="E522" s="9" t="n"/>
      <c r="F522" s="9" t="n"/>
      <c r="G522" s="9" t="n"/>
      <c r="H522" s="9" t="n"/>
      <c r="I522" s="9" t="n"/>
      <c r="J522" s="3" t="n"/>
      <c r="K522" s="9" t="n"/>
    </row>
    <row r="523">
      <c r="A523" s="4" t="n"/>
      <c r="B523" s="9">
        <f>IF(A523="","",INT((DAY(A523)-1)/7)+1)</f>
        <v/>
      </c>
      <c r="C523" s="9" t="n"/>
      <c r="D523" s="9" t="n"/>
      <c r="E523" s="9" t="n"/>
      <c r="F523" s="9" t="n"/>
      <c r="G523" s="9" t="n"/>
      <c r="H523" s="9" t="n"/>
      <c r="I523" s="9" t="n"/>
      <c r="J523" s="3" t="n"/>
      <c r="K523" s="9" t="n"/>
    </row>
    <row r="524">
      <c r="A524" s="4" t="n"/>
      <c r="B524" s="9">
        <f>IF(A524="","",INT((DAY(A524)-1)/7)+1)</f>
        <v/>
      </c>
      <c r="C524" s="9" t="n"/>
      <c r="D524" s="9" t="n"/>
      <c r="E524" s="9" t="n"/>
      <c r="F524" s="9" t="n"/>
      <c r="G524" s="9" t="n"/>
      <c r="H524" s="9" t="n"/>
      <c r="I524" s="9" t="n"/>
      <c r="J524" s="3" t="n"/>
      <c r="K524" s="9" t="n"/>
    </row>
    <row r="525">
      <c r="A525" s="4" t="n"/>
      <c r="B525" s="9">
        <f>IF(A525="","",INT((DAY(A525)-1)/7)+1)</f>
        <v/>
      </c>
      <c r="C525" s="9" t="n"/>
      <c r="D525" s="9" t="n"/>
      <c r="E525" s="9" t="n"/>
      <c r="F525" s="9" t="n"/>
      <c r="G525" s="9" t="n"/>
      <c r="H525" s="9" t="n"/>
      <c r="I525" s="9" t="n"/>
      <c r="J525" s="3" t="n"/>
      <c r="K525" s="9" t="n"/>
    </row>
    <row r="526">
      <c r="A526" s="4" t="n"/>
      <c r="B526" s="9">
        <f>IF(A526="","",INT((DAY(A526)-1)/7)+1)</f>
        <v/>
      </c>
      <c r="C526" s="9" t="n"/>
      <c r="D526" s="9" t="n"/>
      <c r="E526" s="9" t="n"/>
      <c r="F526" s="9" t="n"/>
      <c r="G526" s="9" t="n"/>
      <c r="H526" s="9" t="n"/>
      <c r="I526" s="9" t="n"/>
      <c r="J526" s="3" t="n"/>
      <c r="K526" s="9" t="n"/>
    </row>
    <row r="527">
      <c r="A527" s="4" t="n"/>
      <c r="B527" s="9">
        <f>IF(A527="","",INT((DAY(A527)-1)/7)+1)</f>
        <v/>
      </c>
      <c r="C527" s="9" t="n"/>
      <c r="D527" s="9" t="n"/>
      <c r="E527" s="9" t="n"/>
      <c r="F527" s="9" t="n"/>
      <c r="G527" s="9" t="n"/>
      <c r="H527" s="9" t="n"/>
      <c r="I527" s="9" t="n"/>
      <c r="J527" s="3" t="n"/>
      <c r="K527" s="9" t="n"/>
    </row>
    <row r="528">
      <c r="A528" s="4" t="n"/>
      <c r="B528" s="9">
        <f>IF(A528="","",INT((DAY(A528)-1)/7)+1)</f>
        <v/>
      </c>
      <c r="C528" s="9" t="n"/>
      <c r="D528" s="9" t="n"/>
      <c r="E528" s="9" t="n"/>
      <c r="F528" s="9" t="n"/>
      <c r="G528" s="9" t="n"/>
      <c r="H528" s="9" t="n"/>
      <c r="I528" s="9" t="n"/>
      <c r="J528" s="3" t="n"/>
      <c r="K528" s="9" t="n"/>
    </row>
  </sheetData>
  <autoFilter ref="A28:K528"/>
  <dataValidations count="4">
    <dataValidation sqref="E29:E528" showDropDown="0" showInputMessage="0" showErrorMessage="1" allowBlank="1" type="list">
      <formula1>=Lists!$A$2:$A$22</formula1>
    </dataValidation>
    <dataValidation sqref="G29:G528" showDropDown="0" showInputMessage="0" showErrorMessage="1" allowBlank="1" type="list">
      <formula1>=Lists!$D$2:$D$8</formula1>
    </dataValidation>
    <dataValidation sqref="H29:H528" showDropDown="0" showInputMessage="0" showErrorMessage="1" allowBlank="1" type="list">
      <formula1>=Lists!$C$2:$C$9</formula1>
    </dataValidation>
    <dataValidation sqref="I29:I528" showDropDown="0" showInputMessage="0" showErrorMessage="1" allowBlank="1" type="list">
      <formula1>=Lists!$B$2:$B$5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28"/>
  <sheetViews>
    <sheetView showGridLines="0" workbookViewId="0">
      <pane xSplit="0" ySplit="28" topLeftCell="A29" activePane="bottomLeft" state="frozen"/>
      <selection pane="bottomLeft" activeCell="A29" sqref="A29"/>
    </sheetView>
  </sheetViews>
  <sheetFormatPr baseColWidth="8" defaultRowHeight="15"/>
  <cols>
    <col width="12" customWidth="1" style="10" min="1" max="1"/>
    <col width="8" customWidth="1" style="10" min="2" max="2"/>
    <col width="22" customWidth="1" style="10" min="3" max="4"/>
    <col width="24" customWidth="1" style="10" min="5" max="5"/>
    <col width="18" customWidth="1" style="10" min="6" max="6"/>
    <col width="18" customWidth="1" style="10" min="7" max="7"/>
    <col width="18" customWidth="1" style="10" min="8" max="9"/>
    <col width="14" customWidth="1" style="10" min="10" max="10"/>
    <col width="30" customWidth="1" style="10" min="11" max="11"/>
  </cols>
  <sheetData>
    <row r="1">
      <c r="A1" s="1" t="inlineStr">
        <is>
          <t>May 2026 Ledger</t>
        </is>
      </c>
    </row>
    <row r="2">
      <c r="A2" s="7" t="inlineStr">
        <is>
          <t>Use positive amounts. Choose Type to classify each transaction.</t>
        </is>
      </c>
    </row>
    <row r="4">
      <c r="A4" s="1" t="inlineStr">
        <is>
          <t>Month Summary</t>
        </is>
      </c>
      <c r="D4" s="1" t="inlineStr">
        <is>
          <t>Category Summary</t>
        </is>
      </c>
      <c r="H4" s="1" t="inlineStr">
        <is>
          <t>Weekly Summary</t>
        </is>
      </c>
    </row>
    <row r="5">
      <c r="A5" s="5" t="inlineStr">
        <is>
          <t>Total Income</t>
        </is>
      </c>
      <c r="B5" s="3">
        <f>SUMIFS($J$29:$J$528,$I$29:$I$528,"Income")</f>
        <v/>
      </c>
      <c r="D5" s="2" t="inlineStr">
        <is>
          <t>Category</t>
        </is>
      </c>
      <c r="E5" s="2" t="inlineStr">
        <is>
          <t>Expenses</t>
        </is>
      </c>
      <c r="F5" s="2" t="inlineStr">
        <is>
          <t>Income</t>
        </is>
      </c>
      <c r="G5" s="2" t="inlineStr">
        <is>
          <t>Existing Savings</t>
        </is>
      </c>
      <c r="H5" s="2" t="inlineStr">
        <is>
          <t>Week</t>
        </is>
      </c>
      <c r="I5" s="2" t="inlineStr">
        <is>
          <t>Expenses</t>
        </is>
      </c>
      <c r="J5" s="2" t="inlineStr">
        <is>
          <t>Income</t>
        </is>
      </c>
      <c r="K5" s="2" t="inlineStr">
        <is>
          <t>Net</t>
        </is>
      </c>
    </row>
    <row r="6">
      <c r="A6" s="5" t="inlineStr">
        <is>
          <t>Total Expenses</t>
        </is>
      </c>
      <c r="B6" s="3">
        <f>SUMIFS($J$29:$J$528,$I$29:$I$528,"Expense")</f>
        <v/>
      </c>
      <c r="D6" s="5" t="inlineStr">
        <is>
          <t>Housing</t>
        </is>
      </c>
      <c r="E6" s="3">
        <f>SUMIFS($J$29:$J$528,$E$29:$E$528,$D6,$I$29:$I$528,"Expense")</f>
        <v/>
      </c>
      <c r="F6" s="3">
        <f>SUMIFS($J$29:$J$528,$E$29:$E$528,$D6,$I$29:$I$528,"Income")</f>
        <v/>
      </c>
      <c r="G6" s="3">
        <f>SUMIFS($J$29:$J$528,$E$29:$E$528,$D6,$I$29:$I$528,"Opening Balance")</f>
        <v/>
      </c>
      <c r="H6" s="5" t="inlineStr">
        <is>
          <t>Week 1</t>
        </is>
      </c>
      <c r="I6" s="3">
        <f>SUMIFS($J$29:$J$528,$B$29:$B$528,1,$I$29:$I$528,"Expense",$F$29:$F$528,"&lt;&gt;Rent")</f>
        <v/>
      </c>
      <c r="J6" s="3">
        <f>SUMIFS($J$29:$J$528,$B$29:$B$528,1,$I$29:$I$528,"Income")</f>
        <v/>
      </c>
      <c r="K6" s="3">
        <f>J6-I6</f>
        <v/>
      </c>
    </row>
    <row r="7">
      <c r="A7" s="5" t="inlineStr">
        <is>
          <t>Existing Savings</t>
        </is>
      </c>
      <c r="B7" s="3">
        <f>SUMIFS($J$29:$J$528,$I$29:$I$528,"Opening Balance")</f>
        <v/>
      </c>
      <c r="D7" s="5" t="inlineStr">
        <is>
          <t>Utilities</t>
        </is>
      </c>
      <c r="E7" s="3">
        <f>SUMIFS($J$29:$J$528,$E$29:$E$528,$D7,$I$29:$I$528,"Expense")</f>
        <v/>
      </c>
      <c r="F7" s="3">
        <f>SUMIFS($J$29:$J$528,$E$29:$E$528,$D7,$I$29:$I$528,"Income")</f>
        <v/>
      </c>
      <c r="G7" s="3">
        <f>SUMIFS($J$29:$J$528,$E$29:$E$528,$D7,$I$29:$I$528,"Opening Balance")</f>
        <v/>
      </c>
      <c r="H7" s="5" t="inlineStr">
        <is>
          <t>Week 2</t>
        </is>
      </c>
      <c r="I7" s="3">
        <f>SUMIFS($J$29:$J$528,$B$29:$B$528,2,$I$29:$I$528,"Expense",$F$29:$F$528,"&lt;&gt;Rent")</f>
        <v/>
      </c>
      <c r="J7" s="3">
        <f>SUMIFS($J$29:$J$528,$B$29:$B$528,2,$I$29:$I$528,"Income")</f>
        <v/>
      </c>
      <c r="K7" s="3">
        <f>J7-I7</f>
        <v/>
      </c>
    </row>
    <row r="8">
      <c r="A8" s="5" t="inlineStr">
        <is>
          <t>Transfers</t>
        </is>
      </c>
      <c r="B8" s="3">
        <f>SUMIFS($J$29:$J$528,$I$29:$I$528,"Transfer")</f>
        <v/>
      </c>
      <c r="D8" s="5" t="inlineStr">
        <is>
          <t>Groceries</t>
        </is>
      </c>
      <c r="E8" s="3">
        <f>SUMIFS($J$29:$J$528,$E$29:$E$528,$D8,$I$29:$I$528,"Expense")</f>
        <v/>
      </c>
      <c r="F8" s="3">
        <f>SUMIFS($J$29:$J$528,$E$29:$E$528,$D8,$I$29:$I$528,"Income")</f>
        <v/>
      </c>
      <c r="G8" s="3">
        <f>SUMIFS($J$29:$J$528,$E$29:$E$528,$D8,$I$29:$I$528,"Opening Balance")</f>
        <v/>
      </c>
      <c r="H8" s="5" t="inlineStr">
        <is>
          <t>Week 3</t>
        </is>
      </c>
      <c r="I8" s="3">
        <f>SUMIFS($J$29:$J$528,$B$29:$B$528,3,$I$29:$I$528,"Expense",$F$29:$F$528,"&lt;&gt;Rent")</f>
        <v/>
      </c>
      <c r="J8" s="3">
        <f>SUMIFS($J$29:$J$528,$B$29:$B$528,3,$I$29:$I$528,"Income")</f>
        <v/>
      </c>
      <c r="K8" s="3">
        <f>J8-I8</f>
        <v/>
      </c>
    </row>
    <row r="9">
      <c r="A9" s="5" t="inlineStr">
        <is>
          <t>Net Cash Flow</t>
        </is>
      </c>
      <c r="B9" s="3">
        <f>B5-B6</f>
        <v/>
      </c>
      <c r="D9" s="5" t="inlineStr">
        <is>
          <t>Dining</t>
        </is>
      </c>
      <c r="E9" s="3">
        <f>SUMIFS($J$29:$J$528,$E$29:$E$528,$D9,$I$29:$I$528,"Expense")</f>
        <v/>
      </c>
      <c r="F9" s="3">
        <f>SUMIFS($J$29:$J$528,$E$29:$E$528,$D9,$I$29:$I$528,"Income")</f>
        <v/>
      </c>
      <c r="G9" s="3">
        <f>SUMIFS($J$29:$J$528,$E$29:$E$528,$D9,$I$29:$I$528,"Opening Balance")</f>
        <v/>
      </c>
      <c r="H9" s="5" t="inlineStr">
        <is>
          <t>Week 4</t>
        </is>
      </c>
      <c r="I9" s="3">
        <f>SUMIFS($J$29:$J$528,$B$29:$B$528,4,$I$29:$I$528,"Expense",$F$29:$F$528,"&lt;&gt;Rent")</f>
        <v/>
      </c>
      <c r="J9" s="3">
        <f>SUMIFS($J$29:$J$528,$B$29:$B$528,4,$I$29:$I$528,"Income")</f>
        <v/>
      </c>
      <c r="K9" s="3">
        <f>J9-I9</f>
        <v/>
      </c>
    </row>
    <row r="10">
      <c r="D10" s="5" t="inlineStr">
        <is>
          <t>Transportation</t>
        </is>
      </c>
      <c r="E10" s="3">
        <f>SUMIFS($J$29:$J$528,$E$29:$E$528,$D10,$I$29:$I$528,"Expense")</f>
        <v/>
      </c>
      <c r="F10" s="3">
        <f>SUMIFS($J$29:$J$528,$E$29:$E$528,$D10,$I$29:$I$528,"Income")</f>
        <v/>
      </c>
      <c r="G10" s="3">
        <f>SUMIFS($J$29:$J$528,$E$29:$E$528,$D10,$I$29:$I$528,"Opening Balance")</f>
        <v/>
      </c>
      <c r="H10" s="5" t="inlineStr">
        <is>
          <t>Week 5</t>
        </is>
      </c>
      <c r="I10" s="3">
        <f>SUMIFS($J$29:$J$528,$B$29:$B$528,5,$I$29:$I$528,"Expense",$F$29:$F$528,"&lt;&gt;Rent")</f>
        <v/>
      </c>
      <c r="J10" s="3">
        <f>SUMIFS($J$29:$J$528,$B$29:$B$528,5,$I$29:$I$528,"Income")</f>
        <v/>
      </c>
      <c r="K10" s="3">
        <f>J10-I10</f>
        <v/>
      </c>
    </row>
    <row r="11">
      <c r="D11" s="5" t="inlineStr">
        <is>
          <t>Health &amp; Medical</t>
        </is>
      </c>
      <c r="E11" s="3">
        <f>SUMIFS($J$29:$J$528,$E$29:$E$528,$D11,$I$29:$I$528,"Expense")</f>
        <v/>
      </c>
      <c r="F11" s="3">
        <f>SUMIFS($J$29:$J$528,$E$29:$E$528,$D11,$I$29:$I$528,"Income")</f>
        <v/>
      </c>
      <c r="G11" s="3">
        <f>SUMIFS($J$29:$J$528,$E$29:$E$528,$D11,$I$29:$I$528,"Opening Balance")</f>
        <v/>
      </c>
    </row>
    <row r="12">
      <c r="D12" s="5" t="inlineStr">
        <is>
          <t>Insurance</t>
        </is>
      </c>
      <c r="E12" s="3">
        <f>SUMIFS($J$29:$J$528,$E$29:$E$528,$D12,$I$29:$I$528,"Expense")</f>
        <v/>
      </c>
      <c r="F12" s="3">
        <f>SUMIFS($J$29:$J$528,$E$29:$E$528,$D12,$I$29:$I$528,"Income")</f>
        <v/>
      </c>
      <c r="G12" s="3">
        <f>SUMIFS($J$29:$J$528,$E$29:$E$528,$D12,$I$29:$I$528,"Opening Balance")</f>
        <v/>
      </c>
    </row>
    <row r="13">
      <c r="D13" s="5" t="inlineStr">
        <is>
          <t>Debt Payments</t>
        </is>
      </c>
      <c r="E13" s="3">
        <f>SUMIFS($J$29:$J$528,$E$29:$E$528,$D13,$I$29:$I$528,"Expense")</f>
        <v/>
      </c>
      <c r="F13" s="3">
        <f>SUMIFS($J$29:$J$528,$E$29:$E$528,$D13,$I$29:$I$528,"Income")</f>
        <v/>
      </c>
      <c r="G13" s="3">
        <f>SUMIFS($J$29:$J$528,$E$29:$E$528,$D13,$I$29:$I$528,"Opening Balance")</f>
        <v/>
      </c>
    </row>
    <row r="14">
      <c r="D14" s="5" t="inlineStr">
        <is>
          <t>Savings &amp; Investments</t>
        </is>
      </c>
      <c r="E14" s="3">
        <f>SUMIFS($J$29:$J$528,$E$29:$E$528,$D14,$I$29:$I$528,"Expense")</f>
        <v/>
      </c>
      <c r="F14" s="3">
        <f>SUMIFS($J$29:$J$528,$E$29:$E$528,$D14,$I$29:$I$528,"Income")</f>
        <v/>
      </c>
      <c r="G14" s="3">
        <f>SUMIFS($J$29:$J$528,$E$29:$E$528,$D14,$I$29:$I$528,"Opening Balance")</f>
        <v/>
      </c>
    </row>
    <row r="15">
      <c r="D15" s="5" t="inlineStr">
        <is>
          <t>Personal Care</t>
        </is>
      </c>
      <c r="E15" s="3">
        <f>SUMIFS($J$29:$J$528,$E$29:$E$528,$D15,$I$29:$I$528,"Expense")</f>
        <v/>
      </c>
      <c r="F15" s="3">
        <f>SUMIFS($J$29:$J$528,$E$29:$E$528,$D15,$I$29:$I$528,"Income")</f>
        <v/>
      </c>
      <c r="G15" s="3">
        <f>SUMIFS($J$29:$J$528,$E$29:$E$528,$D15,$I$29:$I$528,"Opening Balance")</f>
        <v/>
      </c>
    </row>
    <row r="16">
      <c r="D16" s="5" t="inlineStr">
        <is>
          <t>Shopping</t>
        </is>
      </c>
      <c r="E16" s="3">
        <f>SUMIFS($J$29:$J$528,$E$29:$E$528,$D16,$I$29:$I$528,"Expense")</f>
        <v/>
      </c>
      <c r="F16" s="3">
        <f>SUMIFS($J$29:$J$528,$E$29:$E$528,$D16,$I$29:$I$528,"Income")</f>
        <v/>
      </c>
      <c r="G16" s="3">
        <f>SUMIFS($J$29:$J$528,$E$29:$E$528,$D16,$I$29:$I$528,"Opening Balance")</f>
        <v/>
      </c>
    </row>
    <row r="17">
      <c r="D17" s="5" t="inlineStr">
        <is>
          <t>Entertainment</t>
        </is>
      </c>
      <c r="E17" s="3">
        <f>SUMIFS($J$29:$J$528,$E$29:$E$528,$D17,$I$29:$I$528,"Expense")</f>
        <v/>
      </c>
      <c r="F17" s="3">
        <f>SUMIFS($J$29:$J$528,$E$29:$E$528,$D17,$I$29:$I$528,"Income")</f>
        <v/>
      </c>
      <c r="G17" s="3">
        <f>SUMIFS($J$29:$J$528,$E$29:$E$528,$D17,$I$29:$I$528,"Opening Balance")</f>
        <v/>
      </c>
    </row>
    <row r="18">
      <c r="D18" s="5" t="inlineStr">
        <is>
          <t>Travel</t>
        </is>
      </c>
      <c r="E18" s="3">
        <f>SUMIFS($J$29:$J$528,$E$29:$E$528,$D18,$I$29:$I$528,"Expense")</f>
        <v/>
      </c>
      <c r="F18" s="3">
        <f>SUMIFS($J$29:$J$528,$E$29:$E$528,$D18,$I$29:$I$528,"Income")</f>
        <v/>
      </c>
      <c r="G18" s="3">
        <f>SUMIFS($J$29:$J$528,$E$29:$E$528,$D18,$I$29:$I$528,"Opening Balance")</f>
        <v/>
      </c>
    </row>
    <row r="19">
      <c r="D19" s="5" t="inlineStr">
        <is>
          <t>Education</t>
        </is>
      </c>
      <c r="E19" s="3">
        <f>SUMIFS($J$29:$J$528,$E$29:$E$528,$D19,$I$29:$I$528,"Expense")</f>
        <v/>
      </c>
      <c r="F19" s="3">
        <f>SUMIFS($J$29:$J$528,$E$29:$E$528,$D19,$I$29:$I$528,"Income")</f>
        <v/>
      </c>
      <c r="G19" s="3">
        <f>SUMIFS($J$29:$J$528,$E$29:$E$528,$D19,$I$29:$I$528,"Opening Balance")</f>
        <v/>
      </c>
    </row>
    <row r="20">
      <c r="D20" s="5" t="inlineStr">
        <is>
          <t>Gifts &amp; Donations</t>
        </is>
      </c>
      <c r="E20" s="3">
        <f>SUMIFS($J$29:$J$528,$E$29:$E$528,$D20,$I$29:$I$528,"Expense")</f>
        <v/>
      </c>
      <c r="F20" s="3">
        <f>SUMIFS($J$29:$J$528,$E$29:$E$528,$D20,$I$29:$I$528,"Income")</f>
        <v/>
      </c>
      <c r="G20" s="3">
        <f>SUMIFS($J$29:$J$528,$E$29:$E$528,$D20,$I$29:$I$528,"Opening Balance")</f>
        <v/>
      </c>
    </row>
    <row r="21">
      <c r="D21" s="5" t="inlineStr">
        <is>
          <t>Taxes</t>
        </is>
      </c>
      <c r="E21" s="3">
        <f>SUMIFS($J$29:$J$528,$E$29:$E$528,$D21,$I$29:$I$528,"Expense")</f>
        <v/>
      </c>
      <c r="F21" s="3">
        <f>SUMIFS($J$29:$J$528,$E$29:$E$528,$D21,$I$29:$I$528,"Income")</f>
        <v/>
      </c>
      <c r="G21" s="3">
        <f>SUMIFS($J$29:$J$528,$E$29:$E$528,$D21,$I$29:$I$528,"Opening Balance")</f>
        <v/>
      </c>
    </row>
    <row r="22">
      <c r="D22" s="5" t="inlineStr">
        <is>
          <t>Shipping</t>
        </is>
      </c>
      <c r="E22" s="3">
        <f>SUMIFS($J$29:$J$528,$E$29:$E$528,$D22,$I$29:$I$528,"Expense")</f>
        <v/>
      </c>
      <c r="F22" s="3">
        <f>SUMIFS($J$29:$J$528,$E$29:$E$528,$D22,$I$29:$I$528,"Income")</f>
        <v/>
      </c>
      <c r="G22" s="3">
        <f>SUMIFS($J$29:$J$528,$E$29:$E$528,$D22,$I$29:$I$528,"Opening Balance")</f>
        <v/>
      </c>
    </row>
    <row r="23">
      <c r="D23" s="5" t="inlineStr">
        <is>
          <t>Income</t>
        </is>
      </c>
      <c r="E23" s="3">
        <f>SUMIFS($J$29:$J$528,$E$29:$E$528,$D23,$I$29:$I$528,"Expense")</f>
        <v/>
      </c>
      <c r="F23" s="3">
        <f>SUMIFS($J$29:$J$528,$E$29:$E$528,$D23,$I$29:$I$528,"Income")</f>
        <v/>
      </c>
      <c r="G23" s="3">
        <f>SUMIFS($J$29:$J$528,$E$29:$E$528,$D23,$I$29:$I$528,"Opening Balance")</f>
        <v/>
      </c>
    </row>
    <row r="24">
      <c r="D24" s="5" t="inlineStr">
        <is>
          <t>Transfers</t>
        </is>
      </c>
      <c r="E24" s="3">
        <f>SUMIFS($J$29:$J$528,$E$29:$E$528,$D24,$I$29:$I$528,"Expense")</f>
        <v/>
      </c>
      <c r="F24" s="3">
        <f>SUMIFS($J$29:$J$528,$E$29:$E$528,$D24,$I$29:$I$528,"Income")</f>
        <v/>
      </c>
      <c r="G24" s="3">
        <f>SUMIFS($J$29:$J$528,$E$29:$E$528,$D24,$I$29:$I$528,"Opening Balance")</f>
        <v/>
      </c>
    </row>
    <row r="25">
      <c r="D25" s="5" t="inlineStr">
        <is>
          <t>Existing Savings</t>
        </is>
      </c>
      <c r="E25" s="3">
        <f>SUMIFS($J$29:$J$528,$E$29:$E$528,$D25,$I$29:$I$528,"Expense")</f>
        <v/>
      </c>
      <c r="F25" s="3">
        <f>SUMIFS($J$29:$J$528,$E$29:$E$528,$D25,$I$29:$I$528,"Income")</f>
        <v/>
      </c>
      <c r="G25" s="3">
        <f>SUMIFS($J$29:$J$528,$E$29:$E$528,$D25,$I$29:$I$528,"Opening Balance")</f>
        <v/>
      </c>
    </row>
    <row r="26">
      <c r="D26" s="5" t="inlineStr">
        <is>
          <t>Essentials</t>
        </is>
      </c>
      <c r="E26" s="3">
        <f>SUMIFS($J$29:$J$528,$E$29:$E$528,$D26,$I$29:$I$528,"Expense")</f>
        <v/>
      </c>
      <c r="F26" s="3">
        <f>SUMIFS($J$29:$J$528,$E$29:$E$528,$D26,$I$29:$I$528,"Income")</f>
        <v/>
      </c>
      <c r="G26" s="3">
        <f>SUMIFS($J$29:$J$528,$E$29:$E$528,$D26,$I$29:$I$528,"Opening Balance")</f>
        <v/>
      </c>
    </row>
    <row r="27">
      <c r="A27" s="1" t="inlineStr">
        <is>
          <t>Transactions</t>
        </is>
      </c>
    </row>
    <row r="28">
      <c r="A28" s="2" t="inlineStr">
        <is>
          <t>Date</t>
        </is>
      </c>
      <c r="B28" s="2" t="inlineStr">
        <is>
          <t>Week</t>
        </is>
      </c>
      <c r="C28" s="2" t="inlineStr">
        <is>
          <t>Description</t>
        </is>
      </c>
      <c r="D28" s="2" t="inlineStr">
        <is>
          <t>Merchant</t>
        </is>
      </c>
      <c r="E28" s="2" t="inlineStr">
        <is>
          <t>Category</t>
        </is>
      </c>
      <c r="F28" s="2" t="inlineStr">
        <is>
          <t>Subcategory</t>
        </is>
      </c>
      <c r="G28" s="2" t="inlineStr">
        <is>
          <t>Account</t>
        </is>
      </c>
      <c r="H28" s="2" t="inlineStr">
        <is>
          <t>Payment Method</t>
        </is>
      </c>
      <c r="I28" s="2" t="inlineStr">
        <is>
          <t>Type</t>
        </is>
      </c>
      <c r="J28" s="2" t="inlineStr">
        <is>
          <t>Amount</t>
        </is>
      </c>
      <c r="K28" s="2" t="inlineStr">
        <is>
          <t>Notes</t>
        </is>
      </c>
    </row>
    <row r="29">
      <c r="A29" s="4" t="n"/>
      <c r="B29" s="9">
        <f>IF(A29="","",INT((DAY(A29)-1)/7)+1)</f>
        <v/>
      </c>
      <c r="C29" s="9" t="n"/>
      <c r="D29" s="9" t="n"/>
      <c r="E29" s="9" t="n"/>
      <c r="F29" s="9" t="n"/>
      <c r="G29" s="9" t="n"/>
      <c r="H29" s="9" t="n"/>
      <c r="I29" s="9" t="n"/>
      <c r="J29" s="3" t="n"/>
      <c r="K29" s="9" t="n"/>
    </row>
    <row r="30">
      <c r="A30" s="4" t="n"/>
      <c r="B30" s="9">
        <f>IF(A30="","",INT((DAY(A30)-1)/7)+1)</f>
        <v/>
      </c>
      <c r="C30" s="9" t="n"/>
      <c r="D30" s="9" t="n"/>
      <c r="E30" s="9" t="n"/>
      <c r="F30" s="9" t="n"/>
      <c r="G30" s="9" t="n"/>
      <c r="H30" s="9" t="n"/>
      <c r="I30" s="9" t="n"/>
      <c r="J30" s="3" t="n"/>
      <c r="K30" s="9" t="n"/>
    </row>
    <row r="31">
      <c r="A31" s="4" t="n"/>
      <c r="B31" s="9">
        <f>IF(A31="","",INT((DAY(A31)-1)/7)+1)</f>
        <v/>
      </c>
      <c r="C31" s="9" t="n"/>
      <c r="D31" s="9" t="n"/>
      <c r="E31" s="9" t="n"/>
      <c r="F31" s="9" t="n"/>
      <c r="G31" s="9" t="n"/>
      <c r="H31" s="9" t="n"/>
      <c r="I31" s="9" t="n"/>
      <c r="J31" s="3" t="n"/>
      <c r="K31" s="9" t="n"/>
    </row>
    <row r="32">
      <c r="A32" s="4" t="n"/>
      <c r="B32" s="9">
        <f>IF(A32="","",INT((DAY(A32)-1)/7)+1)</f>
        <v/>
      </c>
      <c r="C32" s="9" t="n"/>
      <c r="D32" s="9" t="n"/>
      <c r="E32" s="9" t="n"/>
      <c r="F32" s="9" t="n"/>
      <c r="G32" s="9" t="n"/>
      <c r="H32" s="9" t="n"/>
      <c r="I32" s="9" t="n"/>
      <c r="J32" s="3" t="n"/>
      <c r="K32" s="9" t="n"/>
    </row>
    <row r="33">
      <c r="A33" s="4" t="n"/>
      <c r="B33" s="9">
        <f>IF(A33="","",INT((DAY(A33)-1)/7)+1)</f>
        <v/>
      </c>
      <c r="C33" s="9" t="n"/>
      <c r="D33" s="9" t="n"/>
      <c r="E33" s="9" t="n"/>
      <c r="F33" s="9" t="n"/>
      <c r="G33" s="9" t="n"/>
      <c r="H33" s="9" t="n"/>
      <c r="I33" s="9" t="n"/>
      <c r="J33" s="3" t="n"/>
      <c r="K33" s="9" t="n"/>
    </row>
    <row r="34">
      <c r="A34" s="4" t="n"/>
      <c r="B34" s="9">
        <f>IF(A34="","",INT((DAY(A34)-1)/7)+1)</f>
        <v/>
      </c>
      <c r="C34" s="9" t="n"/>
      <c r="D34" s="9" t="n"/>
      <c r="E34" s="9" t="n"/>
      <c r="F34" s="9" t="n"/>
      <c r="G34" s="9" t="n"/>
      <c r="H34" s="9" t="n"/>
      <c r="I34" s="9" t="n"/>
      <c r="J34" s="3" t="n"/>
      <c r="K34" s="9" t="n"/>
    </row>
    <row r="35">
      <c r="A35" s="4" t="n"/>
      <c r="B35" s="9">
        <f>IF(A35="","",INT((DAY(A35)-1)/7)+1)</f>
        <v/>
      </c>
      <c r="C35" s="9" t="n"/>
      <c r="D35" s="9" t="n"/>
      <c r="E35" s="9" t="n"/>
      <c r="F35" s="9" t="n"/>
      <c r="G35" s="9" t="n"/>
      <c r="H35" s="9" t="n"/>
      <c r="I35" s="9" t="n"/>
      <c r="J35" s="3" t="n"/>
      <c r="K35" s="9" t="n"/>
    </row>
    <row r="36">
      <c r="A36" s="4" t="n"/>
      <c r="B36" s="9">
        <f>IF(A36="","",INT((DAY(A36)-1)/7)+1)</f>
        <v/>
      </c>
      <c r="C36" s="9" t="n"/>
      <c r="D36" s="9" t="n"/>
      <c r="E36" s="9" t="n"/>
      <c r="F36" s="9" t="n"/>
      <c r="G36" s="9" t="n"/>
      <c r="H36" s="9" t="n"/>
      <c r="I36" s="9" t="n"/>
      <c r="J36" s="3" t="n"/>
      <c r="K36" s="9" t="n"/>
    </row>
    <row r="37">
      <c r="A37" s="4" t="n"/>
      <c r="B37" s="9">
        <f>IF(A37="","",INT((DAY(A37)-1)/7)+1)</f>
        <v/>
      </c>
      <c r="C37" s="9" t="n"/>
      <c r="D37" s="9" t="n"/>
      <c r="E37" s="9" t="n"/>
      <c r="F37" s="9" t="n"/>
      <c r="G37" s="9" t="n"/>
      <c r="H37" s="9" t="n"/>
      <c r="I37" s="9" t="n"/>
      <c r="J37" s="3" t="n"/>
      <c r="K37" s="9" t="n"/>
    </row>
    <row r="38">
      <c r="A38" s="4" t="n"/>
      <c r="B38" s="9">
        <f>IF(A38="","",INT((DAY(A38)-1)/7)+1)</f>
        <v/>
      </c>
      <c r="C38" s="9" t="n"/>
      <c r="D38" s="9" t="n"/>
      <c r="E38" s="9" t="n"/>
      <c r="F38" s="9" t="n"/>
      <c r="G38" s="9" t="n"/>
      <c r="H38" s="9" t="n"/>
      <c r="I38" s="9" t="n"/>
      <c r="J38" s="3" t="n"/>
      <c r="K38" s="9" t="n"/>
    </row>
    <row r="39">
      <c r="A39" s="4" t="n"/>
      <c r="B39" s="9">
        <f>IF(A39="","",INT((DAY(A39)-1)/7)+1)</f>
        <v/>
      </c>
      <c r="C39" s="9" t="n"/>
      <c r="D39" s="9" t="n"/>
      <c r="E39" s="9" t="n"/>
      <c r="F39" s="9" t="n"/>
      <c r="G39" s="9" t="n"/>
      <c r="H39" s="9" t="n"/>
      <c r="I39" s="9" t="n"/>
      <c r="J39" s="3" t="n"/>
      <c r="K39" s="9" t="n"/>
    </row>
    <row r="40">
      <c r="A40" s="4" t="n"/>
      <c r="B40" s="9">
        <f>IF(A40="","",INT((DAY(A40)-1)/7)+1)</f>
        <v/>
      </c>
      <c r="C40" s="9" t="n"/>
      <c r="D40" s="9" t="n"/>
      <c r="E40" s="9" t="n"/>
      <c r="F40" s="9" t="n"/>
      <c r="G40" s="9" t="n"/>
      <c r="H40" s="9" t="n"/>
      <c r="I40" s="9" t="n"/>
      <c r="J40" s="3" t="n"/>
      <c r="K40" s="9" t="n"/>
    </row>
    <row r="41">
      <c r="A41" s="4" t="n"/>
      <c r="B41" s="9">
        <f>IF(A41="","",INT((DAY(A41)-1)/7)+1)</f>
        <v/>
      </c>
      <c r="C41" s="9" t="n"/>
      <c r="D41" s="9" t="n"/>
      <c r="E41" s="9" t="n"/>
      <c r="F41" s="9" t="n"/>
      <c r="G41" s="9" t="n"/>
      <c r="H41" s="9" t="n"/>
      <c r="I41" s="9" t="n"/>
      <c r="J41" s="3" t="n"/>
      <c r="K41" s="9" t="n"/>
    </row>
    <row r="42">
      <c r="A42" s="4" t="n"/>
      <c r="B42" s="9">
        <f>IF(A42="","",INT((DAY(A42)-1)/7)+1)</f>
        <v/>
      </c>
      <c r="C42" s="9" t="n"/>
      <c r="D42" s="9" t="n"/>
      <c r="E42" s="9" t="n"/>
      <c r="F42" s="9" t="n"/>
      <c r="G42" s="9" t="n"/>
      <c r="H42" s="9" t="n"/>
      <c r="I42" s="9" t="n"/>
      <c r="J42" s="3" t="n"/>
      <c r="K42" s="9" t="n"/>
    </row>
    <row r="43">
      <c r="A43" s="4" t="n"/>
      <c r="B43" s="9">
        <f>IF(A43="","",INT((DAY(A43)-1)/7)+1)</f>
        <v/>
      </c>
      <c r="C43" s="9" t="n"/>
      <c r="D43" s="9" t="n"/>
      <c r="E43" s="9" t="n"/>
      <c r="F43" s="9" t="n"/>
      <c r="G43" s="9" t="n"/>
      <c r="H43" s="9" t="n"/>
      <c r="I43" s="9" t="n"/>
      <c r="J43" s="3" t="n"/>
      <c r="K43" s="9" t="n"/>
    </row>
    <row r="44">
      <c r="A44" s="4" t="n"/>
      <c r="B44" s="9">
        <f>IF(A44="","",INT((DAY(A44)-1)/7)+1)</f>
        <v/>
      </c>
      <c r="C44" s="9" t="n"/>
      <c r="D44" s="9" t="n"/>
      <c r="E44" s="9" t="n"/>
      <c r="F44" s="9" t="n"/>
      <c r="G44" s="9" t="n"/>
      <c r="H44" s="9" t="n"/>
      <c r="I44" s="9" t="n"/>
      <c r="J44" s="3" t="n"/>
      <c r="K44" s="9" t="n"/>
    </row>
    <row r="45">
      <c r="A45" s="4" t="n"/>
      <c r="B45" s="9">
        <f>IF(A45="","",INT((DAY(A45)-1)/7)+1)</f>
        <v/>
      </c>
      <c r="C45" s="9" t="n"/>
      <c r="D45" s="9" t="n"/>
      <c r="E45" s="9" t="n"/>
      <c r="F45" s="9" t="n"/>
      <c r="G45" s="9" t="n"/>
      <c r="H45" s="9" t="n"/>
      <c r="I45" s="9" t="n"/>
      <c r="J45" s="3" t="n"/>
      <c r="K45" s="9" t="n"/>
    </row>
    <row r="46">
      <c r="A46" s="4" t="n"/>
      <c r="B46" s="9">
        <f>IF(A46="","",INT((DAY(A46)-1)/7)+1)</f>
        <v/>
      </c>
      <c r="C46" s="9" t="n"/>
      <c r="D46" s="9" t="n"/>
      <c r="E46" s="9" t="n"/>
      <c r="F46" s="9" t="n"/>
      <c r="G46" s="9" t="n"/>
      <c r="H46" s="9" t="n"/>
      <c r="I46" s="9" t="n"/>
      <c r="J46" s="3" t="n"/>
      <c r="K46" s="9" t="n"/>
    </row>
    <row r="47">
      <c r="A47" s="4" t="n"/>
      <c r="B47" s="9">
        <f>IF(A47="","",INT((DAY(A47)-1)/7)+1)</f>
        <v/>
      </c>
      <c r="C47" s="9" t="n"/>
      <c r="D47" s="9" t="n"/>
      <c r="E47" s="9" t="n"/>
      <c r="F47" s="9" t="n"/>
      <c r="G47" s="9" t="n"/>
      <c r="H47" s="9" t="n"/>
      <c r="I47" s="9" t="n"/>
      <c r="J47" s="3" t="n"/>
      <c r="K47" s="9" t="n"/>
    </row>
    <row r="48">
      <c r="A48" s="4" t="n"/>
      <c r="B48" s="9">
        <f>IF(A48="","",INT((DAY(A48)-1)/7)+1)</f>
        <v/>
      </c>
      <c r="C48" s="9" t="n"/>
      <c r="D48" s="9" t="n"/>
      <c r="E48" s="9" t="n"/>
      <c r="F48" s="9" t="n"/>
      <c r="G48" s="9" t="n"/>
      <c r="H48" s="9" t="n"/>
      <c r="I48" s="9" t="n"/>
      <c r="J48" s="3" t="n"/>
      <c r="K48" s="9" t="n"/>
    </row>
    <row r="49">
      <c r="A49" s="4" t="n"/>
      <c r="B49" s="9">
        <f>IF(A49="","",INT((DAY(A49)-1)/7)+1)</f>
        <v/>
      </c>
      <c r="C49" s="9" t="n"/>
      <c r="D49" s="9" t="n"/>
      <c r="E49" s="9" t="n"/>
      <c r="F49" s="9" t="n"/>
      <c r="G49" s="9" t="n"/>
      <c r="H49" s="9" t="n"/>
      <c r="I49" s="9" t="n"/>
      <c r="J49" s="3" t="n"/>
      <c r="K49" s="9" t="n"/>
    </row>
    <row r="50">
      <c r="A50" s="4" t="n"/>
      <c r="B50" s="9">
        <f>IF(A50="","",INT((DAY(A50)-1)/7)+1)</f>
        <v/>
      </c>
      <c r="C50" s="9" t="n"/>
      <c r="D50" s="9" t="n"/>
      <c r="E50" s="9" t="n"/>
      <c r="F50" s="9" t="n"/>
      <c r="G50" s="9" t="n"/>
      <c r="H50" s="9" t="n"/>
      <c r="I50" s="9" t="n"/>
      <c r="J50" s="3" t="n"/>
      <c r="K50" s="9" t="n"/>
    </row>
    <row r="51">
      <c r="A51" s="4" t="n"/>
      <c r="B51" s="9">
        <f>IF(A51="","",INT((DAY(A51)-1)/7)+1)</f>
        <v/>
      </c>
      <c r="C51" s="9" t="n"/>
      <c r="D51" s="9" t="n"/>
      <c r="E51" s="9" t="n"/>
      <c r="F51" s="9" t="n"/>
      <c r="G51" s="9" t="n"/>
      <c r="H51" s="9" t="n"/>
      <c r="I51" s="9" t="n"/>
      <c r="J51" s="3" t="n"/>
      <c r="K51" s="9" t="n"/>
    </row>
    <row r="52">
      <c r="A52" s="4" t="n"/>
      <c r="B52" s="9">
        <f>IF(A52="","",INT((DAY(A52)-1)/7)+1)</f>
        <v/>
      </c>
      <c r="C52" s="9" t="n"/>
      <c r="D52" s="9" t="n"/>
      <c r="E52" s="9" t="n"/>
      <c r="F52" s="9" t="n"/>
      <c r="G52" s="9" t="n"/>
      <c r="H52" s="9" t="n"/>
      <c r="I52" s="9" t="n"/>
      <c r="J52" s="3" t="n"/>
      <c r="K52" s="9" t="n"/>
    </row>
    <row r="53">
      <c r="A53" s="4" t="n"/>
      <c r="B53" s="9">
        <f>IF(A53="","",INT((DAY(A53)-1)/7)+1)</f>
        <v/>
      </c>
      <c r="C53" s="9" t="n"/>
      <c r="D53" s="9" t="n"/>
      <c r="E53" s="9" t="n"/>
      <c r="F53" s="9" t="n"/>
      <c r="G53" s="9" t="n"/>
      <c r="H53" s="9" t="n"/>
      <c r="I53" s="9" t="n"/>
      <c r="J53" s="3" t="n"/>
      <c r="K53" s="9" t="n"/>
    </row>
    <row r="54">
      <c r="A54" s="4" t="n"/>
      <c r="B54" s="9">
        <f>IF(A54="","",INT((DAY(A54)-1)/7)+1)</f>
        <v/>
      </c>
      <c r="C54" s="9" t="n"/>
      <c r="D54" s="9" t="n"/>
      <c r="E54" s="9" t="n"/>
      <c r="F54" s="9" t="n"/>
      <c r="G54" s="9" t="n"/>
      <c r="H54" s="9" t="n"/>
      <c r="I54" s="9" t="n"/>
      <c r="J54" s="3" t="n"/>
      <c r="K54" s="9" t="n"/>
    </row>
    <row r="55">
      <c r="A55" s="4" t="n"/>
      <c r="B55" s="9">
        <f>IF(A55="","",INT((DAY(A55)-1)/7)+1)</f>
        <v/>
      </c>
      <c r="C55" s="9" t="n"/>
      <c r="D55" s="9" t="n"/>
      <c r="E55" s="9" t="n"/>
      <c r="F55" s="9" t="n"/>
      <c r="G55" s="9" t="n"/>
      <c r="H55" s="9" t="n"/>
      <c r="I55" s="9" t="n"/>
      <c r="J55" s="3" t="n"/>
      <c r="K55" s="9" t="n"/>
    </row>
    <row r="56">
      <c r="A56" s="4" t="n"/>
      <c r="B56" s="9">
        <f>IF(A56="","",INT((DAY(A56)-1)/7)+1)</f>
        <v/>
      </c>
      <c r="C56" s="9" t="n"/>
      <c r="D56" s="9" t="n"/>
      <c r="E56" s="9" t="n"/>
      <c r="F56" s="9" t="n"/>
      <c r="G56" s="9" t="n"/>
      <c r="H56" s="9" t="n"/>
      <c r="I56" s="9" t="n"/>
      <c r="J56" s="3" t="n"/>
      <c r="K56" s="9" t="n"/>
    </row>
    <row r="57">
      <c r="A57" s="4" t="n"/>
      <c r="B57" s="9">
        <f>IF(A57="","",INT((DAY(A57)-1)/7)+1)</f>
        <v/>
      </c>
      <c r="C57" s="9" t="n"/>
      <c r="D57" s="9" t="n"/>
      <c r="E57" s="9" t="n"/>
      <c r="F57" s="9" t="n"/>
      <c r="G57" s="9" t="n"/>
      <c r="H57" s="9" t="n"/>
      <c r="I57" s="9" t="n"/>
      <c r="J57" s="3" t="n"/>
      <c r="K57" s="9" t="n"/>
    </row>
    <row r="58">
      <c r="A58" s="4" t="n"/>
      <c r="B58" s="9">
        <f>IF(A58="","",INT((DAY(A58)-1)/7)+1)</f>
        <v/>
      </c>
      <c r="C58" s="9" t="n"/>
      <c r="D58" s="9" t="n"/>
      <c r="E58" s="9" t="n"/>
      <c r="F58" s="9" t="n"/>
      <c r="G58" s="9" t="n"/>
      <c r="H58" s="9" t="n"/>
      <c r="I58" s="9" t="n"/>
      <c r="J58" s="3" t="n"/>
      <c r="K58" s="9" t="n"/>
    </row>
    <row r="59">
      <c r="A59" s="4" t="n"/>
      <c r="B59" s="9">
        <f>IF(A59="","",INT((DAY(A59)-1)/7)+1)</f>
        <v/>
      </c>
      <c r="C59" s="9" t="n"/>
      <c r="D59" s="9" t="n"/>
      <c r="E59" s="9" t="n"/>
      <c r="F59" s="9" t="n"/>
      <c r="G59" s="9" t="n"/>
      <c r="H59" s="9" t="n"/>
      <c r="I59" s="9" t="n"/>
      <c r="J59" s="3" t="n"/>
      <c r="K59" s="9" t="n"/>
    </row>
    <row r="60">
      <c r="A60" s="4" t="n"/>
      <c r="B60" s="9">
        <f>IF(A60="","",INT((DAY(A60)-1)/7)+1)</f>
        <v/>
      </c>
      <c r="C60" s="9" t="n"/>
      <c r="D60" s="9" t="n"/>
      <c r="E60" s="9" t="n"/>
      <c r="F60" s="9" t="n"/>
      <c r="G60" s="9" t="n"/>
      <c r="H60" s="9" t="n"/>
      <c r="I60" s="9" t="n"/>
      <c r="J60" s="3" t="n"/>
      <c r="K60" s="9" t="n"/>
    </row>
    <row r="61">
      <c r="A61" s="4" t="n"/>
      <c r="B61" s="9">
        <f>IF(A61="","",INT((DAY(A61)-1)/7)+1)</f>
        <v/>
      </c>
      <c r="C61" s="9" t="n"/>
      <c r="D61" s="9" t="n"/>
      <c r="E61" s="9" t="n"/>
      <c r="F61" s="9" t="n"/>
      <c r="G61" s="9" t="n"/>
      <c r="H61" s="9" t="n"/>
      <c r="I61" s="9" t="n"/>
      <c r="J61" s="3" t="n"/>
      <c r="K61" s="9" t="n"/>
    </row>
    <row r="62">
      <c r="A62" s="4" t="n"/>
      <c r="B62" s="9">
        <f>IF(A62="","",INT((DAY(A62)-1)/7)+1)</f>
        <v/>
      </c>
      <c r="C62" s="9" t="n"/>
      <c r="D62" s="9" t="n"/>
      <c r="E62" s="9" t="n"/>
      <c r="F62" s="9" t="n"/>
      <c r="G62" s="9" t="n"/>
      <c r="H62" s="9" t="n"/>
      <c r="I62" s="9" t="n"/>
      <c r="J62" s="3" t="n"/>
      <c r="K62" s="9" t="n"/>
    </row>
    <row r="63">
      <c r="A63" s="4" t="n"/>
      <c r="B63" s="9">
        <f>IF(A63="","",INT((DAY(A63)-1)/7)+1)</f>
        <v/>
      </c>
      <c r="C63" s="9" t="n"/>
      <c r="D63" s="9" t="n"/>
      <c r="E63" s="9" t="n"/>
      <c r="F63" s="9" t="n"/>
      <c r="G63" s="9" t="n"/>
      <c r="H63" s="9" t="n"/>
      <c r="I63" s="9" t="n"/>
      <c r="J63" s="3" t="n"/>
      <c r="K63" s="9" t="n"/>
    </row>
    <row r="64">
      <c r="A64" s="4" t="n"/>
      <c r="B64" s="9">
        <f>IF(A64="","",INT((DAY(A64)-1)/7)+1)</f>
        <v/>
      </c>
      <c r="C64" s="9" t="n"/>
      <c r="D64" s="9" t="n"/>
      <c r="E64" s="9" t="n"/>
      <c r="F64" s="9" t="n"/>
      <c r="G64" s="9" t="n"/>
      <c r="H64" s="9" t="n"/>
      <c r="I64" s="9" t="n"/>
      <c r="J64" s="3" t="n"/>
      <c r="K64" s="9" t="n"/>
    </row>
    <row r="65">
      <c r="A65" s="4" t="n"/>
      <c r="B65" s="9">
        <f>IF(A65="","",INT((DAY(A65)-1)/7)+1)</f>
        <v/>
      </c>
      <c r="C65" s="9" t="n"/>
      <c r="D65" s="9" t="n"/>
      <c r="E65" s="9" t="n"/>
      <c r="F65" s="9" t="n"/>
      <c r="G65" s="9" t="n"/>
      <c r="H65" s="9" t="n"/>
      <c r="I65" s="9" t="n"/>
      <c r="J65" s="3" t="n"/>
      <c r="K65" s="9" t="n"/>
    </row>
    <row r="66">
      <c r="A66" s="4" t="n"/>
      <c r="B66" s="9">
        <f>IF(A66="","",INT((DAY(A66)-1)/7)+1)</f>
        <v/>
      </c>
      <c r="C66" s="9" t="n"/>
      <c r="D66" s="9" t="n"/>
      <c r="E66" s="9" t="n"/>
      <c r="F66" s="9" t="n"/>
      <c r="G66" s="9" t="n"/>
      <c r="H66" s="9" t="n"/>
      <c r="I66" s="9" t="n"/>
      <c r="J66" s="3" t="n"/>
      <c r="K66" s="9" t="n"/>
    </row>
    <row r="67">
      <c r="A67" s="4" t="n"/>
      <c r="B67" s="9">
        <f>IF(A67="","",INT((DAY(A67)-1)/7)+1)</f>
        <v/>
      </c>
      <c r="C67" s="9" t="n"/>
      <c r="D67" s="9" t="n"/>
      <c r="E67" s="9" t="n"/>
      <c r="F67" s="9" t="n"/>
      <c r="G67" s="9" t="n"/>
      <c r="H67" s="9" t="n"/>
      <c r="I67" s="9" t="n"/>
      <c r="J67" s="3" t="n"/>
      <c r="K67" s="9" t="n"/>
    </row>
    <row r="68">
      <c r="A68" s="4" t="n"/>
      <c r="B68" s="9">
        <f>IF(A68="","",INT((DAY(A68)-1)/7)+1)</f>
        <v/>
      </c>
      <c r="C68" s="9" t="n"/>
      <c r="D68" s="9" t="n"/>
      <c r="E68" s="9" t="n"/>
      <c r="F68" s="9" t="n"/>
      <c r="G68" s="9" t="n"/>
      <c r="H68" s="9" t="n"/>
      <c r="I68" s="9" t="n"/>
      <c r="J68" s="3" t="n"/>
      <c r="K68" s="9" t="n"/>
    </row>
    <row r="69">
      <c r="A69" s="4" t="n"/>
      <c r="B69" s="9">
        <f>IF(A69="","",INT((DAY(A69)-1)/7)+1)</f>
        <v/>
      </c>
      <c r="C69" s="9" t="n"/>
      <c r="D69" s="9" t="n"/>
      <c r="E69" s="9" t="n"/>
      <c r="F69" s="9" t="n"/>
      <c r="G69" s="9" t="n"/>
      <c r="H69" s="9" t="n"/>
      <c r="I69" s="9" t="n"/>
      <c r="J69" s="3" t="n"/>
      <c r="K69" s="9" t="n"/>
    </row>
    <row r="70">
      <c r="A70" s="4" t="n"/>
      <c r="B70" s="9">
        <f>IF(A70="","",INT((DAY(A70)-1)/7)+1)</f>
        <v/>
      </c>
      <c r="C70" s="9" t="n"/>
      <c r="D70" s="9" t="n"/>
      <c r="E70" s="9" t="n"/>
      <c r="F70" s="9" t="n"/>
      <c r="G70" s="9" t="n"/>
      <c r="H70" s="9" t="n"/>
      <c r="I70" s="9" t="n"/>
      <c r="J70" s="3" t="n"/>
      <c r="K70" s="9" t="n"/>
    </row>
    <row r="71">
      <c r="A71" s="4" t="n"/>
      <c r="B71" s="9">
        <f>IF(A71="","",INT((DAY(A71)-1)/7)+1)</f>
        <v/>
      </c>
      <c r="C71" s="9" t="n"/>
      <c r="D71" s="9" t="n"/>
      <c r="E71" s="9" t="n"/>
      <c r="F71" s="9" t="n"/>
      <c r="G71" s="9" t="n"/>
      <c r="H71" s="9" t="n"/>
      <c r="I71" s="9" t="n"/>
      <c r="J71" s="3" t="n"/>
      <c r="K71" s="9" t="n"/>
    </row>
    <row r="72">
      <c r="A72" s="4" t="n"/>
      <c r="B72" s="9">
        <f>IF(A72="","",INT((DAY(A72)-1)/7)+1)</f>
        <v/>
      </c>
      <c r="C72" s="9" t="n"/>
      <c r="D72" s="9" t="n"/>
      <c r="E72" s="9" t="n"/>
      <c r="F72" s="9" t="n"/>
      <c r="G72" s="9" t="n"/>
      <c r="H72" s="9" t="n"/>
      <c r="I72" s="9" t="n"/>
      <c r="J72" s="3" t="n"/>
      <c r="K72" s="9" t="n"/>
    </row>
    <row r="73">
      <c r="A73" s="4" t="n"/>
      <c r="B73" s="9">
        <f>IF(A73="","",INT((DAY(A73)-1)/7)+1)</f>
        <v/>
      </c>
      <c r="C73" s="9" t="n"/>
      <c r="D73" s="9" t="n"/>
      <c r="E73" s="9" t="n"/>
      <c r="F73" s="9" t="n"/>
      <c r="G73" s="9" t="n"/>
      <c r="H73" s="9" t="n"/>
      <c r="I73" s="9" t="n"/>
      <c r="J73" s="3" t="n"/>
      <c r="K73" s="9" t="n"/>
    </row>
    <row r="74">
      <c r="A74" s="4" t="n"/>
      <c r="B74" s="9">
        <f>IF(A74="","",INT((DAY(A74)-1)/7)+1)</f>
        <v/>
      </c>
      <c r="C74" s="9" t="n"/>
      <c r="D74" s="9" t="n"/>
      <c r="E74" s="9" t="n"/>
      <c r="F74" s="9" t="n"/>
      <c r="G74" s="9" t="n"/>
      <c r="H74" s="9" t="n"/>
      <c r="I74" s="9" t="n"/>
      <c r="J74" s="3" t="n"/>
      <c r="K74" s="9" t="n"/>
    </row>
    <row r="75">
      <c r="A75" s="4" t="n"/>
      <c r="B75" s="9">
        <f>IF(A75="","",INT((DAY(A75)-1)/7)+1)</f>
        <v/>
      </c>
      <c r="C75" s="9" t="n"/>
      <c r="D75" s="9" t="n"/>
      <c r="E75" s="9" t="n"/>
      <c r="F75" s="9" t="n"/>
      <c r="G75" s="9" t="n"/>
      <c r="H75" s="9" t="n"/>
      <c r="I75" s="9" t="n"/>
      <c r="J75" s="3" t="n"/>
      <c r="K75" s="9" t="n"/>
    </row>
    <row r="76">
      <c r="A76" s="4" t="n"/>
      <c r="B76" s="9">
        <f>IF(A76="","",INT((DAY(A76)-1)/7)+1)</f>
        <v/>
      </c>
      <c r="C76" s="9" t="n"/>
      <c r="D76" s="9" t="n"/>
      <c r="E76" s="9" t="n"/>
      <c r="F76" s="9" t="n"/>
      <c r="G76" s="9" t="n"/>
      <c r="H76" s="9" t="n"/>
      <c r="I76" s="9" t="n"/>
      <c r="J76" s="3" t="n"/>
      <c r="K76" s="9" t="n"/>
    </row>
    <row r="77">
      <c r="A77" s="4" t="n"/>
      <c r="B77" s="9">
        <f>IF(A77="","",INT((DAY(A77)-1)/7)+1)</f>
        <v/>
      </c>
      <c r="C77" s="9" t="n"/>
      <c r="D77" s="9" t="n"/>
      <c r="E77" s="9" t="n"/>
      <c r="F77" s="9" t="n"/>
      <c r="G77" s="9" t="n"/>
      <c r="H77" s="9" t="n"/>
      <c r="I77" s="9" t="n"/>
      <c r="J77" s="3" t="n"/>
      <c r="K77" s="9" t="n"/>
    </row>
    <row r="78">
      <c r="A78" s="4" t="n"/>
      <c r="B78" s="9">
        <f>IF(A78="","",INT((DAY(A78)-1)/7)+1)</f>
        <v/>
      </c>
      <c r="C78" s="9" t="n"/>
      <c r="D78" s="9" t="n"/>
      <c r="E78" s="9" t="n"/>
      <c r="F78" s="9" t="n"/>
      <c r="G78" s="9" t="n"/>
      <c r="H78" s="9" t="n"/>
      <c r="I78" s="9" t="n"/>
      <c r="J78" s="3" t="n"/>
      <c r="K78" s="9" t="n"/>
    </row>
    <row r="79">
      <c r="A79" s="4" t="n"/>
      <c r="B79" s="9">
        <f>IF(A79="","",INT((DAY(A79)-1)/7)+1)</f>
        <v/>
      </c>
      <c r="C79" s="9" t="n"/>
      <c r="D79" s="9" t="n"/>
      <c r="E79" s="9" t="n"/>
      <c r="F79" s="9" t="n"/>
      <c r="G79" s="9" t="n"/>
      <c r="H79" s="9" t="n"/>
      <c r="I79" s="9" t="n"/>
      <c r="J79" s="3" t="n"/>
      <c r="K79" s="9" t="n"/>
    </row>
    <row r="80">
      <c r="A80" s="4" t="n"/>
      <c r="B80" s="9">
        <f>IF(A80="","",INT((DAY(A80)-1)/7)+1)</f>
        <v/>
      </c>
      <c r="C80" s="9" t="n"/>
      <c r="D80" s="9" t="n"/>
      <c r="E80" s="9" t="n"/>
      <c r="F80" s="9" t="n"/>
      <c r="G80" s="9" t="n"/>
      <c r="H80" s="9" t="n"/>
      <c r="I80" s="9" t="n"/>
      <c r="J80" s="3" t="n"/>
      <c r="K80" s="9" t="n"/>
    </row>
    <row r="81">
      <c r="A81" s="4" t="n"/>
      <c r="B81" s="9">
        <f>IF(A81="","",INT((DAY(A81)-1)/7)+1)</f>
        <v/>
      </c>
      <c r="C81" s="9" t="n"/>
      <c r="D81" s="9" t="n"/>
      <c r="E81" s="9" t="n"/>
      <c r="F81" s="9" t="n"/>
      <c r="G81" s="9" t="n"/>
      <c r="H81" s="9" t="n"/>
      <c r="I81" s="9" t="n"/>
      <c r="J81" s="3" t="n"/>
      <c r="K81" s="9" t="n"/>
    </row>
    <row r="82">
      <c r="A82" s="4" t="n"/>
      <c r="B82" s="9">
        <f>IF(A82="","",INT((DAY(A82)-1)/7)+1)</f>
        <v/>
      </c>
      <c r="C82" s="9" t="n"/>
      <c r="D82" s="9" t="n"/>
      <c r="E82" s="9" t="n"/>
      <c r="F82" s="9" t="n"/>
      <c r="G82" s="9" t="n"/>
      <c r="H82" s="9" t="n"/>
      <c r="I82" s="9" t="n"/>
      <c r="J82" s="3" t="n"/>
      <c r="K82" s="9" t="n"/>
    </row>
    <row r="83">
      <c r="A83" s="4" t="n"/>
      <c r="B83" s="9">
        <f>IF(A83="","",INT((DAY(A83)-1)/7)+1)</f>
        <v/>
      </c>
      <c r="C83" s="9" t="n"/>
      <c r="D83" s="9" t="n"/>
      <c r="E83" s="9" t="n"/>
      <c r="F83" s="9" t="n"/>
      <c r="G83" s="9" t="n"/>
      <c r="H83" s="9" t="n"/>
      <c r="I83" s="9" t="n"/>
      <c r="J83" s="3" t="n"/>
      <c r="K83" s="9" t="n"/>
    </row>
    <row r="84">
      <c r="A84" s="4" t="n"/>
      <c r="B84" s="9">
        <f>IF(A84="","",INT((DAY(A84)-1)/7)+1)</f>
        <v/>
      </c>
      <c r="C84" s="9" t="n"/>
      <c r="D84" s="9" t="n"/>
      <c r="E84" s="9" t="n"/>
      <c r="F84" s="9" t="n"/>
      <c r="G84" s="9" t="n"/>
      <c r="H84" s="9" t="n"/>
      <c r="I84" s="9" t="n"/>
      <c r="J84" s="3" t="n"/>
      <c r="K84" s="9" t="n"/>
    </row>
    <row r="85">
      <c r="A85" s="4" t="n"/>
      <c r="B85" s="9">
        <f>IF(A85="","",INT((DAY(A85)-1)/7)+1)</f>
        <v/>
      </c>
      <c r="C85" s="9" t="n"/>
      <c r="D85" s="9" t="n"/>
      <c r="E85" s="9" t="n"/>
      <c r="F85" s="9" t="n"/>
      <c r="G85" s="9" t="n"/>
      <c r="H85" s="9" t="n"/>
      <c r="I85" s="9" t="n"/>
      <c r="J85" s="3" t="n"/>
      <c r="K85" s="9" t="n"/>
    </row>
    <row r="86">
      <c r="A86" s="4" t="n"/>
      <c r="B86" s="9">
        <f>IF(A86="","",INT((DAY(A86)-1)/7)+1)</f>
        <v/>
      </c>
      <c r="C86" s="9" t="n"/>
      <c r="D86" s="9" t="n"/>
      <c r="E86" s="9" t="n"/>
      <c r="F86" s="9" t="n"/>
      <c r="G86" s="9" t="n"/>
      <c r="H86" s="9" t="n"/>
      <c r="I86" s="9" t="n"/>
      <c r="J86" s="3" t="n"/>
      <c r="K86" s="9" t="n"/>
    </row>
    <row r="87">
      <c r="A87" s="4" t="n"/>
      <c r="B87" s="9">
        <f>IF(A87="","",INT((DAY(A87)-1)/7)+1)</f>
        <v/>
      </c>
      <c r="C87" s="9" t="n"/>
      <c r="D87" s="9" t="n"/>
      <c r="E87" s="9" t="n"/>
      <c r="F87" s="9" t="n"/>
      <c r="G87" s="9" t="n"/>
      <c r="H87" s="9" t="n"/>
      <c r="I87" s="9" t="n"/>
      <c r="J87" s="3" t="n"/>
      <c r="K87" s="9" t="n"/>
    </row>
    <row r="88">
      <c r="A88" s="4" t="n"/>
      <c r="B88" s="9">
        <f>IF(A88="","",INT((DAY(A88)-1)/7)+1)</f>
        <v/>
      </c>
      <c r="C88" s="9" t="n"/>
      <c r="D88" s="9" t="n"/>
      <c r="E88" s="9" t="n"/>
      <c r="F88" s="9" t="n"/>
      <c r="G88" s="9" t="n"/>
      <c r="H88" s="9" t="n"/>
      <c r="I88" s="9" t="n"/>
      <c r="J88" s="3" t="n"/>
      <c r="K88" s="9" t="n"/>
    </row>
    <row r="89">
      <c r="A89" s="4" t="n"/>
      <c r="B89" s="9">
        <f>IF(A89="","",INT((DAY(A89)-1)/7)+1)</f>
        <v/>
      </c>
      <c r="C89" s="9" t="n"/>
      <c r="D89" s="9" t="n"/>
      <c r="E89" s="9" t="n"/>
      <c r="F89" s="9" t="n"/>
      <c r="G89" s="9" t="n"/>
      <c r="H89" s="9" t="n"/>
      <c r="I89" s="9" t="n"/>
      <c r="J89" s="3" t="n"/>
      <c r="K89" s="9" t="n"/>
    </row>
    <row r="90">
      <c r="A90" s="4" t="n"/>
      <c r="B90" s="9">
        <f>IF(A90="","",INT((DAY(A90)-1)/7)+1)</f>
        <v/>
      </c>
      <c r="C90" s="9" t="n"/>
      <c r="D90" s="9" t="n"/>
      <c r="E90" s="9" t="n"/>
      <c r="F90" s="9" t="n"/>
      <c r="G90" s="9" t="n"/>
      <c r="H90" s="9" t="n"/>
      <c r="I90" s="9" t="n"/>
      <c r="J90" s="3" t="n"/>
      <c r="K90" s="9" t="n"/>
    </row>
    <row r="91">
      <c r="A91" s="4" t="n"/>
      <c r="B91" s="9">
        <f>IF(A91="","",INT((DAY(A91)-1)/7)+1)</f>
        <v/>
      </c>
      <c r="C91" s="9" t="n"/>
      <c r="D91" s="9" t="n"/>
      <c r="E91" s="9" t="n"/>
      <c r="F91" s="9" t="n"/>
      <c r="G91" s="9" t="n"/>
      <c r="H91" s="9" t="n"/>
      <c r="I91" s="9" t="n"/>
      <c r="J91" s="3" t="n"/>
      <c r="K91" s="9" t="n"/>
    </row>
    <row r="92">
      <c r="A92" s="4" t="n"/>
      <c r="B92" s="9">
        <f>IF(A92="","",INT((DAY(A92)-1)/7)+1)</f>
        <v/>
      </c>
      <c r="C92" s="9" t="n"/>
      <c r="D92" s="9" t="n"/>
      <c r="E92" s="9" t="n"/>
      <c r="F92" s="9" t="n"/>
      <c r="G92" s="9" t="n"/>
      <c r="H92" s="9" t="n"/>
      <c r="I92" s="9" t="n"/>
      <c r="J92" s="3" t="n"/>
      <c r="K92" s="9" t="n"/>
    </row>
    <row r="93">
      <c r="A93" s="4" t="n"/>
      <c r="B93" s="9">
        <f>IF(A93="","",INT((DAY(A93)-1)/7)+1)</f>
        <v/>
      </c>
      <c r="C93" s="9" t="n"/>
      <c r="D93" s="9" t="n"/>
      <c r="E93" s="9" t="n"/>
      <c r="F93" s="9" t="n"/>
      <c r="G93" s="9" t="n"/>
      <c r="H93" s="9" t="n"/>
      <c r="I93" s="9" t="n"/>
      <c r="J93" s="3" t="n"/>
      <c r="K93" s="9" t="n"/>
    </row>
    <row r="94">
      <c r="A94" s="4" t="n"/>
      <c r="B94" s="9">
        <f>IF(A94="","",INT((DAY(A94)-1)/7)+1)</f>
        <v/>
      </c>
      <c r="C94" s="9" t="n"/>
      <c r="D94" s="9" t="n"/>
      <c r="E94" s="9" t="n"/>
      <c r="F94" s="9" t="n"/>
      <c r="G94" s="9" t="n"/>
      <c r="H94" s="9" t="n"/>
      <c r="I94" s="9" t="n"/>
      <c r="J94" s="3" t="n"/>
      <c r="K94" s="9" t="n"/>
    </row>
    <row r="95">
      <c r="A95" s="4" t="n"/>
      <c r="B95" s="9">
        <f>IF(A95="","",INT((DAY(A95)-1)/7)+1)</f>
        <v/>
      </c>
      <c r="C95" s="9" t="n"/>
      <c r="D95" s="9" t="n"/>
      <c r="E95" s="9" t="n"/>
      <c r="F95" s="9" t="n"/>
      <c r="G95" s="9" t="n"/>
      <c r="H95" s="9" t="n"/>
      <c r="I95" s="9" t="n"/>
      <c r="J95" s="3" t="n"/>
      <c r="K95" s="9" t="n"/>
    </row>
    <row r="96">
      <c r="A96" s="4" t="n"/>
      <c r="B96" s="9">
        <f>IF(A96="","",INT((DAY(A96)-1)/7)+1)</f>
        <v/>
      </c>
      <c r="C96" s="9" t="n"/>
      <c r="D96" s="9" t="n"/>
      <c r="E96" s="9" t="n"/>
      <c r="F96" s="9" t="n"/>
      <c r="G96" s="9" t="n"/>
      <c r="H96" s="9" t="n"/>
      <c r="I96" s="9" t="n"/>
      <c r="J96" s="3" t="n"/>
      <c r="K96" s="9" t="n"/>
    </row>
    <row r="97">
      <c r="A97" s="4" t="n"/>
      <c r="B97" s="9">
        <f>IF(A97="","",INT((DAY(A97)-1)/7)+1)</f>
        <v/>
      </c>
      <c r="C97" s="9" t="n"/>
      <c r="D97" s="9" t="n"/>
      <c r="E97" s="9" t="n"/>
      <c r="F97" s="9" t="n"/>
      <c r="G97" s="9" t="n"/>
      <c r="H97" s="9" t="n"/>
      <c r="I97" s="9" t="n"/>
      <c r="J97" s="3" t="n"/>
      <c r="K97" s="9" t="n"/>
    </row>
    <row r="98">
      <c r="A98" s="4" t="n"/>
      <c r="B98" s="9">
        <f>IF(A98="","",INT((DAY(A98)-1)/7)+1)</f>
        <v/>
      </c>
      <c r="C98" s="9" t="n"/>
      <c r="D98" s="9" t="n"/>
      <c r="E98" s="9" t="n"/>
      <c r="F98" s="9" t="n"/>
      <c r="G98" s="9" t="n"/>
      <c r="H98" s="9" t="n"/>
      <c r="I98" s="9" t="n"/>
      <c r="J98" s="3" t="n"/>
      <c r="K98" s="9" t="n"/>
    </row>
    <row r="99">
      <c r="A99" s="4" t="n"/>
      <c r="B99" s="9">
        <f>IF(A99="","",INT((DAY(A99)-1)/7)+1)</f>
        <v/>
      </c>
      <c r="C99" s="9" t="n"/>
      <c r="D99" s="9" t="n"/>
      <c r="E99" s="9" t="n"/>
      <c r="F99" s="9" t="n"/>
      <c r="G99" s="9" t="n"/>
      <c r="H99" s="9" t="n"/>
      <c r="I99" s="9" t="n"/>
      <c r="J99" s="3" t="n"/>
      <c r="K99" s="9" t="n"/>
    </row>
    <row r="100">
      <c r="A100" s="4" t="n"/>
      <c r="B100" s="9">
        <f>IF(A100="","",INT((DAY(A100)-1)/7)+1)</f>
        <v/>
      </c>
      <c r="C100" s="9" t="n"/>
      <c r="D100" s="9" t="n"/>
      <c r="E100" s="9" t="n"/>
      <c r="F100" s="9" t="n"/>
      <c r="G100" s="9" t="n"/>
      <c r="H100" s="9" t="n"/>
      <c r="I100" s="9" t="n"/>
      <c r="J100" s="3" t="n"/>
      <c r="K100" s="9" t="n"/>
    </row>
    <row r="101">
      <c r="A101" s="4" t="n"/>
      <c r="B101" s="9">
        <f>IF(A101="","",INT((DAY(A101)-1)/7)+1)</f>
        <v/>
      </c>
      <c r="C101" s="9" t="n"/>
      <c r="D101" s="9" t="n"/>
      <c r="E101" s="9" t="n"/>
      <c r="F101" s="9" t="n"/>
      <c r="G101" s="9" t="n"/>
      <c r="H101" s="9" t="n"/>
      <c r="I101" s="9" t="n"/>
      <c r="J101" s="3" t="n"/>
      <c r="K101" s="9" t="n"/>
    </row>
    <row r="102">
      <c r="A102" s="4" t="n"/>
      <c r="B102" s="9">
        <f>IF(A102="","",INT((DAY(A102)-1)/7)+1)</f>
        <v/>
      </c>
      <c r="C102" s="9" t="n"/>
      <c r="D102" s="9" t="n"/>
      <c r="E102" s="9" t="n"/>
      <c r="F102" s="9" t="n"/>
      <c r="G102" s="9" t="n"/>
      <c r="H102" s="9" t="n"/>
      <c r="I102" s="9" t="n"/>
      <c r="J102" s="3" t="n"/>
      <c r="K102" s="9" t="n"/>
    </row>
    <row r="103">
      <c r="A103" s="4" t="n"/>
      <c r="B103" s="9">
        <f>IF(A103="","",INT((DAY(A103)-1)/7)+1)</f>
        <v/>
      </c>
      <c r="C103" s="9" t="n"/>
      <c r="D103" s="9" t="n"/>
      <c r="E103" s="9" t="n"/>
      <c r="F103" s="9" t="n"/>
      <c r="G103" s="9" t="n"/>
      <c r="H103" s="9" t="n"/>
      <c r="I103" s="9" t="n"/>
      <c r="J103" s="3" t="n"/>
      <c r="K103" s="9" t="n"/>
    </row>
    <row r="104">
      <c r="A104" s="4" t="n"/>
      <c r="B104" s="9">
        <f>IF(A104="","",INT((DAY(A104)-1)/7)+1)</f>
        <v/>
      </c>
      <c r="C104" s="9" t="n"/>
      <c r="D104" s="9" t="n"/>
      <c r="E104" s="9" t="n"/>
      <c r="F104" s="9" t="n"/>
      <c r="G104" s="9" t="n"/>
      <c r="H104" s="9" t="n"/>
      <c r="I104" s="9" t="n"/>
      <c r="J104" s="3" t="n"/>
      <c r="K104" s="9" t="n"/>
    </row>
    <row r="105">
      <c r="A105" s="4" t="n"/>
      <c r="B105" s="9">
        <f>IF(A105="","",INT((DAY(A105)-1)/7)+1)</f>
        <v/>
      </c>
      <c r="C105" s="9" t="n"/>
      <c r="D105" s="9" t="n"/>
      <c r="E105" s="9" t="n"/>
      <c r="F105" s="9" t="n"/>
      <c r="G105" s="9" t="n"/>
      <c r="H105" s="9" t="n"/>
      <c r="I105" s="9" t="n"/>
      <c r="J105" s="3" t="n"/>
      <c r="K105" s="9" t="n"/>
    </row>
    <row r="106">
      <c r="A106" s="4" t="n"/>
      <c r="B106" s="9">
        <f>IF(A106="","",INT((DAY(A106)-1)/7)+1)</f>
        <v/>
      </c>
      <c r="C106" s="9" t="n"/>
      <c r="D106" s="9" t="n"/>
      <c r="E106" s="9" t="n"/>
      <c r="F106" s="9" t="n"/>
      <c r="G106" s="9" t="n"/>
      <c r="H106" s="9" t="n"/>
      <c r="I106" s="9" t="n"/>
      <c r="J106" s="3" t="n"/>
      <c r="K106" s="9" t="n"/>
    </row>
    <row r="107">
      <c r="A107" s="4" t="n"/>
      <c r="B107" s="9">
        <f>IF(A107="","",INT((DAY(A107)-1)/7)+1)</f>
        <v/>
      </c>
      <c r="C107" s="9" t="n"/>
      <c r="D107" s="9" t="n"/>
      <c r="E107" s="9" t="n"/>
      <c r="F107" s="9" t="n"/>
      <c r="G107" s="9" t="n"/>
      <c r="H107" s="9" t="n"/>
      <c r="I107" s="9" t="n"/>
      <c r="J107" s="3" t="n"/>
      <c r="K107" s="9" t="n"/>
    </row>
    <row r="108">
      <c r="A108" s="4" t="n"/>
      <c r="B108" s="9">
        <f>IF(A108="","",INT((DAY(A108)-1)/7)+1)</f>
        <v/>
      </c>
      <c r="C108" s="9" t="n"/>
      <c r="D108" s="9" t="n"/>
      <c r="E108" s="9" t="n"/>
      <c r="F108" s="9" t="n"/>
      <c r="G108" s="9" t="n"/>
      <c r="H108" s="9" t="n"/>
      <c r="I108" s="9" t="n"/>
      <c r="J108" s="3" t="n"/>
      <c r="K108" s="9" t="n"/>
    </row>
    <row r="109">
      <c r="A109" s="4" t="n"/>
      <c r="B109" s="9">
        <f>IF(A109="","",INT((DAY(A109)-1)/7)+1)</f>
        <v/>
      </c>
      <c r="C109" s="9" t="n"/>
      <c r="D109" s="9" t="n"/>
      <c r="E109" s="9" t="n"/>
      <c r="F109" s="9" t="n"/>
      <c r="G109" s="9" t="n"/>
      <c r="H109" s="9" t="n"/>
      <c r="I109" s="9" t="n"/>
      <c r="J109" s="3" t="n"/>
      <c r="K109" s="9" t="n"/>
    </row>
    <row r="110">
      <c r="A110" s="4" t="n"/>
      <c r="B110" s="9">
        <f>IF(A110="","",INT((DAY(A110)-1)/7)+1)</f>
        <v/>
      </c>
      <c r="C110" s="9" t="n"/>
      <c r="D110" s="9" t="n"/>
      <c r="E110" s="9" t="n"/>
      <c r="F110" s="9" t="n"/>
      <c r="G110" s="9" t="n"/>
      <c r="H110" s="9" t="n"/>
      <c r="I110" s="9" t="n"/>
      <c r="J110" s="3" t="n"/>
      <c r="K110" s="9" t="n"/>
    </row>
    <row r="111">
      <c r="A111" s="4" t="n"/>
      <c r="B111" s="9">
        <f>IF(A111="","",INT((DAY(A111)-1)/7)+1)</f>
        <v/>
      </c>
      <c r="C111" s="9" t="n"/>
      <c r="D111" s="9" t="n"/>
      <c r="E111" s="9" t="n"/>
      <c r="F111" s="9" t="n"/>
      <c r="G111" s="9" t="n"/>
      <c r="H111" s="9" t="n"/>
      <c r="I111" s="9" t="n"/>
      <c r="J111" s="3" t="n"/>
      <c r="K111" s="9" t="n"/>
    </row>
    <row r="112">
      <c r="A112" s="4" t="n"/>
      <c r="B112" s="9">
        <f>IF(A112="","",INT((DAY(A112)-1)/7)+1)</f>
        <v/>
      </c>
      <c r="C112" s="9" t="n"/>
      <c r="D112" s="9" t="n"/>
      <c r="E112" s="9" t="n"/>
      <c r="F112" s="9" t="n"/>
      <c r="G112" s="9" t="n"/>
      <c r="H112" s="9" t="n"/>
      <c r="I112" s="9" t="n"/>
      <c r="J112" s="3" t="n"/>
      <c r="K112" s="9" t="n"/>
    </row>
    <row r="113">
      <c r="A113" s="4" t="n"/>
      <c r="B113" s="9">
        <f>IF(A113="","",INT((DAY(A113)-1)/7)+1)</f>
        <v/>
      </c>
      <c r="C113" s="9" t="n"/>
      <c r="D113" s="9" t="n"/>
      <c r="E113" s="9" t="n"/>
      <c r="F113" s="9" t="n"/>
      <c r="G113" s="9" t="n"/>
      <c r="H113" s="9" t="n"/>
      <c r="I113" s="9" t="n"/>
      <c r="J113" s="3" t="n"/>
      <c r="K113" s="9" t="n"/>
    </row>
    <row r="114">
      <c r="A114" s="4" t="n"/>
      <c r="B114" s="9">
        <f>IF(A114="","",INT((DAY(A114)-1)/7)+1)</f>
        <v/>
      </c>
      <c r="C114" s="9" t="n"/>
      <c r="D114" s="9" t="n"/>
      <c r="E114" s="9" t="n"/>
      <c r="F114" s="9" t="n"/>
      <c r="G114" s="9" t="n"/>
      <c r="H114" s="9" t="n"/>
      <c r="I114" s="9" t="n"/>
      <c r="J114" s="3" t="n"/>
      <c r="K114" s="9" t="n"/>
    </row>
    <row r="115">
      <c r="A115" s="4" t="n"/>
      <c r="B115" s="9">
        <f>IF(A115="","",INT((DAY(A115)-1)/7)+1)</f>
        <v/>
      </c>
      <c r="C115" s="9" t="n"/>
      <c r="D115" s="9" t="n"/>
      <c r="E115" s="9" t="n"/>
      <c r="F115" s="9" t="n"/>
      <c r="G115" s="9" t="n"/>
      <c r="H115" s="9" t="n"/>
      <c r="I115" s="9" t="n"/>
      <c r="J115" s="3" t="n"/>
      <c r="K115" s="9" t="n"/>
    </row>
    <row r="116">
      <c r="A116" s="4" t="n"/>
      <c r="B116" s="9">
        <f>IF(A116="","",INT((DAY(A116)-1)/7)+1)</f>
        <v/>
      </c>
      <c r="C116" s="9" t="n"/>
      <c r="D116" s="9" t="n"/>
      <c r="E116" s="9" t="n"/>
      <c r="F116" s="9" t="n"/>
      <c r="G116" s="9" t="n"/>
      <c r="H116" s="9" t="n"/>
      <c r="I116" s="9" t="n"/>
      <c r="J116" s="3" t="n"/>
      <c r="K116" s="9" t="n"/>
    </row>
    <row r="117">
      <c r="A117" s="4" t="n"/>
      <c r="B117" s="9">
        <f>IF(A117="","",INT((DAY(A117)-1)/7)+1)</f>
        <v/>
      </c>
      <c r="C117" s="9" t="n"/>
      <c r="D117" s="9" t="n"/>
      <c r="E117" s="9" t="n"/>
      <c r="F117" s="9" t="n"/>
      <c r="G117" s="9" t="n"/>
      <c r="H117" s="9" t="n"/>
      <c r="I117" s="9" t="n"/>
      <c r="J117" s="3" t="n"/>
      <c r="K117" s="9" t="n"/>
    </row>
    <row r="118">
      <c r="A118" s="4" t="n"/>
      <c r="B118" s="9">
        <f>IF(A118="","",INT((DAY(A118)-1)/7)+1)</f>
        <v/>
      </c>
      <c r="C118" s="9" t="n"/>
      <c r="D118" s="9" t="n"/>
      <c r="E118" s="9" t="n"/>
      <c r="F118" s="9" t="n"/>
      <c r="G118" s="9" t="n"/>
      <c r="H118" s="9" t="n"/>
      <c r="I118" s="9" t="n"/>
      <c r="J118" s="3" t="n"/>
      <c r="K118" s="9" t="n"/>
    </row>
    <row r="119">
      <c r="A119" s="4" t="n"/>
      <c r="B119" s="9">
        <f>IF(A119="","",INT((DAY(A119)-1)/7)+1)</f>
        <v/>
      </c>
      <c r="C119" s="9" t="n"/>
      <c r="D119" s="9" t="n"/>
      <c r="E119" s="9" t="n"/>
      <c r="F119" s="9" t="n"/>
      <c r="G119" s="9" t="n"/>
      <c r="H119" s="9" t="n"/>
      <c r="I119" s="9" t="n"/>
      <c r="J119" s="3" t="n"/>
      <c r="K119" s="9" t="n"/>
    </row>
    <row r="120">
      <c r="A120" s="4" t="n"/>
      <c r="B120" s="9">
        <f>IF(A120="","",INT((DAY(A120)-1)/7)+1)</f>
        <v/>
      </c>
      <c r="C120" s="9" t="n"/>
      <c r="D120" s="9" t="n"/>
      <c r="E120" s="9" t="n"/>
      <c r="F120" s="9" t="n"/>
      <c r="G120" s="9" t="n"/>
      <c r="H120" s="9" t="n"/>
      <c r="I120" s="9" t="n"/>
      <c r="J120" s="3" t="n"/>
      <c r="K120" s="9" t="n"/>
    </row>
    <row r="121">
      <c r="A121" s="4" t="n"/>
      <c r="B121" s="9">
        <f>IF(A121="","",INT((DAY(A121)-1)/7)+1)</f>
        <v/>
      </c>
      <c r="C121" s="9" t="n"/>
      <c r="D121" s="9" t="n"/>
      <c r="E121" s="9" t="n"/>
      <c r="F121" s="9" t="n"/>
      <c r="G121" s="9" t="n"/>
      <c r="H121" s="9" t="n"/>
      <c r="I121" s="9" t="n"/>
      <c r="J121" s="3" t="n"/>
      <c r="K121" s="9" t="n"/>
    </row>
    <row r="122">
      <c r="A122" s="4" t="n"/>
      <c r="B122" s="9">
        <f>IF(A122="","",INT((DAY(A122)-1)/7)+1)</f>
        <v/>
      </c>
      <c r="C122" s="9" t="n"/>
      <c r="D122" s="9" t="n"/>
      <c r="E122" s="9" t="n"/>
      <c r="F122" s="9" t="n"/>
      <c r="G122" s="9" t="n"/>
      <c r="H122" s="9" t="n"/>
      <c r="I122" s="9" t="n"/>
      <c r="J122" s="3" t="n"/>
      <c r="K122" s="9" t="n"/>
    </row>
    <row r="123">
      <c r="A123" s="4" t="n"/>
      <c r="B123" s="9">
        <f>IF(A123="","",INT((DAY(A123)-1)/7)+1)</f>
        <v/>
      </c>
      <c r="C123" s="9" t="n"/>
      <c r="D123" s="9" t="n"/>
      <c r="E123" s="9" t="n"/>
      <c r="F123" s="9" t="n"/>
      <c r="G123" s="9" t="n"/>
      <c r="H123" s="9" t="n"/>
      <c r="I123" s="9" t="n"/>
      <c r="J123" s="3" t="n"/>
      <c r="K123" s="9" t="n"/>
    </row>
    <row r="124">
      <c r="A124" s="4" t="n"/>
      <c r="B124" s="9">
        <f>IF(A124="","",INT((DAY(A124)-1)/7)+1)</f>
        <v/>
      </c>
      <c r="C124" s="9" t="n"/>
      <c r="D124" s="9" t="n"/>
      <c r="E124" s="9" t="n"/>
      <c r="F124" s="9" t="n"/>
      <c r="G124" s="9" t="n"/>
      <c r="H124" s="9" t="n"/>
      <c r="I124" s="9" t="n"/>
      <c r="J124" s="3" t="n"/>
      <c r="K124" s="9" t="n"/>
    </row>
    <row r="125">
      <c r="A125" s="4" t="n"/>
      <c r="B125" s="9">
        <f>IF(A125="","",INT((DAY(A125)-1)/7)+1)</f>
        <v/>
      </c>
      <c r="C125" s="9" t="n"/>
      <c r="D125" s="9" t="n"/>
      <c r="E125" s="9" t="n"/>
      <c r="F125" s="9" t="n"/>
      <c r="G125" s="9" t="n"/>
      <c r="H125" s="9" t="n"/>
      <c r="I125" s="9" t="n"/>
      <c r="J125" s="3" t="n"/>
      <c r="K125" s="9" t="n"/>
    </row>
    <row r="126">
      <c r="A126" s="4" t="n"/>
      <c r="B126" s="9">
        <f>IF(A126="","",INT((DAY(A126)-1)/7)+1)</f>
        <v/>
      </c>
      <c r="C126" s="9" t="n"/>
      <c r="D126" s="9" t="n"/>
      <c r="E126" s="9" t="n"/>
      <c r="F126" s="9" t="n"/>
      <c r="G126" s="9" t="n"/>
      <c r="H126" s="9" t="n"/>
      <c r="I126" s="9" t="n"/>
      <c r="J126" s="3" t="n"/>
      <c r="K126" s="9" t="n"/>
    </row>
    <row r="127">
      <c r="A127" s="4" t="n"/>
      <c r="B127" s="9">
        <f>IF(A127="","",INT((DAY(A127)-1)/7)+1)</f>
        <v/>
      </c>
      <c r="C127" s="9" t="n"/>
      <c r="D127" s="9" t="n"/>
      <c r="E127" s="9" t="n"/>
      <c r="F127" s="9" t="n"/>
      <c r="G127" s="9" t="n"/>
      <c r="H127" s="9" t="n"/>
      <c r="I127" s="9" t="n"/>
      <c r="J127" s="3" t="n"/>
      <c r="K127" s="9" t="n"/>
    </row>
    <row r="128">
      <c r="A128" s="4" t="n"/>
      <c r="B128" s="9">
        <f>IF(A128="","",INT((DAY(A128)-1)/7)+1)</f>
        <v/>
      </c>
      <c r="C128" s="9" t="n"/>
      <c r="D128" s="9" t="n"/>
      <c r="E128" s="9" t="n"/>
      <c r="F128" s="9" t="n"/>
      <c r="G128" s="9" t="n"/>
      <c r="H128" s="9" t="n"/>
      <c r="I128" s="9" t="n"/>
      <c r="J128" s="3" t="n"/>
      <c r="K128" s="9" t="n"/>
    </row>
    <row r="129">
      <c r="A129" s="4" t="n"/>
      <c r="B129" s="9">
        <f>IF(A129="","",INT((DAY(A129)-1)/7)+1)</f>
        <v/>
      </c>
      <c r="C129" s="9" t="n"/>
      <c r="D129" s="9" t="n"/>
      <c r="E129" s="9" t="n"/>
      <c r="F129" s="9" t="n"/>
      <c r="G129" s="9" t="n"/>
      <c r="H129" s="9" t="n"/>
      <c r="I129" s="9" t="n"/>
      <c r="J129" s="3" t="n"/>
      <c r="K129" s="9" t="n"/>
    </row>
    <row r="130">
      <c r="A130" s="4" t="n"/>
      <c r="B130" s="9">
        <f>IF(A130="","",INT((DAY(A130)-1)/7)+1)</f>
        <v/>
      </c>
      <c r="C130" s="9" t="n"/>
      <c r="D130" s="9" t="n"/>
      <c r="E130" s="9" t="n"/>
      <c r="F130" s="9" t="n"/>
      <c r="G130" s="9" t="n"/>
      <c r="H130" s="9" t="n"/>
      <c r="I130" s="9" t="n"/>
      <c r="J130" s="3" t="n"/>
      <c r="K130" s="9" t="n"/>
    </row>
    <row r="131">
      <c r="A131" s="4" t="n"/>
      <c r="B131" s="9">
        <f>IF(A131="","",INT((DAY(A131)-1)/7)+1)</f>
        <v/>
      </c>
      <c r="C131" s="9" t="n"/>
      <c r="D131" s="9" t="n"/>
      <c r="E131" s="9" t="n"/>
      <c r="F131" s="9" t="n"/>
      <c r="G131" s="9" t="n"/>
      <c r="H131" s="9" t="n"/>
      <c r="I131" s="9" t="n"/>
      <c r="J131" s="3" t="n"/>
      <c r="K131" s="9" t="n"/>
    </row>
    <row r="132">
      <c r="A132" s="4" t="n"/>
      <c r="B132" s="9">
        <f>IF(A132="","",INT((DAY(A132)-1)/7)+1)</f>
        <v/>
      </c>
      <c r="C132" s="9" t="n"/>
      <c r="D132" s="9" t="n"/>
      <c r="E132" s="9" t="n"/>
      <c r="F132" s="9" t="n"/>
      <c r="G132" s="9" t="n"/>
      <c r="H132" s="9" t="n"/>
      <c r="I132" s="9" t="n"/>
      <c r="J132" s="3" t="n"/>
      <c r="K132" s="9" t="n"/>
    </row>
    <row r="133">
      <c r="A133" s="4" t="n"/>
      <c r="B133" s="9">
        <f>IF(A133="","",INT((DAY(A133)-1)/7)+1)</f>
        <v/>
      </c>
      <c r="C133" s="9" t="n"/>
      <c r="D133" s="9" t="n"/>
      <c r="E133" s="9" t="n"/>
      <c r="F133" s="9" t="n"/>
      <c r="G133" s="9" t="n"/>
      <c r="H133" s="9" t="n"/>
      <c r="I133" s="9" t="n"/>
      <c r="J133" s="3" t="n"/>
      <c r="K133" s="9" t="n"/>
    </row>
    <row r="134">
      <c r="A134" s="4" t="n"/>
      <c r="B134" s="9">
        <f>IF(A134="","",INT((DAY(A134)-1)/7)+1)</f>
        <v/>
      </c>
      <c r="C134" s="9" t="n"/>
      <c r="D134" s="9" t="n"/>
      <c r="E134" s="9" t="n"/>
      <c r="F134" s="9" t="n"/>
      <c r="G134" s="9" t="n"/>
      <c r="H134" s="9" t="n"/>
      <c r="I134" s="9" t="n"/>
      <c r="J134" s="3" t="n"/>
      <c r="K134" s="9" t="n"/>
    </row>
    <row r="135">
      <c r="A135" s="4" t="n"/>
      <c r="B135" s="9">
        <f>IF(A135="","",INT((DAY(A135)-1)/7)+1)</f>
        <v/>
      </c>
      <c r="C135" s="9" t="n"/>
      <c r="D135" s="9" t="n"/>
      <c r="E135" s="9" t="n"/>
      <c r="F135" s="9" t="n"/>
      <c r="G135" s="9" t="n"/>
      <c r="H135" s="9" t="n"/>
      <c r="I135" s="9" t="n"/>
      <c r="J135" s="3" t="n"/>
      <c r="K135" s="9" t="n"/>
    </row>
    <row r="136">
      <c r="A136" s="4" t="n"/>
      <c r="B136" s="9">
        <f>IF(A136="","",INT((DAY(A136)-1)/7)+1)</f>
        <v/>
      </c>
      <c r="C136" s="9" t="n"/>
      <c r="D136" s="9" t="n"/>
      <c r="E136" s="9" t="n"/>
      <c r="F136" s="9" t="n"/>
      <c r="G136" s="9" t="n"/>
      <c r="H136" s="9" t="n"/>
      <c r="I136" s="9" t="n"/>
      <c r="J136" s="3" t="n"/>
      <c r="K136" s="9" t="n"/>
    </row>
    <row r="137">
      <c r="A137" s="4" t="n"/>
      <c r="B137" s="9">
        <f>IF(A137="","",INT((DAY(A137)-1)/7)+1)</f>
        <v/>
      </c>
      <c r="C137" s="9" t="n"/>
      <c r="D137" s="9" t="n"/>
      <c r="E137" s="9" t="n"/>
      <c r="F137" s="9" t="n"/>
      <c r="G137" s="9" t="n"/>
      <c r="H137" s="9" t="n"/>
      <c r="I137" s="9" t="n"/>
      <c r="J137" s="3" t="n"/>
      <c r="K137" s="9" t="n"/>
    </row>
    <row r="138">
      <c r="A138" s="4" t="n"/>
      <c r="B138" s="9">
        <f>IF(A138="","",INT((DAY(A138)-1)/7)+1)</f>
        <v/>
      </c>
      <c r="C138" s="9" t="n"/>
      <c r="D138" s="9" t="n"/>
      <c r="E138" s="9" t="n"/>
      <c r="F138" s="9" t="n"/>
      <c r="G138" s="9" t="n"/>
      <c r="H138" s="9" t="n"/>
      <c r="I138" s="9" t="n"/>
      <c r="J138" s="3" t="n"/>
      <c r="K138" s="9" t="n"/>
    </row>
    <row r="139">
      <c r="A139" s="4" t="n"/>
      <c r="B139" s="9">
        <f>IF(A139="","",INT((DAY(A139)-1)/7)+1)</f>
        <v/>
      </c>
      <c r="C139" s="9" t="n"/>
      <c r="D139" s="9" t="n"/>
      <c r="E139" s="9" t="n"/>
      <c r="F139" s="9" t="n"/>
      <c r="G139" s="9" t="n"/>
      <c r="H139" s="9" t="n"/>
      <c r="I139" s="9" t="n"/>
      <c r="J139" s="3" t="n"/>
      <c r="K139" s="9" t="n"/>
    </row>
    <row r="140">
      <c r="A140" s="4" t="n"/>
      <c r="B140" s="9">
        <f>IF(A140="","",INT((DAY(A140)-1)/7)+1)</f>
        <v/>
      </c>
      <c r="C140" s="9" t="n"/>
      <c r="D140" s="9" t="n"/>
      <c r="E140" s="9" t="n"/>
      <c r="F140" s="9" t="n"/>
      <c r="G140" s="9" t="n"/>
      <c r="H140" s="9" t="n"/>
      <c r="I140" s="9" t="n"/>
      <c r="J140" s="3" t="n"/>
      <c r="K140" s="9" t="n"/>
    </row>
    <row r="141">
      <c r="A141" s="4" t="n"/>
      <c r="B141" s="9">
        <f>IF(A141="","",INT((DAY(A141)-1)/7)+1)</f>
        <v/>
      </c>
      <c r="C141" s="9" t="n"/>
      <c r="D141" s="9" t="n"/>
      <c r="E141" s="9" t="n"/>
      <c r="F141" s="9" t="n"/>
      <c r="G141" s="9" t="n"/>
      <c r="H141" s="9" t="n"/>
      <c r="I141" s="9" t="n"/>
      <c r="J141" s="3" t="n"/>
      <c r="K141" s="9" t="n"/>
    </row>
    <row r="142">
      <c r="A142" s="4" t="n"/>
      <c r="B142" s="9">
        <f>IF(A142="","",INT((DAY(A142)-1)/7)+1)</f>
        <v/>
      </c>
      <c r="C142" s="9" t="n"/>
      <c r="D142" s="9" t="n"/>
      <c r="E142" s="9" t="n"/>
      <c r="F142" s="9" t="n"/>
      <c r="G142" s="9" t="n"/>
      <c r="H142" s="9" t="n"/>
      <c r="I142" s="9" t="n"/>
      <c r="J142" s="3" t="n"/>
      <c r="K142" s="9" t="n"/>
    </row>
    <row r="143">
      <c r="A143" s="4" t="n"/>
      <c r="B143" s="9">
        <f>IF(A143="","",INT((DAY(A143)-1)/7)+1)</f>
        <v/>
      </c>
      <c r="C143" s="9" t="n"/>
      <c r="D143" s="9" t="n"/>
      <c r="E143" s="9" t="n"/>
      <c r="F143" s="9" t="n"/>
      <c r="G143" s="9" t="n"/>
      <c r="H143" s="9" t="n"/>
      <c r="I143" s="9" t="n"/>
      <c r="J143" s="3" t="n"/>
      <c r="K143" s="9" t="n"/>
    </row>
    <row r="144">
      <c r="A144" s="4" t="n"/>
      <c r="B144" s="9">
        <f>IF(A144="","",INT((DAY(A144)-1)/7)+1)</f>
        <v/>
      </c>
      <c r="C144" s="9" t="n"/>
      <c r="D144" s="9" t="n"/>
      <c r="E144" s="9" t="n"/>
      <c r="F144" s="9" t="n"/>
      <c r="G144" s="9" t="n"/>
      <c r="H144" s="9" t="n"/>
      <c r="I144" s="9" t="n"/>
      <c r="J144" s="3" t="n"/>
      <c r="K144" s="9" t="n"/>
    </row>
    <row r="145">
      <c r="A145" s="4" t="n"/>
      <c r="B145" s="9">
        <f>IF(A145="","",INT((DAY(A145)-1)/7)+1)</f>
        <v/>
      </c>
      <c r="C145" s="9" t="n"/>
      <c r="D145" s="9" t="n"/>
      <c r="E145" s="9" t="n"/>
      <c r="F145" s="9" t="n"/>
      <c r="G145" s="9" t="n"/>
      <c r="H145" s="9" t="n"/>
      <c r="I145" s="9" t="n"/>
      <c r="J145" s="3" t="n"/>
      <c r="K145" s="9" t="n"/>
    </row>
    <row r="146">
      <c r="A146" s="4" t="n"/>
      <c r="B146" s="9">
        <f>IF(A146="","",INT((DAY(A146)-1)/7)+1)</f>
        <v/>
      </c>
      <c r="C146" s="9" t="n"/>
      <c r="D146" s="9" t="n"/>
      <c r="E146" s="9" t="n"/>
      <c r="F146" s="9" t="n"/>
      <c r="G146" s="9" t="n"/>
      <c r="H146" s="9" t="n"/>
      <c r="I146" s="9" t="n"/>
      <c r="J146" s="3" t="n"/>
      <c r="K146" s="9" t="n"/>
    </row>
    <row r="147">
      <c r="A147" s="4" t="n"/>
      <c r="B147" s="9">
        <f>IF(A147="","",INT((DAY(A147)-1)/7)+1)</f>
        <v/>
      </c>
      <c r="C147" s="9" t="n"/>
      <c r="D147" s="9" t="n"/>
      <c r="E147" s="9" t="n"/>
      <c r="F147" s="9" t="n"/>
      <c r="G147" s="9" t="n"/>
      <c r="H147" s="9" t="n"/>
      <c r="I147" s="9" t="n"/>
      <c r="J147" s="3" t="n"/>
      <c r="K147" s="9" t="n"/>
    </row>
    <row r="148">
      <c r="A148" s="4" t="n"/>
      <c r="B148" s="9">
        <f>IF(A148="","",INT((DAY(A148)-1)/7)+1)</f>
        <v/>
      </c>
      <c r="C148" s="9" t="n"/>
      <c r="D148" s="9" t="n"/>
      <c r="E148" s="9" t="n"/>
      <c r="F148" s="9" t="n"/>
      <c r="G148" s="9" t="n"/>
      <c r="H148" s="9" t="n"/>
      <c r="I148" s="9" t="n"/>
      <c r="J148" s="3" t="n"/>
      <c r="K148" s="9" t="n"/>
    </row>
    <row r="149">
      <c r="A149" s="4" t="n"/>
      <c r="B149" s="9">
        <f>IF(A149="","",INT((DAY(A149)-1)/7)+1)</f>
        <v/>
      </c>
      <c r="C149" s="9" t="n"/>
      <c r="D149" s="9" t="n"/>
      <c r="E149" s="9" t="n"/>
      <c r="F149" s="9" t="n"/>
      <c r="G149" s="9" t="n"/>
      <c r="H149" s="9" t="n"/>
      <c r="I149" s="9" t="n"/>
      <c r="J149" s="3" t="n"/>
      <c r="K149" s="9" t="n"/>
    </row>
    <row r="150">
      <c r="A150" s="4" t="n"/>
      <c r="B150" s="9">
        <f>IF(A150="","",INT((DAY(A150)-1)/7)+1)</f>
        <v/>
      </c>
      <c r="C150" s="9" t="n"/>
      <c r="D150" s="9" t="n"/>
      <c r="E150" s="9" t="n"/>
      <c r="F150" s="9" t="n"/>
      <c r="G150" s="9" t="n"/>
      <c r="H150" s="9" t="n"/>
      <c r="I150" s="9" t="n"/>
      <c r="J150" s="3" t="n"/>
      <c r="K150" s="9" t="n"/>
    </row>
    <row r="151">
      <c r="A151" s="4" t="n"/>
      <c r="B151" s="9">
        <f>IF(A151="","",INT((DAY(A151)-1)/7)+1)</f>
        <v/>
      </c>
      <c r="C151" s="9" t="n"/>
      <c r="D151" s="9" t="n"/>
      <c r="E151" s="9" t="n"/>
      <c r="F151" s="9" t="n"/>
      <c r="G151" s="9" t="n"/>
      <c r="H151" s="9" t="n"/>
      <c r="I151" s="9" t="n"/>
      <c r="J151" s="3" t="n"/>
      <c r="K151" s="9" t="n"/>
    </row>
    <row r="152">
      <c r="A152" s="4" t="n"/>
      <c r="B152" s="9">
        <f>IF(A152="","",INT((DAY(A152)-1)/7)+1)</f>
        <v/>
      </c>
      <c r="C152" s="9" t="n"/>
      <c r="D152" s="9" t="n"/>
      <c r="E152" s="9" t="n"/>
      <c r="F152" s="9" t="n"/>
      <c r="G152" s="9" t="n"/>
      <c r="H152" s="9" t="n"/>
      <c r="I152" s="9" t="n"/>
      <c r="J152" s="3" t="n"/>
      <c r="K152" s="9" t="n"/>
    </row>
    <row r="153">
      <c r="A153" s="4" t="n"/>
      <c r="B153" s="9">
        <f>IF(A153="","",INT((DAY(A153)-1)/7)+1)</f>
        <v/>
      </c>
      <c r="C153" s="9" t="n"/>
      <c r="D153" s="9" t="n"/>
      <c r="E153" s="9" t="n"/>
      <c r="F153" s="9" t="n"/>
      <c r="G153" s="9" t="n"/>
      <c r="H153" s="9" t="n"/>
      <c r="I153" s="9" t="n"/>
      <c r="J153" s="3" t="n"/>
      <c r="K153" s="9" t="n"/>
    </row>
    <row r="154">
      <c r="A154" s="4" t="n"/>
      <c r="B154" s="9">
        <f>IF(A154="","",INT((DAY(A154)-1)/7)+1)</f>
        <v/>
      </c>
      <c r="C154" s="9" t="n"/>
      <c r="D154" s="9" t="n"/>
      <c r="E154" s="9" t="n"/>
      <c r="F154" s="9" t="n"/>
      <c r="G154" s="9" t="n"/>
      <c r="H154" s="9" t="n"/>
      <c r="I154" s="9" t="n"/>
      <c r="J154" s="3" t="n"/>
      <c r="K154" s="9" t="n"/>
    </row>
    <row r="155">
      <c r="A155" s="4" t="n"/>
      <c r="B155" s="9">
        <f>IF(A155="","",INT((DAY(A155)-1)/7)+1)</f>
        <v/>
      </c>
      <c r="C155" s="9" t="n"/>
      <c r="D155" s="9" t="n"/>
      <c r="E155" s="9" t="n"/>
      <c r="F155" s="9" t="n"/>
      <c r="G155" s="9" t="n"/>
      <c r="H155" s="9" t="n"/>
      <c r="I155" s="9" t="n"/>
      <c r="J155" s="3" t="n"/>
      <c r="K155" s="9" t="n"/>
    </row>
    <row r="156">
      <c r="A156" s="4" t="n"/>
      <c r="B156" s="9">
        <f>IF(A156="","",INT((DAY(A156)-1)/7)+1)</f>
        <v/>
      </c>
      <c r="C156" s="9" t="n"/>
      <c r="D156" s="9" t="n"/>
      <c r="E156" s="9" t="n"/>
      <c r="F156" s="9" t="n"/>
      <c r="G156" s="9" t="n"/>
      <c r="H156" s="9" t="n"/>
      <c r="I156" s="9" t="n"/>
      <c r="J156" s="3" t="n"/>
      <c r="K156" s="9" t="n"/>
    </row>
    <row r="157">
      <c r="A157" s="4" t="n"/>
      <c r="B157" s="9">
        <f>IF(A157="","",INT((DAY(A157)-1)/7)+1)</f>
        <v/>
      </c>
      <c r="C157" s="9" t="n"/>
      <c r="D157" s="9" t="n"/>
      <c r="E157" s="9" t="n"/>
      <c r="F157" s="9" t="n"/>
      <c r="G157" s="9" t="n"/>
      <c r="H157" s="9" t="n"/>
      <c r="I157" s="9" t="n"/>
      <c r="J157" s="3" t="n"/>
      <c r="K157" s="9" t="n"/>
    </row>
    <row r="158">
      <c r="A158" s="4" t="n"/>
      <c r="B158" s="9">
        <f>IF(A158="","",INT((DAY(A158)-1)/7)+1)</f>
        <v/>
      </c>
      <c r="C158" s="9" t="n"/>
      <c r="D158" s="9" t="n"/>
      <c r="E158" s="9" t="n"/>
      <c r="F158" s="9" t="n"/>
      <c r="G158" s="9" t="n"/>
      <c r="H158" s="9" t="n"/>
      <c r="I158" s="9" t="n"/>
      <c r="J158" s="3" t="n"/>
      <c r="K158" s="9" t="n"/>
    </row>
    <row r="159">
      <c r="A159" s="4" t="n"/>
      <c r="B159" s="9">
        <f>IF(A159="","",INT((DAY(A159)-1)/7)+1)</f>
        <v/>
      </c>
      <c r="C159" s="9" t="n"/>
      <c r="D159" s="9" t="n"/>
      <c r="E159" s="9" t="n"/>
      <c r="F159" s="9" t="n"/>
      <c r="G159" s="9" t="n"/>
      <c r="H159" s="9" t="n"/>
      <c r="I159" s="9" t="n"/>
      <c r="J159" s="3" t="n"/>
      <c r="K159" s="9" t="n"/>
    </row>
    <row r="160">
      <c r="A160" s="4" t="n"/>
      <c r="B160" s="9">
        <f>IF(A160="","",INT((DAY(A160)-1)/7)+1)</f>
        <v/>
      </c>
      <c r="C160" s="9" t="n"/>
      <c r="D160" s="9" t="n"/>
      <c r="E160" s="9" t="n"/>
      <c r="F160" s="9" t="n"/>
      <c r="G160" s="9" t="n"/>
      <c r="H160" s="9" t="n"/>
      <c r="I160" s="9" t="n"/>
      <c r="J160" s="3" t="n"/>
      <c r="K160" s="9" t="n"/>
    </row>
    <row r="161">
      <c r="A161" s="4" t="n"/>
      <c r="B161" s="9">
        <f>IF(A161="","",INT((DAY(A161)-1)/7)+1)</f>
        <v/>
      </c>
      <c r="C161" s="9" t="n"/>
      <c r="D161" s="9" t="n"/>
      <c r="E161" s="9" t="n"/>
      <c r="F161" s="9" t="n"/>
      <c r="G161" s="9" t="n"/>
      <c r="H161" s="9" t="n"/>
      <c r="I161" s="9" t="n"/>
      <c r="J161" s="3" t="n"/>
      <c r="K161" s="9" t="n"/>
    </row>
    <row r="162">
      <c r="A162" s="4" t="n"/>
      <c r="B162" s="9">
        <f>IF(A162="","",INT((DAY(A162)-1)/7)+1)</f>
        <v/>
      </c>
      <c r="C162" s="9" t="n"/>
      <c r="D162" s="9" t="n"/>
      <c r="E162" s="9" t="n"/>
      <c r="F162" s="9" t="n"/>
      <c r="G162" s="9" t="n"/>
      <c r="H162" s="9" t="n"/>
      <c r="I162" s="9" t="n"/>
      <c r="J162" s="3" t="n"/>
      <c r="K162" s="9" t="n"/>
    </row>
    <row r="163">
      <c r="A163" s="4" t="n"/>
      <c r="B163" s="9">
        <f>IF(A163="","",INT((DAY(A163)-1)/7)+1)</f>
        <v/>
      </c>
      <c r="C163" s="9" t="n"/>
      <c r="D163" s="9" t="n"/>
      <c r="E163" s="9" t="n"/>
      <c r="F163" s="9" t="n"/>
      <c r="G163" s="9" t="n"/>
      <c r="H163" s="9" t="n"/>
      <c r="I163" s="9" t="n"/>
      <c r="J163" s="3" t="n"/>
      <c r="K163" s="9" t="n"/>
    </row>
    <row r="164">
      <c r="A164" s="4" t="n"/>
      <c r="B164" s="9">
        <f>IF(A164="","",INT((DAY(A164)-1)/7)+1)</f>
        <v/>
      </c>
      <c r="C164" s="9" t="n"/>
      <c r="D164" s="9" t="n"/>
      <c r="E164" s="9" t="n"/>
      <c r="F164" s="9" t="n"/>
      <c r="G164" s="9" t="n"/>
      <c r="H164" s="9" t="n"/>
      <c r="I164" s="9" t="n"/>
      <c r="J164" s="3" t="n"/>
      <c r="K164" s="9" t="n"/>
    </row>
    <row r="165">
      <c r="A165" s="4" t="n"/>
      <c r="B165" s="9">
        <f>IF(A165="","",INT((DAY(A165)-1)/7)+1)</f>
        <v/>
      </c>
      <c r="C165" s="9" t="n"/>
      <c r="D165" s="9" t="n"/>
      <c r="E165" s="9" t="n"/>
      <c r="F165" s="9" t="n"/>
      <c r="G165" s="9" t="n"/>
      <c r="H165" s="9" t="n"/>
      <c r="I165" s="9" t="n"/>
      <c r="J165" s="3" t="n"/>
      <c r="K165" s="9" t="n"/>
    </row>
    <row r="166">
      <c r="A166" s="4" t="n"/>
      <c r="B166" s="9">
        <f>IF(A166="","",INT((DAY(A166)-1)/7)+1)</f>
        <v/>
      </c>
      <c r="C166" s="9" t="n"/>
      <c r="D166" s="9" t="n"/>
      <c r="E166" s="9" t="n"/>
      <c r="F166" s="9" t="n"/>
      <c r="G166" s="9" t="n"/>
      <c r="H166" s="9" t="n"/>
      <c r="I166" s="9" t="n"/>
      <c r="J166" s="3" t="n"/>
      <c r="K166" s="9" t="n"/>
    </row>
    <row r="167">
      <c r="A167" s="4" t="n"/>
      <c r="B167" s="9">
        <f>IF(A167="","",INT((DAY(A167)-1)/7)+1)</f>
        <v/>
      </c>
      <c r="C167" s="9" t="n"/>
      <c r="D167" s="9" t="n"/>
      <c r="E167" s="9" t="n"/>
      <c r="F167" s="9" t="n"/>
      <c r="G167" s="9" t="n"/>
      <c r="H167" s="9" t="n"/>
      <c r="I167" s="9" t="n"/>
      <c r="J167" s="3" t="n"/>
      <c r="K167" s="9" t="n"/>
    </row>
    <row r="168">
      <c r="A168" s="4" t="n"/>
      <c r="B168" s="9">
        <f>IF(A168="","",INT((DAY(A168)-1)/7)+1)</f>
        <v/>
      </c>
      <c r="C168" s="9" t="n"/>
      <c r="D168" s="9" t="n"/>
      <c r="E168" s="9" t="n"/>
      <c r="F168" s="9" t="n"/>
      <c r="G168" s="9" t="n"/>
      <c r="H168" s="9" t="n"/>
      <c r="I168" s="9" t="n"/>
      <c r="J168" s="3" t="n"/>
      <c r="K168" s="9" t="n"/>
    </row>
    <row r="169">
      <c r="A169" s="4" t="n"/>
      <c r="B169" s="9">
        <f>IF(A169="","",INT((DAY(A169)-1)/7)+1)</f>
        <v/>
      </c>
      <c r="C169" s="9" t="n"/>
      <c r="D169" s="9" t="n"/>
      <c r="E169" s="9" t="n"/>
      <c r="F169" s="9" t="n"/>
      <c r="G169" s="9" t="n"/>
      <c r="H169" s="9" t="n"/>
      <c r="I169" s="9" t="n"/>
      <c r="J169" s="3" t="n"/>
      <c r="K169" s="9" t="n"/>
    </row>
    <row r="170">
      <c r="A170" s="4" t="n"/>
      <c r="B170" s="9">
        <f>IF(A170="","",INT((DAY(A170)-1)/7)+1)</f>
        <v/>
      </c>
      <c r="C170" s="9" t="n"/>
      <c r="D170" s="9" t="n"/>
      <c r="E170" s="9" t="n"/>
      <c r="F170" s="9" t="n"/>
      <c r="G170" s="9" t="n"/>
      <c r="H170" s="9" t="n"/>
      <c r="I170" s="9" t="n"/>
      <c r="J170" s="3" t="n"/>
      <c r="K170" s="9" t="n"/>
    </row>
    <row r="171">
      <c r="A171" s="4" t="n"/>
      <c r="B171" s="9">
        <f>IF(A171="","",INT((DAY(A171)-1)/7)+1)</f>
        <v/>
      </c>
      <c r="C171" s="9" t="n"/>
      <c r="D171" s="9" t="n"/>
      <c r="E171" s="9" t="n"/>
      <c r="F171" s="9" t="n"/>
      <c r="G171" s="9" t="n"/>
      <c r="H171" s="9" t="n"/>
      <c r="I171" s="9" t="n"/>
      <c r="J171" s="3" t="n"/>
      <c r="K171" s="9" t="n"/>
    </row>
    <row r="172">
      <c r="A172" s="4" t="n"/>
      <c r="B172" s="9">
        <f>IF(A172="","",INT((DAY(A172)-1)/7)+1)</f>
        <v/>
      </c>
      <c r="C172" s="9" t="n"/>
      <c r="D172" s="9" t="n"/>
      <c r="E172" s="9" t="n"/>
      <c r="F172" s="9" t="n"/>
      <c r="G172" s="9" t="n"/>
      <c r="H172" s="9" t="n"/>
      <c r="I172" s="9" t="n"/>
      <c r="J172" s="3" t="n"/>
      <c r="K172" s="9" t="n"/>
    </row>
    <row r="173">
      <c r="A173" s="4" t="n"/>
      <c r="B173" s="9">
        <f>IF(A173="","",INT((DAY(A173)-1)/7)+1)</f>
        <v/>
      </c>
      <c r="C173" s="9" t="n"/>
      <c r="D173" s="9" t="n"/>
      <c r="E173" s="9" t="n"/>
      <c r="F173" s="9" t="n"/>
      <c r="G173" s="9" t="n"/>
      <c r="H173" s="9" t="n"/>
      <c r="I173" s="9" t="n"/>
      <c r="J173" s="3" t="n"/>
      <c r="K173" s="9" t="n"/>
    </row>
    <row r="174">
      <c r="A174" s="4" t="n"/>
      <c r="B174" s="9">
        <f>IF(A174="","",INT((DAY(A174)-1)/7)+1)</f>
        <v/>
      </c>
      <c r="C174" s="9" t="n"/>
      <c r="D174" s="9" t="n"/>
      <c r="E174" s="9" t="n"/>
      <c r="F174" s="9" t="n"/>
      <c r="G174" s="9" t="n"/>
      <c r="H174" s="9" t="n"/>
      <c r="I174" s="9" t="n"/>
      <c r="J174" s="3" t="n"/>
      <c r="K174" s="9" t="n"/>
    </row>
    <row r="175">
      <c r="A175" s="4" t="n"/>
      <c r="B175" s="9">
        <f>IF(A175="","",INT((DAY(A175)-1)/7)+1)</f>
        <v/>
      </c>
      <c r="C175" s="9" t="n"/>
      <c r="D175" s="9" t="n"/>
      <c r="E175" s="9" t="n"/>
      <c r="F175" s="9" t="n"/>
      <c r="G175" s="9" t="n"/>
      <c r="H175" s="9" t="n"/>
      <c r="I175" s="9" t="n"/>
      <c r="J175" s="3" t="n"/>
      <c r="K175" s="9" t="n"/>
    </row>
    <row r="176">
      <c r="A176" s="4" t="n"/>
      <c r="B176" s="9">
        <f>IF(A176="","",INT((DAY(A176)-1)/7)+1)</f>
        <v/>
      </c>
      <c r="C176" s="9" t="n"/>
      <c r="D176" s="9" t="n"/>
      <c r="E176" s="9" t="n"/>
      <c r="F176" s="9" t="n"/>
      <c r="G176" s="9" t="n"/>
      <c r="H176" s="9" t="n"/>
      <c r="I176" s="9" t="n"/>
      <c r="J176" s="3" t="n"/>
      <c r="K176" s="9" t="n"/>
    </row>
    <row r="177">
      <c r="A177" s="4" t="n"/>
      <c r="B177" s="9">
        <f>IF(A177="","",INT((DAY(A177)-1)/7)+1)</f>
        <v/>
      </c>
      <c r="C177" s="9" t="n"/>
      <c r="D177" s="9" t="n"/>
      <c r="E177" s="9" t="n"/>
      <c r="F177" s="9" t="n"/>
      <c r="G177" s="9" t="n"/>
      <c r="H177" s="9" t="n"/>
      <c r="I177" s="9" t="n"/>
      <c r="J177" s="3" t="n"/>
      <c r="K177" s="9" t="n"/>
    </row>
    <row r="178">
      <c r="A178" s="4" t="n"/>
      <c r="B178" s="9">
        <f>IF(A178="","",INT((DAY(A178)-1)/7)+1)</f>
        <v/>
      </c>
      <c r="C178" s="9" t="n"/>
      <c r="D178" s="9" t="n"/>
      <c r="E178" s="9" t="n"/>
      <c r="F178" s="9" t="n"/>
      <c r="G178" s="9" t="n"/>
      <c r="H178" s="9" t="n"/>
      <c r="I178" s="9" t="n"/>
      <c r="J178" s="3" t="n"/>
      <c r="K178" s="9" t="n"/>
    </row>
    <row r="179">
      <c r="A179" s="4" t="n"/>
      <c r="B179" s="9">
        <f>IF(A179="","",INT((DAY(A179)-1)/7)+1)</f>
        <v/>
      </c>
      <c r="C179" s="9" t="n"/>
      <c r="D179" s="9" t="n"/>
      <c r="E179" s="9" t="n"/>
      <c r="F179" s="9" t="n"/>
      <c r="G179" s="9" t="n"/>
      <c r="H179" s="9" t="n"/>
      <c r="I179" s="9" t="n"/>
      <c r="J179" s="3" t="n"/>
      <c r="K179" s="9" t="n"/>
    </row>
    <row r="180">
      <c r="A180" s="4" t="n"/>
      <c r="B180" s="9">
        <f>IF(A180="","",INT((DAY(A180)-1)/7)+1)</f>
        <v/>
      </c>
      <c r="C180" s="9" t="n"/>
      <c r="D180" s="9" t="n"/>
      <c r="E180" s="9" t="n"/>
      <c r="F180" s="9" t="n"/>
      <c r="G180" s="9" t="n"/>
      <c r="H180" s="9" t="n"/>
      <c r="I180" s="9" t="n"/>
      <c r="J180" s="3" t="n"/>
      <c r="K180" s="9" t="n"/>
    </row>
    <row r="181">
      <c r="A181" s="4" t="n"/>
      <c r="B181" s="9">
        <f>IF(A181="","",INT((DAY(A181)-1)/7)+1)</f>
        <v/>
      </c>
      <c r="C181" s="9" t="n"/>
      <c r="D181" s="9" t="n"/>
      <c r="E181" s="9" t="n"/>
      <c r="F181" s="9" t="n"/>
      <c r="G181" s="9" t="n"/>
      <c r="H181" s="9" t="n"/>
      <c r="I181" s="9" t="n"/>
      <c r="J181" s="3" t="n"/>
      <c r="K181" s="9" t="n"/>
    </row>
    <row r="182">
      <c r="A182" s="4" t="n"/>
      <c r="B182" s="9">
        <f>IF(A182="","",INT((DAY(A182)-1)/7)+1)</f>
        <v/>
      </c>
      <c r="C182" s="9" t="n"/>
      <c r="D182" s="9" t="n"/>
      <c r="E182" s="9" t="n"/>
      <c r="F182" s="9" t="n"/>
      <c r="G182" s="9" t="n"/>
      <c r="H182" s="9" t="n"/>
      <c r="I182" s="9" t="n"/>
      <c r="J182" s="3" t="n"/>
      <c r="K182" s="9" t="n"/>
    </row>
    <row r="183">
      <c r="A183" s="4" t="n"/>
      <c r="B183" s="9">
        <f>IF(A183="","",INT((DAY(A183)-1)/7)+1)</f>
        <v/>
      </c>
      <c r="C183" s="9" t="n"/>
      <c r="D183" s="9" t="n"/>
      <c r="E183" s="9" t="n"/>
      <c r="F183" s="9" t="n"/>
      <c r="G183" s="9" t="n"/>
      <c r="H183" s="9" t="n"/>
      <c r="I183" s="9" t="n"/>
      <c r="J183" s="3" t="n"/>
      <c r="K183" s="9" t="n"/>
    </row>
    <row r="184">
      <c r="A184" s="4" t="n"/>
      <c r="B184" s="9">
        <f>IF(A184="","",INT((DAY(A184)-1)/7)+1)</f>
        <v/>
      </c>
      <c r="C184" s="9" t="n"/>
      <c r="D184" s="9" t="n"/>
      <c r="E184" s="9" t="n"/>
      <c r="F184" s="9" t="n"/>
      <c r="G184" s="9" t="n"/>
      <c r="H184" s="9" t="n"/>
      <c r="I184" s="9" t="n"/>
      <c r="J184" s="3" t="n"/>
      <c r="K184" s="9" t="n"/>
    </row>
    <row r="185">
      <c r="A185" s="4" t="n"/>
      <c r="B185" s="9">
        <f>IF(A185="","",INT((DAY(A185)-1)/7)+1)</f>
        <v/>
      </c>
      <c r="C185" s="9" t="n"/>
      <c r="D185" s="9" t="n"/>
      <c r="E185" s="9" t="n"/>
      <c r="F185" s="9" t="n"/>
      <c r="G185" s="9" t="n"/>
      <c r="H185" s="9" t="n"/>
      <c r="I185" s="9" t="n"/>
      <c r="J185" s="3" t="n"/>
      <c r="K185" s="9" t="n"/>
    </row>
    <row r="186">
      <c r="A186" s="4" t="n"/>
      <c r="B186" s="9">
        <f>IF(A186="","",INT((DAY(A186)-1)/7)+1)</f>
        <v/>
      </c>
      <c r="C186" s="9" t="n"/>
      <c r="D186" s="9" t="n"/>
      <c r="E186" s="9" t="n"/>
      <c r="F186" s="9" t="n"/>
      <c r="G186" s="9" t="n"/>
      <c r="H186" s="9" t="n"/>
      <c r="I186" s="9" t="n"/>
      <c r="J186" s="3" t="n"/>
      <c r="K186" s="9" t="n"/>
    </row>
    <row r="187">
      <c r="A187" s="4" t="n"/>
      <c r="B187" s="9">
        <f>IF(A187="","",INT((DAY(A187)-1)/7)+1)</f>
        <v/>
      </c>
      <c r="C187" s="9" t="n"/>
      <c r="D187" s="9" t="n"/>
      <c r="E187" s="9" t="n"/>
      <c r="F187" s="9" t="n"/>
      <c r="G187" s="9" t="n"/>
      <c r="H187" s="9" t="n"/>
      <c r="I187" s="9" t="n"/>
      <c r="J187" s="3" t="n"/>
      <c r="K187" s="9" t="n"/>
    </row>
    <row r="188">
      <c r="A188" s="4" t="n"/>
      <c r="B188" s="9">
        <f>IF(A188="","",INT((DAY(A188)-1)/7)+1)</f>
        <v/>
      </c>
      <c r="C188" s="9" t="n"/>
      <c r="D188" s="9" t="n"/>
      <c r="E188" s="9" t="n"/>
      <c r="F188" s="9" t="n"/>
      <c r="G188" s="9" t="n"/>
      <c r="H188" s="9" t="n"/>
      <c r="I188" s="9" t="n"/>
      <c r="J188" s="3" t="n"/>
      <c r="K188" s="9" t="n"/>
    </row>
    <row r="189">
      <c r="A189" s="4" t="n"/>
      <c r="B189" s="9">
        <f>IF(A189="","",INT((DAY(A189)-1)/7)+1)</f>
        <v/>
      </c>
      <c r="C189" s="9" t="n"/>
      <c r="D189" s="9" t="n"/>
      <c r="E189" s="9" t="n"/>
      <c r="F189" s="9" t="n"/>
      <c r="G189" s="9" t="n"/>
      <c r="H189" s="9" t="n"/>
      <c r="I189" s="9" t="n"/>
      <c r="J189" s="3" t="n"/>
      <c r="K189" s="9" t="n"/>
    </row>
    <row r="190">
      <c r="A190" s="4" t="n"/>
      <c r="B190" s="9">
        <f>IF(A190="","",INT((DAY(A190)-1)/7)+1)</f>
        <v/>
      </c>
      <c r="C190" s="9" t="n"/>
      <c r="D190" s="9" t="n"/>
      <c r="E190" s="9" t="n"/>
      <c r="F190" s="9" t="n"/>
      <c r="G190" s="9" t="n"/>
      <c r="H190" s="9" t="n"/>
      <c r="I190" s="9" t="n"/>
      <c r="J190" s="3" t="n"/>
      <c r="K190" s="9" t="n"/>
    </row>
    <row r="191">
      <c r="A191" s="4" t="n"/>
      <c r="B191" s="9">
        <f>IF(A191="","",INT((DAY(A191)-1)/7)+1)</f>
        <v/>
      </c>
      <c r="C191" s="9" t="n"/>
      <c r="D191" s="9" t="n"/>
      <c r="E191" s="9" t="n"/>
      <c r="F191" s="9" t="n"/>
      <c r="G191" s="9" t="n"/>
      <c r="H191" s="9" t="n"/>
      <c r="I191" s="9" t="n"/>
      <c r="J191" s="3" t="n"/>
      <c r="K191" s="9" t="n"/>
    </row>
    <row r="192">
      <c r="A192" s="4" t="n"/>
      <c r="B192" s="9">
        <f>IF(A192="","",INT((DAY(A192)-1)/7)+1)</f>
        <v/>
      </c>
      <c r="C192" s="9" t="n"/>
      <c r="D192" s="9" t="n"/>
      <c r="E192" s="9" t="n"/>
      <c r="F192" s="9" t="n"/>
      <c r="G192" s="9" t="n"/>
      <c r="H192" s="9" t="n"/>
      <c r="I192" s="9" t="n"/>
      <c r="J192" s="3" t="n"/>
      <c r="K192" s="9" t="n"/>
    </row>
    <row r="193">
      <c r="A193" s="4" t="n"/>
      <c r="B193" s="9">
        <f>IF(A193="","",INT((DAY(A193)-1)/7)+1)</f>
        <v/>
      </c>
      <c r="C193" s="9" t="n"/>
      <c r="D193" s="9" t="n"/>
      <c r="E193" s="9" t="n"/>
      <c r="F193" s="9" t="n"/>
      <c r="G193" s="9" t="n"/>
      <c r="H193" s="9" t="n"/>
      <c r="I193" s="9" t="n"/>
      <c r="J193" s="3" t="n"/>
      <c r="K193" s="9" t="n"/>
    </row>
    <row r="194">
      <c r="A194" s="4" t="n"/>
      <c r="B194" s="9">
        <f>IF(A194="","",INT((DAY(A194)-1)/7)+1)</f>
        <v/>
      </c>
      <c r="C194" s="9" t="n"/>
      <c r="D194" s="9" t="n"/>
      <c r="E194" s="9" t="n"/>
      <c r="F194" s="9" t="n"/>
      <c r="G194" s="9" t="n"/>
      <c r="H194" s="9" t="n"/>
      <c r="I194" s="9" t="n"/>
      <c r="J194" s="3" t="n"/>
      <c r="K194" s="9" t="n"/>
    </row>
    <row r="195">
      <c r="A195" s="4" t="n"/>
      <c r="B195" s="9">
        <f>IF(A195="","",INT((DAY(A195)-1)/7)+1)</f>
        <v/>
      </c>
      <c r="C195" s="9" t="n"/>
      <c r="D195" s="9" t="n"/>
      <c r="E195" s="9" t="n"/>
      <c r="F195" s="9" t="n"/>
      <c r="G195" s="9" t="n"/>
      <c r="H195" s="9" t="n"/>
      <c r="I195" s="9" t="n"/>
      <c r="J195" s="3" t="n"/>
      <c r="K195" s="9" t="n"/>
    </row>
    <row r="196">
      <c r="A196" s="4" t="n"/>
      <c r="B196" s="9">
        <f>IF(A196="","",INT((DAY(A196)-1)/7)+1)</f>
        <v/>
      </c>
      <c r="C196" s="9" t="n"/>
      <c r="D196" s="9" t="n"/>
      <c r="E196" s="9" t="n"/>
      <c r="F196" s="9" t="n"/>
      <c r="G196" s="9" t="n"/>
      <c r="H196" s="9" t="n"/>
      <c r="I196" s="9" t="n"/>
      <c r="J196" s="3" t="n"/>
      <c r="K196" s="9" t="n"/>
    </row>
    <row r="197">
      <c r="A197" s="4" t="n"/>
      <c r="B197" s="9">
        <f>IF(A197="","",INT((DAY(A197)-1)/7)+1)</f>
        <v/>
      </c>
      <c r="C197" s="9" t="n"/>
      <c r="D197" s="9" t="n"/>
      <c r="E197" s="9" t="n"/>
      <c r="F197" s="9" t="n"/>
      <c r="G197" s="9" t="n"/>
      <c r="H197" s="9" t="n"/>
      <c r="I197" s="9" t="n"/>
      <c r="J197" s="3" t="n"/>
      <c r="K197" s="9" t="n"/>
    </row>
    <row r="198">
      <c r="A198" s="4" t="n"/>
      <c r="B198" s="9">
        <f>IF(A198="","",INT((DAY(A198)-1)/7)+1)</f>
        <v/>
      </c>
      <c r="C198" s="9" t="n"/>
      <c r="D198" s="9" t="n"/>
      <c r="E198" s="9" t="n"/>
      <c r="F198" s="9" t="n"/>
      <c r="G198" s="9" t="n"/>
      <c r="H198" s="9" t="n"/>
      <c r="I198" s="9" t="n"/>
      <c r="J198" s="3" t="n"/>
      <c r="K198" s="9" t="n"/>
    </row>
    <row r="199">
      <c r="A199" s="4" t="n"/>
      <c r="B199" s="9">
        <f>IF(A199="","",INT((DAY(A199)-1)/7)+1)</f>
        <v/>
      </c>
      <c r="C199" s="9" t="n"/>
      <c r="D199" s="9" t="n"/>
      <c r="E199" s="9" t="n"/>
      <c r="F199" s="9" t="n"/>
      <c r="G199" s="9" t="n"/>
      <c r="H199" s="9" t="n"/>
      <c r="I199" s="9" t="n"/>
      <c r="J199" s="3" t="n"/>
      <c r="K199" s="9" t="n"/>
    </row>
    <row r="200">
      <c r="A200" s="4" t="n"/>
      <c r="B200" s="9">
        <f>IF(A200="","",INT((DAY(A200)-1)/7)+1)</f>
        <v/>
      </c>
      <c r="C200" s="9" t="n"/>
      <c r="D200" s="9" t="n"/>
      <c r="E200" s="9" t="n"/>
      <c r="F200" s="9" t="n"/>
      <c r="G200" s="9" t="n"/>
      <c r="H200" s="9" t="n"/>
      <c r="I200" s="9" t="n"/>
      <c r="J200" s="3" t="n"/>
      <c r="K200" s="9" t="n"/>
    </row>
    <row r="201">
      <c r="A201" s="4" t="n"/>
      <c r="B201" s="9">
        <f>IF(A201="","",INT((DAY(A201)-1)/7)+1)</f>
        <v/>
      </c>
      <c r="C201" s="9" t="n"/>
      <c r="D201" s="9" t="n"/>
      <c r="E201" s="9" t="n"/>
      <c r="F201" s="9" t="n"/>
      <c r="G201" s="9" t="n"/>
      <c r="H201" s="9" t="n"/>
      <c r="I201" s="9" t="n"/>
      <c r="J201" s="3" t="n"/>
      <c r="K201" s="9" t="n"/>
    </row>
    <row r="202">
      <c r="A202" s="4" t="n"/>
      <c r="B202" s="9">
        <f>IF(A202="","",INT((DAY(A202)-1)/7)+1)</f>
        <v/>
      </c>
      <c r="C202" s="9" t="n"/>
      <c r="D202" s="9" t="n"/>
      <c r="E202" s="9" t="n"/>
      <c r="F202" s="9" t="n"/>
      <c r="G202" s="9" t="n"/>
      <c r="H202" s="9" t="n"/>
      <c r="I202" s="9" t="n"/>
      <c r="J202" s="3" t="n"/>
      <c r="K202" s="9" t="n"/>
    </row>
    <row r="203">
      <c r="A203" s="4" t="n"/>
      <c r="B203" s="9">
        <f>IF(A203="","",INT((DAY(A203)-1)/7)+1)</f>
        <v/>
      </c>
      <c r="C203" s="9" t="n"/>
      <c r="D203" s="9" t="n"/>
      <c r="E203" s="9" t="n"/>
      <c r="F203" s="9" t="n"/>
      <c r="G203" s="9" t="n"/>
      <c r="H203" s="9" t="n"/>
      <c r="I203" s="9" t="n"/>
      <c r="J203" s="3" t="n"/>
      <c r="K203" s="9" t="n"/>
    </row>
    <row r="204">
      <c r="A204" s="4" t="n"/>
      <c r="B204" s="9">
        <f>IF(A204="","",INT((DAY(A204)-1)/7)+1)</f>
        <v/>
      </c>
      <c r="C204" s="9" t="n"/>
      <c r="D204" s="9" t="n"/>
      <c r="E204" s="9" t="n"/>
      <c r="F204" s="9" t="n"/>
      <c r="G204" s="9" t="n"/>
      <c r="H204" s="9" t="n"/>
      <c r="I204" s="9" t="n"/>
      <c r="J204" s="3" t="n"/>
      <c r="K204" s="9" t="n"/>
    </row>
    <row r="205">
      <c r="A205" s="4" t="n"/>
      <c r="B205" s="9">
        <f>IF(A205="","",INT((DAY(A205)-1)/7)+1)</f>
        <v/>
      </c>
      <c r="C205" s="9" t="n"/>
      <c r="D205" s="9" t="n"/>
      <c r="E205" s="9" t="n"/>
      <c r="F205" s="9" t="n"/>
      <c r="G205" s="9" t="n"/>
      <c r="H205" s="9" t="n"/>
      <c r="I205" s="9" t="n"/>
      <c r="J205" s="3" t="n"/>
      <c r="K205" s="9" t="n"/>
    </row>
    <row r="206">
      <c r="A206" s="4" t="n"/>
      <c r="B206" s="9">
        <f>IF(A206="","",INT((DAY(A206)-1)/7)+1)</f>
        <v/>
      </c>
      <c r="C206" s="9" t="n"/>
      <c r="D206" s="9" t="n"/>
      <c r="E206" s="9" t="n"/>
      <c r="F206" s="9" t="n"/>
      <c r="G206" s="9" t="n"/>
      <c r="H206" s="9" t="n"/>
      <c r="I206" s="9" t="n"/>
      <c r="J206" s="3" t="n"/>
      <c r="K206" s="9" t="n"/>
    </row>
    <row r="207">
      <c r="A207" s="4" t="n"/>
      <c r="B207" s="9">
        <f>IF(A207="","",INT((DAY(A207)-1)/7)+1)</f>
        <v/>
      </c>
      <c r="C207" s="9" t="n"/>
      <c r="D207" s="9" t="n"/>
      <c r="E207" s="9" t="n"/>
      <c r="F207" s="9" t="n"/>
      <c r="G207" s="9" t="n"/>
      <c r="H207" s="9" t="n"/>
      <c r="I207" s="9" t="n"/>
      <c r="J207" s="3" t="n"/>
      <c r="K207" s="9" t="n"/>
    </row>
    <row r="208">
      <c r="A208" s="4" t="n"/>
      <c r="B208" s="9">
        <f>IF(A208="","",INT((DAY(A208)-1)/7)+1)</f>
        <v/>
      </c>
      <c r="C208" s="9" t="n"/>
      <c r="D208" s="9" t="n"/>
      <c r="E208" s="9" t="n"/>
      <c r="F208" s="9" t="n"/>
      <c r="G208" s="9" t="n"/>
      <c r="H208" s="9" t="n"/>
      <c r="I208" s="9" t="n"/>
      <c r="J208" s="3" t="n"/>
      <c r="K208" s="9" t="n"/>
    </row>
    <row r="209">
      <c r="A209" s="4" t="n"/>
      <c r="B209" s="9">
        <f>IF(A209="","",INT((DAY(A209)-1)/7)+1)</f>
        <v/>
      </c>
      <c r="C209" s="9" t="n"/>
      <c r="D209" s="9" t="n"/>
      <c r="E209" s="9" t="n"/>
      <c r="F209" s="9" t="n"/>
      <c r="G209" s="9" t="n"/>
      <c r="H209" s="9" t="n"/>
      <c r="I209" s="9" t="n"/>
      <c r="J209" s="3" t="n"/>
      <c r="K209" s="9" t="n"/>
    </row>
    <row r="210">
      <c r="A210" s="4" t="n"/>
      <c r="B210" s="9">
        <f>IF(A210="","",INT((DAY(A210)-1)/7)+1)</f>
        <v/>
      </c>
      <c r="C210" s="9" t="n"/>
      <c r="D210" s="9" t="n"/>
      <c r="E210" s="9" t="n"/>
      <c r="F210" s="9" t="n"/>
      <c r="G210" s="9" t="n"/>
      <c r="H210" s="9" t="n"/>
      <c r="I210" s="9" t="n"/>
      <c r="J210" s="3" t="n"/>
      <c r="K210" s="9" t="n"/>
    </row>
    <row r="211">
      <c r="A211" s="4" t="n"/>
      <c r="B211" s="9">
        <f>IF(A211="","",INT((DAY(A211)-1)/7)+1)</f>
        <v/>
      </c>
      <c r="C211" s="9" t="n"/>
      <c r="D211" s="9" t="n"/>
      <c r="E211" s="9" t="n"/>
      <c r="F211" s="9" t="n"/>
      <c r="G211" s="9" t="n"/>
      <c r="H211" s="9" t="n"/>
      <c r="I211" s="9" t="n"/>
      <c r="J211" s="3" t="n"/>
      <c r="K211" s="9" t="n"/>
    </row>
    <row r="212">
      <c r="A212" s="4" t="n"/>
      <c r="B212" s="9">
        <f>IF(A212="","",INT((DAY(A212)-1)/7)+1)</f>
        <v/>
      </c>
      <c r="C212" s="9" t="n"/>
      <c r="D212" s="9" t="n"/>
      <c r="E212" s="9" t="n"/>
      <c r="F212" s="9" t="n"/>
      <c r="G212" s="9" t="n"/>
      <c r="H212" s="9" t="n"/>
      <c r="I212" s="9" t="n"/>
      <c r="J212" s="3" t="n"/>
      <c r="K212" s="9" t="n"/>
    </row>
    <row r="213">
      <c r="A213" s="4" t="n"/>
      <c r="B213" s="9">
        <f>IF(A213="","",INT((DAY(A213)-1)/7)+1)</f>
        <v/>
      </c>
      <c r="C213" s="9" t="n"/>
      <c r="D213" s="9" t="n"/>
      <c r="E213" s="9" t="n"/>
      <c r="F213" s="9" t="n"/>
      <c r="G213" s="9" t="n"/>
      <c r="H213" s="9" t="n"/>
      <c r="I213" s="9" t="n"/>
      <c r="J213" s="3" t="n"/>
      <c r="K213" s="9" t="n"/>
    </row>
    <row r="214">
      <c r="A214" s="4" t="n"/>
      <c r="B214" s="9">
        <f>IF(A214="","",INT((DAY(A214)-1)/7)+1)</f>
        <v/>
      </c>
      <c r="C214" s="9" t="n"/>
      <c r="D214" s="9" t="n"/>
      <c r="E214" s="9" t="n"/>
      <c r="F214" s="9" t="n"/>
      <c r="G214" s="9" t="n"/>
      <c r="H214" s="9" t="n"/>
      <c r="I214" s="9" t="n"/>
      <c r="J214" s="3" t="n"/>
      <c r="K214" s="9" t="n"/>
    </row>
    <row r="215">
      <c r="A215" s="4" t="n"/>
      <c r="B215" s="9">
        <f>IF(A215="","",INT((DAY(A215)-1)/7)+1)</f>
        <v/>
      </c>
      <c r="C215" s="9" t="n"/>
      <c r="D215" s="9" t="n"/>
      <c r="E215" s="9" t="n"/>
      <c r="F215" s="9" t="n"/>
      <c r="G215" s="9" t="n"/>
      <c r="H215" s="9" t="n"/>
      <c r="I215" s="9" t="n"/>
      <c r="J215" s="3" t="n"/>
      <c r="K215" s="9" t="n"/>
    </row>
    <row r="216">
      <c r="A216" s="4" t="n"/>
      <c r="B216" s="9">
        <f>IF(A216="","",INT((DAY(A216)-1)/7)+1)</f>
        <v/>
      </c>
      <c r="C216" s="9" t="n"/>
      <c r="D216" s="9" t="n"/>
      <c r="E216" s="9" t="n"/>
      <c r="F216" s="9" t="n"/>
      <c r="G216" s="9" t="n"/>
      <c r="H216" s="9" t="n"/>
      <c r="I216" s="9" t="n"/>
      <c r="J216" s="3" t="n"/>
      <c r="K216" s="9" t="n"/>
    </row>
    <row r="217">
      <c r="A217" s="4" t="n"/>
      <c r="B217" s="9">
        <f>IF(A217="","",INT((DAY(A217)-1)/7)+1)</f>
        <v/>
      </c>
      <c r="C217" s="9" t="n"/>
      <c r="D217" s="9" t="n"/>
      <c r="E217" s="9" t="n"/>
      <c r="F217" s="9" t="n"/>
      <c r="G217" s="9" t="n"/>
      <c r="H217" s="9" t="n"/>
      <c r="I217" s="9" t="n"/>
      <c r="J217" s="3" t="n"/>
      <c r="K217" s="9" t="n"/>
    </row>
    <row r="218">
      <c r="A218" s="4" t="n"/>
      <c r="B218" s="9">
        <f>IF(A218="","",INT((DAY(A218)-1)/7)+1)</f>
        <v/>
      </c>
      <c r="C218" s="9" t="n"/>
      <c r="D218" s="9" t="n"/>
      <c r="E218" s="9" t="n"/>
      <c r="F218" s="9" t="n"/>
      <c r="G218" s="9" t="n"/>
      <c r="H218" s="9" t="n"/>
      <c r="I218" s="9" t="n"/>
      <c r="J218" s="3" t="n"/>
      <c r="K218" s="9" t="n"/>
    </row>
    <row r="219">
      <c r="A219" s="4" t="n"/>
      <c r="B219" s="9">
        <f>IF(A219="","",INT((DAY(A219)-1)/7)+1)</f>
        <v/>
      </c>
      <c r="C219" s="9" t="n"/>
      <c r="D219" s="9" t="n"/>
      <c r="E219" s="9" t="n"/>
      <c r="F219" s="9" t="n"/>
      <c r="G219" s="9" t="n"/>
      <c r="H219" s="9" t="n"/>
      <c r="I219" s="9" t="n"/>
      <c r="J219" s="3" t="n"/>
      <c r="K219" s="9" t="n"/>
    </row>
    <row r="220">
      <c r="A220" s="4" t="n"/>
      <c r="B220" s="9">
        <f>IF(A220="","",INT((DAY(A220)-1)/7)+1)</f>
        <v/>
      </c>
      <c r="C220" s="9" t="n"/>
      <c r="D220" s="9" t="n"/>
      <c r="E220" s="9" t="n"/>
      <c r="F220" s="9" t="n"/>
      <c r="G220" s="9" t="n"/>
      <c r="H220" s="9" t="n"/>
      <c r="I220" s="9" t="n"/>
      <c r="J220" s="3" t="n"/>
      <c r="K220" s="9" t="n"/>
    </row>
    <row r="221">
      <c r="A221" s="4" t="n"/>
      <c r="B221" s="9">
        <f>IF(A221="","",INT((DAY(A221)-1)/7)+1)</f>
        <v/>
      </c>
      <c r="C221" s="9" t="n"/>
      <c r="D221" s="9" t="n"/>
      <c r="E221" s="9" t="n"/>
      <c r="F221" s="9" t="n"/>
      <c r="G221" s="9" t="n"/>
      <c r="H221" s="9" t="n"/>
      <c r="I221" s="9" t="n"/>
      <c r="J221" s="3" t="n"/>
      <c r="K221" s="9" t="n"/>
    </row>
    <row r="222">
      <c r="A222" s="4" t="n"/>
      <c r="B222" s="9">
        <f>IF(A222="","",INT((DAY(A222)-1)/7)+1)</f>
        <v/>
      </c>
      <c r="C222" s="9" t="n"/>
      <c r="D222" s="9" t="n"/>
      <c r="E222" s="9" t="n"/>
      <c r="F222" s="9" t="n"/>
      <c r="G222" s="9" t="n"/>
      <c r="H222" s="9" t="n"/>
      <c r="I222" s="9" t="n"/>
      <c r="J222" s="3" t="n"/>
      <c r="K222" s="9" t="n"/>
    </row>
    <row r="223">
      <c r="A223" s="4" t="n"/>
      <c r="B223" s="9">
        <f>IF(A223="","",INT((DAY(A223)-1)/7)+1)</f>
        <v/>
      </c>
      <c r="C223" s="9" t="n"/>
      <c r="D223" s="9" t="n"/>
      <c r="E223" s="9" t="n"/>
      <c r="F223" s="9" t="n"/>
      <c r="G223" s="9" t="n"/>
      <c r="H223" s="9" t="n"/>
      <c r="I223" s="9" t="n"/>
      <c r="J223" s="3" t="n"/>
      <c r="K223" s="9" t="n"/>
    </row>
    <row r="224">
      <c r="A224" s="4" t="n"/>
      <c r="B224" s="9">
        <f>IF(A224="","",INT((DAY(A224)-1)/7)+1)</f>
        <v/>
      </c>
      <c r="C224" s="9" t="n"/>
      <c r="D224" s="9" t="n"/>
      <c r="E224" s="9" t="n"/>
      <c r="F224" s="9" t="n"/>
      <c r="G224" s="9" t="n"/>
      <c r="H224" s="9" t="n"/>
      <c r="I224" s="9" t="n"/>
      <c r="J224" s="3" t="n"/>
      <c r="K224" s="9" t="n"/>
    </row>
    <row r="225">
      <c r="A225" s="4" t="n"/>
      <c r="B225" s="9">
        <f>IF(A225="","",INT((DAY(A225)-1)/7)+1)</f>
        <v/>
      </c>
      <c r="C225" s="9" t="n"/>
      <c r="D225" s="9" t="n"/>
      <c r="E225" s="9" t="n"/>
      <c r="F225" s="9" t="n"/>
      <c r="G225" s="9" t="n"/>
      <c r="H225" s="9" t="n"/>
      <c r="I225" s="9" t="n"/>
      <c r="J225" s="3" t="n"/>
      <c r="K225" s="9" t="n"/>
    </row>
    <row r="226">
      <c r="A226" s="4" t="n"/>
      <c r="B226" s="9">
        <f>IF(A226="","",INT((DAY(A226)-1)/7)+1)</f>
        <v/>
      </c>
      <c r="C226" s="9" t="n"/>
      <c r="D226" s="9" t="n"/>
      <c r="E226" s="9" t="n"/>
      <c r="F226" s="9" t="n"/>
      <c r="G226" s="9" t="n"/>
      <c r="H226" s="9" t="n"/>
      <c r="I226" s="9" t="n"/>
      <c r="J226" s="3" t="n"/>
      <c r="K226" s="9" t="n"/>
    </row>
    <row r="227">
      <c r="A227" s="4" t="n"/>
      <c r="B227" s="9">
        <f>IF(A227="","",INT((DAY(A227)-1)/7)+1)</f>
        <v/>
      </c>
      <c r="C227" s="9" t="n"/>
      <c r="D227" s="9" t="n"/>
      <c r="E227" s="9" t="n"/>
      <c r="F227" s="9" t="n"/>
      <c r="G227" s="9" t="n"/>
      <c r="H227" s="9" t="n"/>
      <c r="I227" s="9" t="n"/>
      <c r="J227" s="3" t="n"/>
      <c r="K227" s="9" t="n"/>
    </row>
    <row r="228">
      <c r="A228" s="4" t="n"/>
      <c r="B228" s="9">
        <f>IF(A228="","",INT((DAY(A228)-1)/7)+1)</f>
        <v/>
      </c>
      <c r="C228" s="9" t="n"/>
      <c r="D228" s="9" t="n"/>
      <c r="E228" s="9" t="n"/>
      <c r="F228" s="9" t="n"/>
      <c r="G228" s="9" t="n"/>
      <c r="H228" s="9" t="n"/>
      <c r="I228" s="9" t="n"/>
      <c r="J228" s="3" t="n"/>
      <c r="K228" s="9" t="n"/>
    </row>
    <row r="229">
      <c r="A229" s="4" t="n"/>
      <c r="B229" s="9">
        <f>IF(A229="","",INT((DAY(A229)-1)/7)+1)</f>
        <v/>
      </c>
      <c r="C229" s="9" t="n"/>
      <c r="D229" s="9" t="n"/>
      <c r="E229" s="9" t="n"/>
      <c r="F229" s="9" t="n"/>
      <c r="G229" s="9" t="n"/>
      <c r="H229" s="9" t="n"/>
      <c r="I229" s="9" t="n"/>
      <c r="J229" s="3" t="n"/>
      <c r="K229" s="9" t="n"/>
    </row>
    <row r="230">
      <c r="A230" s="4" t="n"/>
      <c r="B230" s="9">
        <f>IF(A230="","",INT((DAY(A230)-1)/7)+1)</f>
        <v/>
      </c>
      <c r="C230" s="9" t="n"/>
      <c r="D230" s="9" t="n"/>
      <c r="E230" s="9" t="n"/>
      <c r="F230" s="9" t="n"/>
      <c r="G230" s="9" t="n"/>
      <c r="H230" s="9" t="n"/>
      <c r="I230" s="9" t="n"/>
      <c r="J230" s="3" t="n"/>
      <c r="K230" s="9" t="n"/>
    </row>
    <row r="231">
      <c r="A231" s="4" t="n"/>
      <c r="B231" s="9">
        <f>IF(A231="","",INT((DAY(A231)-1)/7)+1)</f>
        <v/>
      </c>
      <c r="C231" s="9" t="n"/>
      <c r="D231" s="9" t="n"/>
      <c r="E231" s="9" t="n"/>
      <c r="F231" s="9" t="n"/>
      <c r="G231" s="9" t="n"/>
      <c r="H231" s="9" t="n"/>
      <c r="I231" s="9" t="n"/>
      <c r="J231" s="3" t="n"/>
      <c r="K231" s="9" t="n"/>
    </row>
    <row r="232">
      <c r="A232" s="4" t="n"/>
      <c r="B232" s="9">
        <f>IF(A232="","",INT((DAY(A232)-1)/7)+1)</f>
        <v/>
      </c>
      <c r="C232" s="9" t="n"/>
      <c r="D232" s="9" t="n"/>
      <c r="E232" s="9" t="n"/>
      <c r="F232" s="9" t="n"/>
      <c r="G232" s="9" t="n"/>
      <c r="H232" s="9" t="n"/>
      <c r="I232" s="9" t="n"/>
      <c r="J232" s="3" t="n"/>
      <c r="K232" s="9" t="n"/>
    </row>
    <row r="233">
      <c r="A233" s="4" t="n"/>
      <c r="B233" s="9">
        <f>IF(A233="","",INT((DAY(A233)-1)/7)+1)</f>
        <v/>
      </c>
      <c r="C233" s="9" t="n"/>
      <c r="D233" s="9" t="n"/>
      <c r="E233" s="9" t="n"/>
      <c r="F233" s="9" t="n"/>
      <c r="G233" s="9" t="n"/>
      <c r="H233" s="9" t="n"/>
      <c r="I233" s="9" t="n"/>
      <c r="J233" s="3" t="n"/>
      <c r="K233" s="9" t="n"/>
    </row>
    <row r="234">
      <c r="A234" s="4" t="n"/>
      <c r="B234" s="9">
        <f>IF(A234="","",INT((DAY(A234)-1)/7)+1)</f>
        <v/>
      </c>
      <c r="C234" s="9" t="n"/>
      <c r="D234" s="9" t="n"/>
      <c r="E234" s="9" t="n"/>
      <c r="F234" s="9" t="n"/>
      <c r="G234" s="9" t="n"/>
      <c r="H234" s="9" t="n"/>
      <c r="I234" s="9" t="n"/>
      <c r="J234" s="3" t="n"/>
      <c r="K234" s="9" t="n"/>
    </row>
    <row r="235">
      <c r="A235" s="4" t="n"/>
      <c r="B235" s="9">
        <f>IF(A235="","",INT((DAY(A235)-1)/7)+1)</f>
        <v/>
      </c>
      <c r="C235" s="9" t="n"/>
      <c r="D235" s="9" t="n"/>
      <c r="E235" s="9" t="n"/>
      <c r="F235" s="9" t="n"/>
      <c r="G235" s="9" t="n"/>
      <c r="H235" s="9" t="n"/>
      <c r="I235" s="9" t="n"/>
      <c r="J235" s="3" t="n"/>
      <c r="K235" s="9" t="n"/>
    </row>
    <row r="236">
      <c r="A236" s="4" t="n"/>
      <c r="B236" s="9">
        <f>IF(A236="","",INT((DAY(A236)-1)/7)+1)</f>
        <v/>
      </c>
      <c r="C236" s="9" t="n"/>
      <c r="D236" s="9" t="n"/>
      <c r="E236" s="9" t="n"/>
      <c r="F236" s="9" t="n"/>
      <c r="G236" s="9" t="n"/>
      <c r="H236" s="9" t="n"/>
      <c r="I236" s="9" t="n"/>
      <c r="J236" s="3" t="n"/>
      <c r="K236" s="9" t="n"/>
    </row>
    <row r="237">
      <c r="A237" s="4" t="n"/>
      <c r="B237" s="9">
        <f>IF(A237="","",INT((DAY(A237)-1)/7)+1)</f>
        <v/>
      </c>
      <c r="C237" s="9" t="n"/>
      <c r="D237" s="9" t="n"/>
      <c r="E237" s="9" t="n"/>
      <c r="F237" s="9" t="n"/>
      <c r="G237" s="9" t="n"/>
      <c r="H237" s="9" t="n"/>
      <c r="I237" s="9" t="n"/>
      <c r="J237" s="3" t="n"/>
      <c r="K237" s="9" t="n"/>
    </row>
    <row r="238">
      <c r="A238" s="4" t="n"/>
      <c r="B238" s="9">
        <f>IF(A238="","",INT((DAY(A238)-1)/7)+1)</f>
        <v/>
      </c>
      <c r="C238" s="9" t="n"/>
      <c r="D238" s="9" t="n"/>
      <c r="E238" s="9" t="n"/>
      <c r="F238" s="9" t="n"/>
      <c r="G238" s="9" t="n"/>
      <c r="H238" s="9" t="n"/>
      <c r="I238" s="9" t="n"/>
      <c r="J238" s="3" t="n"/>
      <c r="K238" s="9" t="n"/>
    </row>
    <row r="239">
      <c r="A239" s="4" t="n"/>
      <c r="B239" s="9">
        <f>IF(A239="","",INT((DAY(A239)-1)/7)+1)</f>
        <v/>
      </c>
      <c r="C239" s="9" t="n"/>
      <c r="D239" s="9" t="n"/>
      <c r="E239" s="9" t="n"/>
      <c r="F239" s="9" t="n"/>
      <c r="G239" s="9" t="n"/>
      <c r="H239" s="9" t="n"/>
      <c r="I239" s="9" t="n"/>
      <c r="J239" s="3" t="n"/>
      <c r="K239" s="9" t="n"/>
    </row>
    <row r="240">
      <c r="A240" s="4" t="n"/>
      <c r="B240" s="9">
        <f>IF(A240="","",INT((DAY(A240)-1)/7)+1)</f>
        <v/>
      </c>
      <c r="C240" s="9" t="n"/>
      <c r="D240" s="9" t="n"/>
      <c r="E240" s="9" t="n"/>
      <c r="F240" s="9" t="n"/>
      <c r="G240" s="9" t="n"/>
      <c r="H240" s="9" t="n"/>
      <c r="I240" s="9" t="n"/>
      <c r="J240" s="3" t="n"/>
      <c r="K240" s="9" t="n"/>
    </row>
    <row r="241">
      <c r="A241" s="4" t="n"/>
      <c r="B241" s="9">
        <f>IF(A241="","",INT((DAY(A241)-1)/7)+1)</f>
        <v/>
      </c>
      <c r="C241" s="9" t="n"/>
      <c r="D241" s="9" t="n"/>
      <c r="E241" s="9" t="n"/>
      <c r="F241" s="9" t="n"/>
      <c r="G241" s="9" t="n"/>
      <c r="H241" s="9" t="n"/>
      <c r="I241" s="9" t="n"/>
      <c r="J241" s="3" t="n"/>
      <c r="K241" s="9" t="n"/>
    </row>
    <row r="242">
      <c r="A242" s="4" t="n"/>
      <c r="B242" s="9">
        <f>IF(A242="","",INT((DAY(A242)-1)/7)+1)</f>
        <v/>
      </c>
      <c r="C242" s="9" t="n"/>
      <c r="D242" s="9" t="n"/>
      <c r="E242" s="9" t="n"/>
      <c r="F242" s="9" t="n"/>
      <c r="G242" s="9" t="n"/>
      <c r="H242" s="9" t="n"/>
      <c r="I242" s="9" t="n"/>
      <c r="J242" s="3" t="n"/>
      <c r="K242" s="9" t="n"/>
    </row>
    <row r="243">
      <c r="A243" s="4" t="n"/>
      <c r="B243" s="9">
        <f>IF(A243="","",INT((DAY(A243)-1)/7)+1)</f>
        <v/>
      </c>
      <c r="C243" s="9" t="n"/>
      <c r="D243" s="9" t="n"/>
      <c r="E243" s="9" t="n"/>
      <c r="F243" s="9" t="n"/>
      <c r="G243" s="9" t="n"/>
      <c r="H243" s="9" t="n"/>
      <c r="I243" s="9" t="n"/>
      <c r="J243" s="3" t="n"/>
      <c r="K243" s="9" t="n"/>
    </row>
    <row r="244">
      <c r="A244" s="4" t="n"/>
      <c r="B244" s="9">
        <f>IF(A244="","",INT((DAY(A244)-1)/7)+1)</f>
        <v/>
      </c>
      <c r="C244" s="9" t="n"/>
      <c r="D244" s="9" t="n"/>
      <c r="E244" s="9" t="n"/>
      <c r="F244" s="9" t="n"/>
      <c r="G244" s="9" t="n"/>
      <c r="H244" s="9" t="n"/>
      <c r="I244" s="9" t="n"/>
      <c r="J244" s="3" t="n"/>
      <c r="K244" s="9" t="n"/>
    </row>
    <row r="245">
      <c r="A245" s="4" t="n"/>
      <c r="B245" s="9">
        <f>IF(A245="","",INT((DAY(A245)-1)/7)+1)</f>
        <v/>
      </c>
      <c r="C245" s="9" t="n"/>
      <c r="D245" s="9" t="n"/>
      <c r="E245" s="9" t="n"/>
      <c r="F245" s="9" t="n"/>
      <c r="G245" s="9" t="n"/>
      <c r="H245" s="9" t="n"/>
      <c r="I245" s="9" t="n"/>
      <c r="J245" s="3" t="n"/>
      <c r="K245" s="9" t="n"/>
    </row>
    <row r="246">
      <c r="A246" s="4" t="n"/>
      <c r="B246" s="9">
        <f>IF(A246="","",INT((DAY(A246)-1)/7)+1)</f>
        <v/>
      </c>
      <c r="C246" s="9" t="n"/>
      <c r="D246" s="9" t="n"/>
      <c r="E246" s="9" t="n"/>
      <c r="F246" s="9" t="n"/>
      <c r="G246" s="9" t="n"/>
      <c r="H246" s="9" t="n"/>
      <c r="I246" s="9" t="n"/>
      <c r="J246" s="3" t="n"/>
      <c r="K246" s="9" t="n"/>
    </row>
    <row r="247">
      <c r="A247" s="4" t="n"/>
      <c r="B247" s="9">
        <f>IF(A247="","",INT((DAY(A247)-1)/7)+1)</f>
        <v/>
      </c>
      <c r="C247" s="9" t="n"/>
      <c r="D247" s="9" t="n"/>
      <c r="E247" s="9" t="n"/>
      <c r="F247" s="9" t="n"/>
      <c r="G247" s="9" t="n"/>
      <c r="H247" s="9" t="n"/>
      <c r="I247" s="9" t="n"/>
      <c r="J247" s="3" t="n"/>
      <c r="K247" s="9" t="n"/>
    </row>
    <row r="248">
      <c r="A248" s="4" t="n"/>
      <c r="B248" s="9">
        <f>IF(A248="","",INT((DAY(A248)-1)/7)+1)</f>
        <v/>
      </c>
      <c r="C248" s="9" t="n"/>
      <c r="D248" s="9" t="n"/>
      <c r="E248" s="9" t="n"/>
      <c r="F248" s="9" t="n"/>
      <c r="G248" s="9" t="n"/>
      <c r="H248" s="9" t="n"/>
      <c r="I248" s="9" t="n"/>
      <c r="J248" s="3" t="n"/>
      <c r="K248" s="9" t="n"/>
    </row>
    <row r="249">
      <c r="A249" s="4" t="n"/>
      <c r="B249" s="9">
        <f>IF(A249="","",INT((DAY(A249)-1)/7)+1)</f>
        <v/>
      </c>
      <c r="C249" s="9" t="n"/>
      <c r="D249" s="9" t="n"/>
      <c r="E249" s="9" t="n"/>
      <c r="F249" s="9" t="n"/>
      <c r="G249" s="9" t="n"/>
      <c r="H249" s="9" t="n"/>
      <c r="I249" s="9" t="n"/>
      <c r="J249" s="3" t="n"/>
      <c r="K249" s="9" t="n"/>
    </row>
    <row r="250">
      <c r="A250" s="4" t="n"/>
      <c r="B250" s="9">
        <f>IF(A250="","",INT((DAY(A250)-1)/7)+1)</f>
        <v/>
      </c>
      <c r="C250" s="9" t="n"/>
      <c r="D250" s="9" t="n"/>
      <c r="E250" s="9" t="n"/>
      <c r="F250" s="9" t="n"/>
      <c r="G250" s="9" t="n"/>
      <c r="H250" s="9" t="n"/>
      <c r="I250" s="9" t="n"/>
      <c r="J250" s="3" t="n"/>
      <c r="K250" s="9" t="n"/>
    </row>
    <row r="251">
      <c r="A251" s="4" t="n"/>
      <c r="B251" s="9">
        <f>IF(A251="","",INT((DAY(A251)-1)/7)+1)</f>
        <v/>
      </c>
      <c r="C251" s="9" t="n"/>
      <c r="D251" s="9" t="n"/>
      <c r="E251" s="9" t="n"/>
      <c r="F251" s="9" t="n"/>
      <c r="G251" s="9" t="n"/>
      <c r="H251" s="9" t="n"/>
      <c r="I251" s="9" t="n"/>
      <c r="J251" s="3" t="n"/>
      <c r="K251" s="9" t="n"/>
    </row>
    <row r="252">
      <c r="A252" s="4" t="n"/>
      <c r="B252" s="9">
        <f>IF(A252="","",INT((DAY(A252)-1)/7)+1)</f>
        <v/>
      </c>
      <c r="C252" s="9" t="n"/>
      <c r="D252" s="9" t="n"/>
      <c r="E252" s="9" t="n"/>
      <c r="F252" s="9" t="n"/>
      <c r="G252" s="9" t="n"/>
      <c r="H252" s="9" t="n"/>
      <c r="I252" s="9" t="n"/>
      <c r="J252" s="3" t="n"/>
      <c r="K252" s="9" t="n"/>
    </row>
    <row r="253">
      <c r="A253" s="4" t="n"/>
      <c r="B253" s="9">
        <f>IF(A253="","",INT((DAY(A253)-1)/7)+1)</f>
        <v/>
      </c>
      <c r="C253" s="9" t="n"/>
      <c r="D253" s="9" t="n"/>
      <c r="E253" s="9" t="n"/>
      <c r="F253" s="9" t="n"/>
      <c r="G253" s="9" t="n"/>
      <c r="H253" s="9" t="n"/>
      <c r="I253" s="9" t="n"/>
      <c r="J253" s="3" t="n"/>
      <c r="K253" s="9" t="n"/>
    </row>
    <row r="254">
      <c r="A254" s="4" t="n"/>
      <c r="B254" s="9">
        <f>IF(A254="","",INT((DAY(A254)-1)/7)+1)</f>
        <v/>
      </c>
      <c r="C254" s="9" t="n"/>
      <c r="D254" s="9" t="n"/>
      <c r="E254" s="9" t="n"/>
      <c r="F254" s="9" t="n"/>
      <c r="G254" s="9" t="n"/>
      <c r="H254" s="9" t="n"/>
      <c r="I254" s="9" t="n"/>
      <c r="J254" s="3" t="n"/>
      <c r="K254" s="9" t="n"/>
    </row>
    <row r="255">
      <c r="A255" s="4" t="n"/>
      <c r="B255" s="9">
        <f>IF(A255="","",INT((DAY(A255)-1)/7)+1)</f>
        <v/>
      </c>
      <c r="C255" s="9" t="n"/>
      <c r="D255" s="9" t="n"/>
      <c r="E255" s="9" t="n"/>
      <c r="F255" s="9" t="n"/>
      <c r="G255" s="9" t="n"/>
      <c r="H255" s="9" t="n"/>
      <c r="I255" s="9" t="n"/>
      <c r="J255" s="3" t="n"/>
      <c r="K255" s="9" t="n"/>
    </row>
    <row r="256">
      <c r="A256" s="4" t="n"/>
      <c r="B256" s="9">
        <f>IF(A256="","",INT((DAY(A256)-1)/7)+1)</f>
        <v/>
      </c>
      <c r="C256" s="9" t="n"/>
      <c r="D256" s="9" t="n"/>
      <c r="E256" s="9" t="n"/>
      <c r="F256" s="9" t="n"/>
      <c r="G256" s="9" t="n"/>
      <c r="H256" s="9" t="n"/>
      <c r="I256" s="9" t="n"/>
      <c r="J256" s="3" t="n"/>
      <c r="K256" s="9" t="n"/>
    </row>
    <row r="257">
      <c r="A257" s="4" t="n"/>
      <c r="B257" s="9">
        <f>IF(A257="","",INT((DAY(A257)-1)/7)+1)</f>
        <v/>
      </c>
      <c r="C257" s="9" t="n"/>
      <c r="D257" s="9" t="n"/>
      <c r="E257" s="9" t="n"/>
      <c r="F257" s="9" t="n"/>
      <c r="G257" s="9" t="n"/>
      <c r="H257" s="9" t="n"/>
      <c r="I257" s="9" t="n"/>
      <c r="J257" s="3" t="n"/>
      <c r="K257" s="9" t="n"/>
    </row>
    <row r="258">
      <c r="A258" s="4" t="n"/>
      <c r="B258" s="9">
        <f>IF(A258="","",INT((DAY(A258)-1)/7)+1)</f>
        <v/>
      </c>
      <c r="C258" s="9" t="n"/>
      <c r="D258" s="9" t="n"/>
      <c r="E258" s="9" t="n"/>
      <c r="F258" s="9" t="n"/>
      <c r="G258" s="9" t="n"/>
      <c r="H258" s="9" t="n"/>
      <c r="I258" s="9" t="n"/>
      <c r="J258" s="3" t="n"/>
      <c r="K258" s="9" t="n"/>
    </row>
    <row r="259">
      <c r="A259" s="4" t="n"/>
      <c r="B259" s="9">
        <f>IF(A259="","",INT((DAY(A259)-1)/7)+1)</f>
        <v/>
      </c>
      <c r="C259" s="9" t="n"/>
      <c r="D259" s="9" t="n"/>
      <c r="E259" s="9" t="n"/>
      <c r="F259" s="9" t="n"/>
      <c r="G259" s="9" t="n"/>
      <c r="H259" s="9" t="n"/>
      <c r="I259" s="9" t="n"/>
      <c r="J259" s="3" t="n"/>
      <c r="K259" s="9" t="n"/>
    </row>
    <row r="260">
      <c r="A260" s="4" t="n"/>
      <c r="B260" s="9">
        <f>IF(A260="","",INT((DAY(A260)-1)/7)+1)</f>
        <v/>
      </c>
      <c r="C260" s="9" t="n"/>
      <c r="D260" s="9" t="n"/>
      <c r="E260" s="9" t="n"/>
      <c r="F260" s="9" t="n"/>
      <c r="G260" s="9" t="n"/>
      <c r="H260" s="9" t="n"/>
      <c r="I260" s="9" t="n"/>
      <c r="J260" s="3" t="n"/>
      <c r="K260" s="9" t="n"/>
    </row>
    <row r="261">
      <c r="A261" s="4" t="n"/>
      <c r="B261" s="9">
        <f>IF(A261="","",INT((DAY(A261)-1)/7)+1)</f>
        <v/>
      </c>
      <c r="C261" s="9" t="n"/>
      <c r="D261" s="9" t="n"/>
      <c r="E261" s="9" t="n"/>
      <c r="F261" s="9" t="n"/>
      <c r="G261" s="9" t="n"/>
      <c r="H261" s="9" t="n"/>
      <c r="I261" s="9" t="n"/>
      <c r="J261" s="3" t="n"/>
      <c r="K261" s="9" t="n"/>
    </row>
    <row r="262">
      <c r="A262" s="4" t="n"/>
      <c r="B262" s="9">
        <f>IF(A262="","",INT((DAY(A262)-1)/7)+1)</f>
        <v/>
      </c>
      <c r="C262" s="9" t="n"/>
      <c r="D262" s="9" t="n"/>
      <c r="E262" s="9" t="n"/>
      <c r="F262" s="9" t="n"/>
      <c r="G262" s="9" t="n"/>
      <c r="H262" s="9" t="n"/>
      <c r="I262" s="9" t="n"/>
      <c r="J262" s="3" t="n"/>
      <c r="K262" s="9" t="n"/>
    </row>
    <row r="263">
      <c r="A263" s="4" t="n"/>
      <c r="B263" s="9">
        <f>IF(A263="","",INT((DAY(A263)-1)/7)+1)</f>
        <v/>
      </c>
      <c r="C263" s="9" t="n"/>
      <c r="D263" s="9" t="n"/>
      <c r="E263" s="9" t="n"/>
      <c r="F263" s="9" t="n"/>
      <c r="G263" s="9" t="n"/>
      <c r="H263" s="9" t="n"/>
      <c r="I263" s="9" t="n"/>
      <c r="J263" s="3" t="n"/>
      <c r="K263" s="9" t="n"/>
    </row>
    <row r="264">
      <c r="A264" s="4" t="n"/>
      <c r="B264" s="9">
        <f>IF(A264="","",INT((DAY(A264)-1)/7)+1)</f>
        <v/>
      </c>
      <c r="C264" s="9" t="n"/>
      <c r="D264" s="9" t="n"/>
      <c r="E264" s="9" t="n"/>
      <c r="F264" s="9" t="n"/>
      <c r="G264" s="9" t="n"/>
      <c r="H264" s="9" t="n"/>
      <c r="I264" s="9" t="n"/>
      <c r="J264" s="3" t="n"/>
      <c r="K264" s="9" t="n"/>
    </row>
    <row r="265">
      <c r="A265" s="4" t="n"/>
      <c r="B265" s="9">
        <f>IF(A265="","",INT((DAY(A265)-1)/7)+1)</f>
        <v/>
      </c>
      <c r="C265" s="9" t="n"/>
      <c r="D265" s="9" t="n"/>
      <c r="E265" s="9" t="n"/>
      <c r="F265" s="9" t="n"/>
      <c r="G265" s="9" t="n"/>
      <c r="H265" s="9" t="n"/>
      <c r="I265" s="9" t="n"/>
      <c r="J265" s="3" t="n"/>
      <c r="K265" s="9" t="n"/>
    </row>
    <row r="266">
      <c r="A266" s="4" t="n"/>
      <c r="B266" s="9">
        <f>IF(A266="","",INT((DAY(A266)-1)/7)+1)</f>
        <v/>
      </c>
      <c r="C266" s="9" t="n"/>
      <c r="D266" s="9" t="n"/>
      <c r="E266" s="9" t="n"/>
      <c r="F266" s="9" t="n"/>
      <c r="G266" s="9" t="n"/>
      <c r="H266" s="9" t="n"/>
      <c r="I266" s="9" t="n"/>
      <c r="J266" s="3" t="n"/>
      <c r="K266" s="9" t="n"/>
    </row>
    <row r="267">
      <c r="A267" s="4" t="n"/>
      <c r="B267" s="9">
        <f>IF(A267="","",INT((DAY(A267)-1)/7)+1)</f>
        <v/>
      </c>
      <c r="C267" s="9" t="n"/>
      <c r="D267" s="9" t="n"/>
      <c r="E267" s="9" t="n"/>
      <c r="F267" s="9" t="n"/>
      <c r="G267" s="9" t="n"/>
      <c r="H267" s="9" t="n"/>
      <c r="I267" s="9" t="n"/>
      <c r="J267" s="3" t="n"/>
      <c r="K267" s="9" t="n"/>
    </row>
    <row r="268">
      <c r="A268" s="4" t="n"/>
      <c r="B268" s="9">
        <f>IF(A268="","",INT((DAY(A268)-1)/7)+1)</f>
        <v/>
      </c>
      <c r="C268" s="9" t="n"/>
      <c r="D268" s="9" t="n"/>
      <c r="E268" s="9" t="n"/>
      <c r="F268" s="9" t="n"/>
      <c r="G268" s="9" t="n"/>
      <c r="H268" s="9" t="n"/>
      <c r="I268" s="9" t="n"/>
      <c r="J268" s="3" t="n"/>
      <c r="K268" s="9" t="n"/>
    </row>
    <row r="269">
      <c r="A269" s="4" t="n"/>
      <c r="B269" s="9">
        <f>IF(A269="","",INT((DAY(A269)-1)/7)+1)</f>
        <v/>
      </c>
      <c r="C269" s="9" t="n"/>
      <c r="D269" s="9" t="n"/>
      <c r="E269" s="9" t="n"/>
      <c r="F269" s="9" t="n"/>
      <c r="G269" s="9" t="n"/>
      <c r="H269" s="9" t="n"/>
      <c r="I269" s="9" t="n"/>
      <c r="J269" s="3" t="n"/>
      <c r="K269" s="9" t="n"/>
    </row>
    <row r="270">
      <c r="A270" s="4" t="n"/>
      <c r="B270" s="9">
        <f>IF(A270="","",INT((DAY(A270)-1)/7)+1)</f>
        <v/>
      </c>
      <c r="C270" s="9" t="n"/>
      <c r="D270" s="9" t="n"/>
      <c r="E270" s="9" t="n"/>
      <c r="F270" s="9" t="n"/>
      <c r="G270" s="9" t="n"/>
      <c r="H270" s="9" t="n"/>
      <c r="I270" s="9" t="n"/>
      <c r="J270" s="3" t="n"/>
      <c r="K270" s="9" t="n"/>
    </row>
    <row r="271">
      <c r="A271" s="4" t="n"/>
      <c r="B271" s="9">
        <f>IF(A271="","",INT((DAY(A271)-1)/7)+1)</f>
        <v/>
      </c>
      <c r="C271" s="9" t="n"/>
      <c r="D271" s="9" t="n"/>
      <c r="E271" s="9" t="n"/>
      <c r="F271" s="9" t="n"/>
      <c r="G271" s="9" t="n"/>
      <c r="H271" s="9" t="n"/>
      <c r="I271" s="9" t="n"/>
      <c r="J271" s="3" t="n"/>
      <c r="K271" s="9" t="n"/>
    </row>
    <row r="272">
      <c r="A272" s="4" t="n"/>
      <c r="B272" s="9">
        <f>IF(A272="","",INT((DAY(A272)-1)/7)+1)</f>
        <v/>
      </c>
      <c r="C272" s="9" t="n"/>
      <c r="D272" s="9" t="n"/>
      <c r="E272" s="9" t="n"/>
      <c r="F272" s="9" t="n"/>
      <c r="G272" s="9" t="n"/>
      <c r="H272" s="9" t="n"/>
      <c r="I272" s="9" t="n"/>
      <c r="J272" s="3" t="n"/>
      <c r="K272" s="9" t="n"/>
    </row>
    <row r="273">
      <c r="A273" s="4" t="n"/>
      <c r="B273" s="9">
        <f>IF(A273="","",INT((DAY(A273)-1)/7)+1)</f>
        <v/>
      </c>
      <c r="C273" s="9" t="n"/>
      <c r="D273" s="9" t="n"/>
      <c r="E273" s="9" t="n"/>
      <c r="F273" s="9" t="n"/>
      <c r="G273" s="9" t="n"/>
      <c r="H273" s="9" t="n"/>
      <c r="I273" s="9" t="n"/>
      <c r="J273" s="3" t="n"/>
      <c r="K273" s="9" t="n"/>
    </row>
    <row r="274">
      <c r="A274" s="4" t="n"/>
      <c r="B274" s="9">
        <f>IF(A274="","",INT((DAY(A274)-1)/7)+1)</f>
        <v/>
      </c>
      <c r="C274" s="9" t="n"/>
      <c r="D274" s="9" t="n"/>
      <c r="E274" s="9" t="n"/>
      <c r="F274" s="9" t="n"/>
      <c r="G274" s="9" t="n"/>
      <c r="H274" s="9" t="n"/>
      <c r="I274" s="9" t="n"/>
      <c r="J274" s="3" t="n"/>
      <c r="K274" s="9" t="n"/>
    </row>
    <row r="275">
      <c r="A275" s="4" t="n"/>
      <c r="B275" s="9">
        <f>IF(A275="","",INT((DAY(A275)-1)/7)+1)</f>
        <v/>
      </c>
      <c r="C275" s="9" t="n"/>
      <c r="D275" s="9" t="n"/>
      <c r="E275" s="9" t="n"/>
      <c r="F275" s="9" t="n"/>
      <c r="G275" s="9" t="n"/>
      <c r="H275" s="9" t="n"/>
      <c r="I275" s="9" t="n"/>
      <c r="J275" s="3" t="n"/>
      <c r="K275" s="9" t="n"/>
    </row>
    <row r="276">
      <c r="A276" s="4" t="n"/>
      <c r="B276" s="9">
        <f>IF(A276="","",INT((DAY(A276)-1)/7)+1)</f>
        <v/>
      </c>
      <c r="C276" s="9" t="n"/>
      <c r="D276" s="9" t="n"/>
      <c r="E276" s="9" t="n"/>
      <c r="F276" s="9" t="n"/>
      <c r="G276" s="9" t="n"/>
      <c r="H276" s="9" t="n"/>
      <c r="I276" s="9" t="n"/>
      <c r="J276" s="3" t="n"/>
      <c r="K276" s="9" t="n"/>
    </row>
    <row r="277">
      <c r="A277" s="4" t="n"/>
      <c r="B277" s="9">
        <f>IF(A277="","",INT((DAY(A277)-1)/7)+1)</f>
        <v/>
      </c>
      <c r="C277" s="9" t="n"/>
      <c r="D277" s="9" t="n"/>
      <c r="E277" s="9" t="n"/>
      <c r="F277" s="9" t="n"/>
      <c r="G277" s="9" t="n"/>
      <c r="H277" s="9" t="n"/>
      <c r="I277" s="9" t="n"/>
      <c r="J277" s="3" t="n"/>
      <c r="K277" s="9" t="n"/>
    </row>
    <row r="278">
      <c r="A278" s="4" t="n"/>
      <c r="B278" s="9">
        <f>IF(A278="","",INT((DAY(A278)-1)/7)+1)</f>
        <v/>
      </c>
      <c r="C278" s="9" t="n"/>
      <c r="D278" s="9" t="n"/>
      <c r="E278" s="9" t="n"/>
      <c r="F278" s="9" t="n"/>
      <c r="G278" s="9" t="n"/>
      <c r="H278" s="9" t="n"/>
      <c r="I278" s="9" t="n"/>
      <c r="J278" s="3" t="n"/>
      <c r="K278" s="9" t="n"/>
    </row>
    <row r="279">
      <c r="A279" s="4" t="n"/>
      <c r="B279" s="9">
        <f>IF(A279="","",INT((DAY(A279)-1)/7)+1)</f>
        <v/>
      </c>
      <c r="C279" s="9" t="n"/>
      <c r="D279" s="9" t="n"/>
      <c r="E279" s="9" t="n"/>
      <c r="F279" s="9" t="n"/>
      <c r="G279" s="9" t="n"/>
      <c r="H279" s="9" t="n"/>
      <c r="I279" s="9" t="n"/>
      <c r="J279" s="3" t="n"/>
      <c r="K279" s="9" t="n"/>
    </row>
    <row r="280">
      <c r="A280" s="4" t="n"/>
      <c r="B280" s="9">
        <f>IF(A280="","",INT((DAY(A280)-1)/7)+1)</f>
        <v/>
      </c>
      <c r="C280" s="9" t="n"/>
      <c r="D280" s="9" t="n"/>
      <c r="E280" s="9" t="n"/>
      <c r="F280" s="9" t="n"/>
      <c r="G280" s="9" t="n"/>
      <c r="H280" s="9" t="n"/>
      <c r="I280" s="9" t="n"/>
      <c r="J280" s="3" t="n"/>
      <c r="K280" s="9" t="n"/>
    </row>
    <row r="281">
      <c r="A281" s="4" t="n"/>
      <c r="B281" s="9">
        <f>IF(A281="","",INT((DAY(A281)-1)/7)+1)</f>
        <v/>
      </c>
      <c r="C281" s="9" t="n"/>
      <c r="D281" s="9" t="n"/>
      <c r="E281" s="9" t="n"/>
      <c r="F281" s="9" t="n"/>
      <c r="G281" s="9" t="n"/>
      <c r="H281" s="9" t="n"/>
      <c r="I281" s="9" t="n"/>
      <c r="J281" s="3" t="n"/>
      <c r="K281" s="9" t="n"/>
    </row>
    <row r="282">
      <c r="A282" s="4" t="n"/>
      <c r="B282" s="9">
        <f>IF(A282="","",INT((DAY(A282)-1)/7)+1)</f>
        <v/>
      </c>
      <c r="C282" s="9" t="n"/>
      <c r="D282" s="9" t="n"/>
      <c r="E282" s="9" t="n"/>
      <c r="F282" s="9" t="n"/>
      <c r="G282" s="9" t="n"/>
      <c r="H282" s="9" t="n"/>
      <c r="I282" s="9" t="n"/>
      <c r="J282" s="3" t="n"/>
      <c r="K282" s="9" t="n"/>
    </row>
    <row r="283">
      <c r="A283" s="4" t="n"/>
      <c r="B283" s="9">
        <f>IF(A283="","",INT((DAY(A283)-1)/7)+1)</f>
        <v/>
      </c>
      <c r="C283" s="9" t="n"/>
      <c r="D283" s="9" t="n"/>
      <c r="E283" s="9" t="n"/>
      <c r="F283" s="9" t="n"/>
      <c r="G283" s="9" t="n"/>
      <c r="H283" s="9" t="n"/>
      <c r="I283" s="9" t="n"/>
      <c r="J283" s="3" t="n"/>
      <c r="K283" s="9" t="n"/>
    </row>
    <row r="284">
      <c r="A284" s="4" t="n"/>
      <c r="B284" s="9">
        <f>IF(A284="","",INT((DAY(A284)-1)/7)+1)</f>
        <v/>
      </c>
      <c r="C284" s="9" t="n"/>
      <c r="D284" s="9" t="n"/>
      <c r="E284" s="9" t="n"/>
      <c r="F284" s="9" t="n"/>
      <c r="G284" s="9" t="n"/>
      <c r="H284" s="9" t="n"/>
      <c r="I284" s="9" t="n"/>
      <c r="J284" s="3" t="n"/>
      <c r="K284" s="9" t="n"/>
    </row>
    <row r="285">
      <c r="A285" s="4" t="n"/>
      <c r="B285" s="9">
        <f>IF(A285="","",INT((DAY(A285)-1)/7)+1)</f>
        <v/>
      </c>
      <c r="C285" s="9" t="n"/>
      <c r="D285" s="9" t="n"/>
      <c r="E285" s="9" t="n"/>
      <c r="F285" s="9" t="n"/>
      <c r="G285" s="9" t="n"/>
      <c r="H285" s="9" t="n"/>
      <c r="I285" s="9" t="n"/>
      <c r="J285" s="3" t="n"/>
      <c r="K285" s="9" t="n"/>
    </row>
    <row r="286">
      <c r="A286" s="4" t="n"/>
      <c r="B286" s="9">
        <f>IF(A286="","",INT((DAY(A286)-1)/7)+1)</f>
        <v/>
      </c>
      <c r="C286" s="9" t="n"/>
      <c r="D286" s="9" t="n"/>
      <c r="E286" s="9" t="n"/>
      <c r="F286" s="9" t="n"/>
      <c r="G286" s="9" t="n"/>
      <c r="H286" s="9" t="n"/>
      <c r="I286" s="9" t="n"/>
      <c r="J286" s="3" t="n"/>
      <c r="K286" s="9" t="n"/>
    </row>
    <row r="287">
      <c r="A287" s="4" t="n"/>
      <c r="B287" s="9">
        <f>IF(A287="","",INT((DAY(A287)-1)/7)+1)</f>
        <v/>
      </c>
      <c r="C287" s="9" t="n"/>
      <c r="D287" s="9" t="n"/>
      <c r="E287" s="9" t="n"/>
      <c r="F287" s="9" t="n"/>
      <c r="G287" s="9" t="n"/>
      <c r="H287" s="9" t="n"/>
      <c r="I287" s="9" t="n"/>
      <c r="J287" s="3" t="n"/>
      <c r="K287" s="9" t="n"/>
    </row>
    <row r="288">
      <c r="A288" s="4" t="n"/>
      <c r="B288" s="9">
        <f>IF(A288="","",INT((DAY(A288)-1)/7)+1)</f>
        <v/>
      </c>
      <c r="C288" s="9" t="n"/>
      <c r="D288" s="9" t="n"/>
      <c r="E288" s="9" t="n"/>
      <c r="F288" s="9" t="n"/>
      <c r="G288" s="9" t="n"/>
      <c r="H288" s="9" t="n"/>
      <c r="I288" s="9" t="n"/>
      <c r="J288" s="3" t="n"/>
      <c r="K288" s="9" t="n"/>
    </row>
    <row r="289">
      <c r="A289" s="4" t="n"/>
      <c r="B289" s="9">
        <f>IF(A289="","",INT((DAY(A289)-1)/7)+1)</f>
        <v/>
      </c>
      <c r="C289" s="9" t="n"/>
      <c r="D289" s="9" t="n"/>
      <c r="E289" s="9" t="n"/>
      <c r="F289" s="9" t="n"/>
      <c r="G289" s="9" t="n"/>
      <c r="H289" s="9" t="n"/>
      <c r="I289" s="9" t="n"/>
      <c r="J289" s="3" t="n"/>
      <c r="K289" s="9" t="n"/>
    </row>
    <row r="290">
      <c r="A290" s="4" t="n"/>
      <c r="B290" s="9">
        <f>IF(A290="","",INT((DAY(A290)-1)/7)+1)</f>
        <v/>
      </c>
      <c r="C290" s="9" t="n"/>
      <c r="D290" s="9" t="n"/>
      <c r="E290" s="9" t="n"/>
      <c r="F290" s="9" t="n"/>
      <c r="G290" s="9" t="n"/>
      <c r="H290" s="9" t="n"/>
      <c r="I290" s="9" t="n"/>
      <c r="J290" s="3" t="n"/>
      <c r="K290" s="9" t="n"/>
    </row>
    <row r="291">
      <c r="A291" s="4" t="n"/>
      <c r="B291" s="9">
        <f>IF(A291="","",INT((DAY(A291)-1)/7)+1)</f>
        <v/>
      </c>
      <c r="C291" s="9" t="n"/>
      <c r="D291" s="9" t="n"/>
      <c r="E291" s="9" t="n"/>
      <c r="F291" s="9" t="n"/>
      <c r="G291" s="9" t="n"/>
      <c r="H291" s="9" t="n"/>
      <c r="I291" s="9" t="n"/>
      <c r="J291" s="3" t="n"/>
      <c r="K291" s="9" t="n"/>
    </row>
    <row r="292">
      <c r="A292" s="4" t="n"/>
      <c r="B292" s="9">
        <f>IF(A292="","",INT((DAY(A292)-1)/7)+1)</f>
        <v/>
      </c>
      <c r="C292" s="9" t="n"/>
      <c r="D292" s="9" t="n"/>
      <c r="E292" s="9" t="n"/>
      <c r="F292" s="9" t="n"/>
      <c r="G292" s="9" t="n"/>
      <c r="H292" s="9" t="n"/>
      <c r="I292" s="9" t="n"/>
      <c r="J292" s="3" t="n"/>
      <c r="K292" s="9" t="n"/>
    </row>
    <row r="293">
      <c r="A293" s="4" t="n"/>
      <c r="B293" s="9">
        <f>IF(A293="","",INT((DAY(A293)-1)/7)+1)</f>
        <v/>
      </c>
      <c r="C293" s="9" t="n"/>
      <c r="D293" s="9" t="n"/>
      <c r="E293" s="9" t="n"/>
      <c r="F293" s="9" t="n"/>
      <c r="G293" s="9" t="n"/>
      <c r="H293" s="9" t="n"/>
      <c r="I293" s="9" t="n"/>
      <c r="J293" s="3" t="n"/>
      <c r="K293" s="9" t="n"/>
    </row>
    <row r="294">
      <c r="A294" s="4" t="n"/>
      <c r="B294" s="9">
        <f>IF(A294="","",INT((DAY(A294)-1)/7)+1)</f>
        <v/>
      </c>
      <c r="C294" s="9" t="n"/>
      <c r="D294" s="9" t="n"/>
      <c r="E294" s="9" t="n"/>
      <c r="F294" s="9" t="n"/>
      <c r="G294" s="9" t="n"/>
      <c r="H294" s="9" t="n"/>
      <c r="I294" s="9" t="n"/>
      <c r="J294" s="3" t="n"/>
      <c r="K294" s="9" t="n"/>
    </row>
    <row r="295">
      <c r="A295" s="4" t="n"/>
      <c r="B295" s="9">
        <f>IF(A295="","",INT((DAY(A295)-1)/7)+1)</f>
        <v/>
      </c>
      <c r="C295" s="9" t="n"/>
      <c r="D295" s="9" t="n"/>
      <c r="E295" s="9" t="n"/>
      <c r="F295" s="9" t="n"/>
      <c r="G295" s="9" t="n"/>
      <c r="H295" s="9" t="n"/>
      <c r="I295" s="9" t="n"/>
      <c r="J295" s="3" t="n"/>
      <c r="K295" s="9" t="n"/>
    </row>
    <row r="296">
      <c r="A296" s="4" t="n"/>
      <c r="B296" s="9">
        <f>IF(A296="","",INT((DAY(A296)-1)/7)+1)</f>
        <v/>
      </c>
      <c r="C296" s="9" t="n"/>
      <c r="D296" s="9" t="n"/>
      <c r="E296" s="9" t="n"/>
      <c r="F296" s="9" t="n"/>
      <c r="G296" s="9" t="n"/>
      <c r="H296" s="9" t="n"/>
      <c r="I296" s="9" t="n"/>
      <c r="J296" s="3" t="n"/>
      <c r="K296" s="9" t="n"/>
    </row>
    <row r="297">
      <c r="A297" s="4" t="n"/>
      <c r="B297" s="9">
        <f>IF(A297="","",INT((DAY(A297)-1)/7)+1)</f>
        <v/>
      </c>
      <c r="C297" s="9" t="n"/>
      <c r="D297" s="9" t="n"/>
      <c r="E297" s="9" t="n"/>
      <c r="F297" s="9" t="n"/>
      <c r="G297" s="9" t="n"/>
      <c r="H297" s="9" t="n"/>
      <c r="I297" s="9" t="n"/>
      <c r="J297" s="3" t="n"/>
      <c r="K297" s="9" t="n"/>
    </row>
    <row r="298">
      <c r="A298" s="4" t="n"/>
      <c r="B298" s="9">
        <f>IF(A298="","",INT((DAY(A298)-1)/7)+1)</f>
        <v/>
      </c>
      <c r="C298" s="9" t="n"/>
      <c r="D298" s="9" t="n"/>
      <c r="E298" s="9" t="n"/>
      <c r="F298" s="9" t="n"/>
      <c r="G298" s="9" t="n"/>
      <c r="H298" s="9" t="n"/>
      <c r="I298" s="9" t="n"/>
      <c r="J298" s="3" t="n"/>
      <c r="K298" s="9" t="n"/>
    </row>
    <row r="299">
      <c r="A299" s="4" t="n"/>
      <c r="B299" s="9">
        <f>IF(A299="","",INT((DAY(A299)-1)/7)+1)</f>
        <v/>
      </c>
      <c r="C299" s="9" t="n"/>
      <c r="D299" s="9" t="n"/>
      <c r="E299" s="9" t="n"/>
      <c r="F299" s="9" t="n"/>
      <c r="G299" s="9" t="n"/>
      <c r="H299" s="9" t="n"/>
      <c r="I299" s="9" t="n"/>
      <c r="J299" s="3" t="n"/>
      <c r="K299" s="9" t="n"/>
    </row>
    <row r="300">
      <c r="A300" s="4" t="n"/>
      <c r="B300" s="9">
        <f>IF(A300="","",INT((DAY(A300)-1)/7)+1)</f>
        <v/>
      </c>
      <c r="C300" s="9" t="n"/>
      <c r="D300" s="9" t="n"/>
      <c r="E300" s="9" t="n"/>
      <c r="F300" s="9" t="n"/>
      <c r="G300" s="9" t="n"/>
      <c r="H300" s="9" t="n"/>
      <c r="I300" s="9" t="n"/>
      <c r="J300" s="3" t="n"/>
      <c r="K300" s="9" t="n"/>
    </row>
    <row r="301">
      <c r="A301" s="4" t="n"/>
      <c r="B301" s="9">
        <f>IF(A301="","",INT((DAY(A301)-1)/7)+1)</f>
        <v/>
      </c>
      <c r="C301" s="9" t="n"/>
      <c r="D301" s="9" t="n"/>
      <c r="E301" s="9" t="n"/>
      <c r="F301" s="9" t="n"/>
      <c r="G301" s="9" t="n"/>
      <c r="H301" s="9" t="n"/>
      <c r="I301" s="9" t="n"/>
      <c r="J301" s="3" t="n"/>
      <c r="K301" s="9" t="n"/>
    </row>
    <row r="302">
      <c r="A302" s="4" t="n"/>
      <c r="B302" s="9">
        <f>IF(A302="","",INT((DAY(A302)-1)/7)+1)</f>
        <v/>
      </c>
      <c r="C302" s="9" t="n"/>
      <c r="D302" s="9" t="n"/>
      <c r="E302" s="9" t="n"/>
      <c r="F302" s="9" t="n"/>
      <c r="G302" s="9" t="n"/>
      <c r="H302" s="9" t="n"/>
      <c r="I302" s="9" t="n"/>
      <c r="J302" s="3" t="n"/>
      <c r="K302" s="9" t="n"/>
    </row>
    <row r="303">
      <c r="A303" s="4" t="n"/>
      <c r="B303" s="9">
        <f>IF(A303="","",INT((DAY(A303)-1)/7)+1)</f>
        <v/>
      </c>
      <c r="C303" s="9" t="n"/>
      <c r="D303" s="9" t="n"/>
      <c r="E303" s="9" t="n"/>
      <c r="F303" s="9" t="n"/>
      <c r="G303" s="9" t="n"/>
      <c r="H303" s="9" t="n"/>
      <c r="I303" s="9" t="n"/>
      <c r="J303" s="3" t="n"/>
      <c r="K303" s="9" t="n"/>
    </row>
    <row r="304">
      <c r="A304" s="4" t="n"/>
      <c r="B304" s="9">
        <f>IF(A304="","",INT((DAY(A304)-1)/7)+1)</f>
        <v/>
      </c>
      <c r="C304" s="9" t="n"/>
      <c r="D304" s="9" t="n"/>
      <c r="E304" s="9" t="n"/>
      <c r="F304" s="9" t="n"/>
      <c r="G304" s="9" t="n"/>
      <c r="H304" s="9" t="n"/>
      <c r="I304" s="9" t="n"/>
      <c r="J304" s="3" t="n"/>
      <c r="K304" s="9" t="n"/>
    </row>
    <row r="305">
      <c r="A305" s="4" t="n"/>
      <c r="B305" s="9">
        <f>IF(A305="","",INT((DAY(A305)-1)/7)+1)</f>
        <v/>
      </c>
      <c r="C305" s="9" t="n"/>
      <c r="D305" s="9" t="n"/>
      <c r="E305" s="9" t="n"/>
      <c r="F305" s="9" t="n"/>
      <c r="G305" s="9" t="n"/>
      <c r="H305" s="9" t="n"/>
      <c r="I305" s="9" t="n"/>
      <c r="J305" s="3" t="n"/>
      <c r="K305" s="9" t="n"/>
    </row>
    <row r="306">
      <c r="A306" s="4" t="n"/>
      <c r="B306" s="9">
        <f>IF(A306="","",INT((DAY(A306)-1)/7)+1)</f>
        <v/>
      </c>
      <c r="C306" s="9" t="n"/>
      <c r="D306" s="9" t="n"/>
      <c r="E306" s="9" t="n"/>
      <c r="F306" s="9" t="n"/>
      <c r="G306" s="9" t="n"/>
      <c r="H306" s="9" t="n"/>
      <c r="I306" s="9" t="n"/>
      <c r="J306" s="3" t="n"/>
      <c r="K306" s="9" t="n"/>
    </row>
    <row r="307">
      <c r="A307" s="4" t="n"/>
      <c r="B307" s="9">
        <f>IF(A307="","",INT((DAY(A307)-1)/7)+1)</f>
        <v/>
      </c>
      <c r="C307" s="9" t="n"/>
      <c r="D307" s="9" t="n"/>
      <c r="E307" s="9" t="n"/>
      <c r="F307" s="9" t="n"/>
      <c r="G307" s="9" t="n"/>
      <c r="H307" s="9" t="n"/>
      <c r="I307" s="9" t="n"/>
      <c r="J307" s="3" t="n"/>
      <c r="K307" s="9" t="n"/>
    </row>
    <row r="308">
      <c r="A308" s="4" t="n"/>
      <c r="B308" s="9">
        <f>IF(A308="","",INT((DAY(A308)-1)/7)+1)</f>
        <v/>
      </c>
      <c r="C308" s="9" t="n"/>
      <c r="D308" s="9" t="n"/>
      <c r="E308" s="9" t="n"/>
      <c r="F308" s="9" t="n"/>
      <c r="G308" s="9" t="n"/>
      <c r="H308" s="9" t="n"/>
      <c r="I308" s="9" t="n"/>
      <c r="J308" s="3" t="n"/>
      <c r="K308" s="9" t="n"/>
    </row>
    <row r="309">
      <c r="A309" s="4" t="n"/>
      <c r="B309" s="9">
        <f>IF(A309="","",INT((DAY(A309)-1)/7)+1)</f>
        <v/>
      </c>
      <c r="C309" s="9" t="n"/>
      <c r="D309" s="9" t="n"/>
      <c r="E309" s="9" t="n"/>
      <c r="F309" s="9" t="n"/>
      <c r="G309" s="9" t="n"/>
      <c r="H309" s="9" t="n"/>
      <c r="I309" s="9" t="n"/>
      <c r="J309" s="3" t="n"/>
      <c r="K309" s="9" t="n"/>
    </row>
    <row r="310">
      <c r="A310" s="4" t="n"/>
      <c r="B310" s="9">
        <f>IF(A310="","",INT((DAY(A310)-1)/7)+1)</f>
        <v/>
      </c>
      <c r="C310" s="9" t="n"/>
      <c r="D310" s="9" t="n"/>
      <c r="E310" s="9" t="n"/>
      <c r="F310" s="9" t="n"/>
      <c r="G310" s="9" t="n"/>
      <c r="H310" s="9" t="n"/>
      <c r="I310" s="9" t="n"/>
      <c r="J310" s="3" t="n"/>
      <c r="K310" s="9" t="n"/>
    </row>
    <row r="311">
      <c r="A311" s="4" t="n"/>
      <c r="B311" s="9">
        <f>IF(A311="","",INT((DAY(A311)-1)/7)+1)</f>
        <v/>
      </c>
      <c r="C311" s="9" t="n"/>
      <c r="D311" s="9" t="n"/>
      <c r="E311" s="9" t="n"/>
      <c r="F311" s="9" t="n"/>
      <c r="G311" s="9" t="n"/>
      <c r="H311" s="9" t="n"/>
      <c r="I311" s="9" t="n"/>
      <c r="J311" s="3" t="n"/>
      <c r="K311" s="9" t="n"/>
    </row>
    <row r="312">
      <c r="A312" s="4" t="n"/>
      <c r="B312" s="9">
        <f>IF(A312="","",INT((DAY(A312)-1)/7)+1)</f>
        <v/>
      </c>
      <c r="C312" s="9" t="n"/>
      <c r="D312" s="9" t="n"/>
      <c r="E312" s="9" t="n"/>
      <c r="F312" s="9" t="n"/>
      <c r="G312" s="9" t="n"/>
      <c r="H312" s="9" t="n"/>
      <c r="I312" s="9" t="n"/>
      <c r="J312" s="3" t="n"/>
      <c r="K312" s="9" t="n"/>
    </row>
    <row r="313">
      <c r="A313" s="4" t="n"/>
      <c r="B313" s="9">
        <f>IF(A313="","",INT((DAY(A313)-1)/7)+1)</f>
        <v/>
      </c>
      <c r="C313" s="9" t="n"/>
      <c r="D313" s="9" t="n"/>
      <c r="E313" s="9" t="n"/>
      <c r="F313" s="9" t="n"/>
      <c r="G313" s="9" t="n"/>
      <c r="H313" s="9" t="n"/>
      <c r="I313" s="9" t="n"/>
      <c r="J313" s="3" t="n"/>
      <c r="K313" s="9" t="n"/>
    </row>
    <row r="314">
      <c r="A314" s="4" t="n"/>
      <c r="B314" s="9">
        <f>IF(A314="","",INT((DAY(A314)-1)/7)+1)</f>
        <v/>
      </c>
      <c r="C314" s="9" t="n"/>
      <c r="D314" s="9" t="n"/>
      <c r="E314" s="9" t="n"/>
      <c r="F314" s="9" t="n"/>
      <c r="G314" s="9" t="n"/>
      <c r="H314" s="9" t="n"/>
      <c r="I314" s="9" t="n"/>
      <c r="J314" s="3" t="n"/>
      <c r="K314" s="9" t="n"/>
    </row>
    <row r="315">
      <c r="A315" s="4" t="n"/>
      <c r="B315" s="9">
        <f>IF(A315="","",INT((DAY(A315)-1)/7)+1)</f>
        <v/>
      </c>
      <c r="C315" s="9" t="n"/>
      <c r="D315" s="9" t="n"/>
      <c r="E315" s="9" t="n"/>
      <c r="F315" s="9" t="n"/>
      <c r="G315" s="9" t="n"/>
      <c r="H315" s="9" t="n"/>
      <c r="I315" s="9" t="n"/>
      <c r="J315" s="3" t="n"/>
      <c r="K315" s="9" t="n"/>
    </row>
    <row r="316">
      <c r="A316" s="4" t="n"/>
      <c r="B316" s="9">
        <f>IF(A316="","",INT((DAY(A316)-1)/7)+1)</f>
        <v/>
      </c>
      <c r="C316" s="9" t="n"/>
      <c r="D316" s="9" t="n"/>
      <c r="E316" s="9" t="n"/>
      <c r="F316" s="9" t="n"/>
      <c r="G316" s="9" t="n"/>
      <c r="H316" s="9" t="n"/>
      <c r="I316" s="9" t="n"/>
      <c r="J316" s="3" t="n"/>
      <c r="K316" s="9" t="n"/>
    </row>
    <row r="317">
      <c r="A317" s="4" t="n"/>
      <c r="B317" s="9">
        <f>IF(A317="","",INT((DAY(A317)-1)/7)+1)</f>
        <v/>
      </c>
      <c r="C317" s="9" t="n"/>
      <c r="D317" s="9" t="n"/>
      <c r="E317" s="9" t="n"/>
      <c r="F317" s="9" t="n"/>
      <c r="G317" s="9" t="n"/>
      <c r="H317" s="9" t="n"/>
      <c r="I317" s="9" t="n"/>
      <c r="J317" s="3" t="n"/>
      <c r="K317" s="9" t="n"/>
    </row>
    <row r="318">
      <c r="A318" s="4" t="n"/>
      <c r="B318" s="9">
        <f>IF(A318="","",INT((DAY(A318)-1)/7)+1)</f>
        <v/>
      </c>
      <c r="C318" s="9" t="n"/>
      <c r="D318" s="9" t="n"/>
      <c r="E318" s="9" t="n"/>
      <c r="F318" s="9" t="n"/>
      <c r="G318" s="9" t="n"/>
      <c r="H318" s="9" t="n"/>
      <c r="I318" s="9" t="n"/>
      <c r="J318" s="3" t="n"/>
      <c r="K318" s="9" t="n"/>
    </row>
    <row r="319">
      <c r="A319" s="4" t="n"/>
      <c r="B319" s="9">
        <f>IF(A319="","",INT((DAY(A319)-1)/7)+1)</f>
        <v/>
      </c>
      <c r="C319" s="9" t="n"/>
      <c r="D319" s="9" t="n"/>
      <c r="E319" s="9" t="n"/>
      <c r="F319" s="9" t="n"/>
      <c r="G319" s="9" t="n"/>
      <c r="H319" s="9" t="n"/>
      <c r="I319" s="9" t="n"/>
      <c r="J319" s="3" t="n"/>
      <c r="K319" s="9" t="n"/>
    </row>
    <row r="320">
      <c r="A320" s="4" t="n"/>
      <c r="B320" s="9">
        <f>IF(A320="","",INT((DAY(A320)-1)/7)+1)</f>
        <v/>
      </c>
      <c r="C320" s="9" t="n"/>
      <c r="D320" s="9" t="n"/>
      <c r="E320" s="9" t="n"/>
      <c r="F320" s="9" t="n"/>
      <c r="G320" s="9" t="n"/>
      <c r="H320" s="9" t="n"/>
      <c r="I320" s="9" t="n"/>
      <c r="J320" s="3" t="n"/>
      <c r="K320" s="9" t="n"/>
    </row>
    <row r="321">
      <c r="A321" s="4" t="n"/>
      <c r="B321" s="9">
        <f>IF(A321="","",INT((DAY(A321)-1)/7)+1)</f>
        <v/>
      </c>
      <c r="C321" s="9" t="n"/>
      <c r="D321" s="9" t="n"/>
      <c r="E321" s="9" t="n"/>
      <c r="F321" s="9" t="n"/>
      <c r="G321" s="9" t="n"/>
      <c r="H321" s="9" t="n"/>
      <c r="I321" s="9" t="n"/>
      <c r="J321" s="3" t="n"/>
      <c r="K321" s="9" t="n"/>
    </row>
    <row r="322">
      <c r="A322" s="4" t="n"/>
      <c r="B322" s="9">
        <f>IF(A322="","",INT((DAY(A322)-1)/7)+1)</f>
        <v/>
      </c>
      <c r="C322" s="9" t="n"/>
      <c r="D322" s="9" t="n"/>
      <c r="E322" s="9" t="n"/>
      <c r="F322" s="9" t="n"/>
      <c r="G322" s="9" t="n"/>
      <c r="H322" s="9" t="n"/>
      <c r="I322" s="9" t="n"/>
      <c r="J322" s="3" t="n"/>
      <c r="K322" s="9" t="n"/>
    </row>
    <row r="323">
      <c r="A323" s="4" t="n"/>
      <c r="B323" s="9">
        <f>IF(A323="","",INT((DAY(A323)-1)/7)+1)</f>
        <v/>
      </c>
      <c r="C323" s="9" t="n"/>
      <c r="D323" s="9" t="n"/>
      <c r="E323" s="9" t="n"/>
      <c r="F323" s="9" t="n"/>
      <c r="G323" s="9" t="n"/>
      <c r="H323" s="9" t="n"/>
      <c r="I323" s="9" t="n"/>
      <c r="J323" s="3" t="n"/>
      <c r="K323" s="9" t="n"/>
    </row>
    <row r="324">
      <c r="A324" s="4" t="n"/>
      <c r="B324" s="9">
        <f>IF(A324="","",INT((DAY(A324)-1)/7)+1)</f>
        <v/>
      </c>
      <c r="C324" s="9" t="n"/>
      <c r="D324" s="9" t="n"/>
      <c r="E324" s="9" t="n"/>
      <c r="F324" s="9" t="n"/>
      <c r="G324" s="9" t="n"/>
      <c r="H324" s="9" t="n"/>
      <c r="I324" s="9" t="n"/>
      <c r="J324" s="3" t="n"/>
      <c r="K324" s="9" t="n"/>
    </row>
    <row r="325">
      <c r="A325" s="4" t="n"/>
      <c r="B325" s="9">
        <f>IF(A325="","",INT((DAY(A325)-1)/7)+1)</f>
        <v/>
      </c>
      <c r="C325" s="9" t="n"/>
      <c r="D325" s="9" t="n"/>
      <c r="E325" s="9" t="n"/>
      <c r="F325" s="9" t="n"/>
      <c r="G325" s="9" t="n"/>
      <c r="H325" s="9" t="n"/>
      <c r="I325" s="9" t="n"/>
      <c r="J325" s="3" t="n"/>
      <c r="K325" s="9" t="n"/>
    </row>
    <row r="326">
      <c r="A326" s="4" t="n"/>
      <c r="B326" s="9">
        <f>IF(A326="","",INT((DAY(A326)-1)/7)+1)</f>
        <v/>
      </c>
      <c r="C326" s="9" t="n"/>
      <c r="D326" s="9" t="n"/>
      <c r="E326" s="9" t="n"/>
      <c r="F326" s="9" t="n"/>
      <c r="G326" s="9" t="n"/>
      <c r="H326" s="9" t="n"/>
      <c r="I326" s="9" t="n"/>
      <c r="J326" s="3" t="n"/>
      <c r="K326" s="9" t="n"/>
    </row>
    <row r="327">
      <c r="A327" s="4" t="n"/>
      <c r="B327" s="9">
        <f>IF(A327="","",INT((DAY(A327)-1)/7)+1)</f>
        <v/>
      </c>
      <c r="C327" s="9" t="n"/>
      <c r="D327" s="9" t="n"/>
      <c r="E327" s="9" t="n"/>
      <c r="F327" s="9" t="n"/>
      <c r="G327" s="9" t="n"/>
      <c r="H327" s="9" t="n"/>
      <c r="I327" s="9" t="n"/>
      <c r="J327" s="3" t="n"/>
      <c r="K327" s="9" t="n"/>
    </row>
    <row r="328">
      <c r="A328" s="4" t="n"/>
      <c r="B328" s="9">
        <f>IF(A328="","",INT((DAY(A328)-1)/7)+1)</f>
        <v/>
      </c>
      <c r="C328" s="9" t="n"/>
      <c r="D328" s="9" t="n"/>
      <c r="E328" s="9" t="n"/>
      <c r="F328" s="9" t="n"/>
      <c r="G328" s="9" t="n"/>
      <c r="H328" s="9" t="n"/>
      <c r="I328" s="9" t="n"/>
      <c r="J328" s="3" t="n"/>
      <c r="K328" s="9" t="n"/>
    </row>
    <row r="329">
      <c r="A329" s="4" t="n"/>
      <c r="B329" s="9">
        <f>IF(A329="","",INT((DAY(A329)-1)/7)+1)</f>
        <v/>
      </c>
      <c r="C329" s="9" t="n"/>
      <c r="D329" s="9" t="n"/>
      <c r="E329" s="9" t="n"/>
      <c r="F329" s="9" t="n"/>
      <c r="G329" s="9" t="n"/>
      <c r="H329" s="9" t="n"/>
      <c r="I329" s="9" t="n"/>
      <c r="J329" s="3" t="n"/>
      <c r="K329" s="9" t="n"/>
    </row>
    <row r="330">
      <c r="A330" s="4" t="n"/>
      <c r="B330" s="9">
        <f>IF(A330="","",INT((DAY(A330)-1)/7)+1)</f>
        <v/>
      </c>
      <c r="C330" s="9" t="n"/>
      <c r="D330" s="9" t="n"/>
      <c r="E330" s="9" t="n"/>
      <c r="F330" s="9" t="n"/>
      <c r="G330" s="9" t="n"/>
      <c r="H330" s="9" t="n"/>
      <c r="I330" s="9" t="n"/>
      <c r="J330" s="3" t="n"/>
      <c r="K330" s="9" t="n"/>
    </row>
    <row r="331">
      <c r="A331" s="4" t="n"/>
      <c r="B331" s="9">
        <f>IF(A331="","",INT((DAY(A331)-1)/7)+1)</f>
        <v/>
      </c>
      <c r="C331" s="9" t="n"/>
      <c r="D331" s="9" t="n"/>
      <c r="E331" s="9" t="n"/>
      <c r="F331" s="9" t="n"/>
      <c r="G331" s="9" t="n"/>
      <c r="H331" s="9" t="n"/>
      <c r="I331" s="9" t="n"/>
      <c r="J331" s="3" t="n"/>
      <c r="K331" s="9" t="n"/>
    </row>
    <row r="332">
      <c r="A332" s="4" t="n"/>
      <c r="B332" s="9">
        <f>IF(A332="","",INT((DAY(A332)-1)/7)+1)</f>
        <v/>
      </c>
      <c r="C332" s="9" t="n"/>
      <c r="D332" s="9" t="n"/>
      <c r="E332" s="9" t="n"/>
      <c r="F332" s="9" t="n"/>
      <c r="G332" s="9" t="n"/>
      <c r="H332" s="9" t="n"/>
      <c r="I332" s="9" t="n"/>
      <c r="J332" s="3" t="n"/>
      <c r="K332" s="9" t="n"/>
    </row>
    <row r="333">
      <c r="A333" s="4" t="n"/>
      <c r="B333" s="9">
        <f>IF(A333="","",INT((DAY(A333)-1)/7)+1)</f>
        <v/>
      </c>
      <c r="C333" s="9" t="n"/>
      <c r="D333" s="9" t="n"/>
      <c r="E333" s="9" t="n"/>
      <c r="F333" s="9" t="n"/>
      <c r="G333" s="9" t="n"/>
      <c r="H333" s="9" t="n"/>
      <c r="I333" s="9" t="n"/>
      <c r="J333" s="3" t="n"/>
      <c r="K333" s="9" t="n"/>
    </row>
    <row r="334">
      <c r="A334" s="4" t="n"/>
      <c r="B334" s="9">
        <f>IF(A334="","",INT((DAY(A334)-1)/7)+1)</f>
        <v/>
      </c>
      <c r="C334" s="9" t="n"/>
      <c r="D334" s="9" t="n"/>
      <c r="E334" s="9" t="n"/>
      <c r="F334" s="9" t="n"/>
      <c r="G334" s="9" t="n"/>
      <c r="H334" s="9" t="n"/>
      <c r="I334" s="9" t="n"/>
      <c r="J334" s="3" t="n"/>
      <c r="K334" s="9" t="n"/>
    </row>
    <row r="335">
      <c r="A335" s="4" t="n"/>
      <c r="B335" s="9">
        <f>IF(A335="","",INT((DAY(A335)-1)/7)+1)</f>
        <v/>
      </c>
      <c r="C335" s="9" t="n"/>
      <c r="D335" s="9" t="n"/>
      <c r="E335" s="9" t="n"/>
      <c r="F335" s="9" t="n"/>
      <c r="G335" s="9" t="n"/>
      <c r="H335" s="9" t="n"/>
      <c r="I335" s="9" t="n"/>
      <c r="J335" s="3" t="n"/>
      <c r="K335" s="9" t="n"/>
    </row>
    <row r="336">
      <c r="A336" s="4" t="n"/>
      <c r="B336" s="9">
        <f>IF(A336="","",INT((DAY(A336)-1)/7)+1)</f>
        <v/>
      </c>
      <c r="C336" s="9" t="n"/>
      <c r="D336" s="9" t="n"/>
      <c r="E336" s="9" t="n"/>
      <c r="F336" s="9" t="n"/>
      <c r="G336" s="9" t="n"/>
      <c r="H336" s="9" t="n"/>
      <c r="I336" s="9" t="n"/>
      <c r="J336" s="3" t="n"/>
      <c r="K336" s="9" t="n"/>
    </row>
    <row r="337">
      <c r="A337" s="4" t="n"/>
      <c r="B337" s="9">
        <f>IF(A337="","",INT((DAY(A337)-1)/7)+1)</f>
        <v/>
      </c>
      <c r="C337" s="9" t="n"/>
      <c r="D337" s="9" t="n"/>
      <c r="E337" s="9" t="n"/>
      <c r="F337" s="9" t="n"/>
      <c r="G337" s="9" t="n"/>
      <c r="H337" s="9" t="n"/>
      <c r="I337" s="9" t="n"/>
      <c r="J337" s="3" t="n"/>
      <c r="K337" s="9" t="n"/>
    </row>
    <row r="338">
      <c r="A338" s="4" t="n"/>
      <c r="B338" s="9">
        <f>IF(A338="","",INT((DAY(A338)-1)/7)+1)</f>
        <v/>
      </c>
      <c r="C338" s="9" t="n"/>
      <c r="D338" s="9" t="n"/>
      <c r="E338" s="9" t="n"/>
      <c r="F338" s="9" t="n"/>
      <c r="G338" s="9" t="n"/>
      <c r="H338" s="9" t="n"/>
      <c r="I338" s="9" t="n"/>
      <c r="J338" s="3" t="n"/>
      <c r="K338" s="9" t="n"/>
    </row>
    <row r="339">
      <c r="A339" s="4" t="n"/>
      <c r="B339" s="9">
        <f>IF(A339="","",INT((DAY(A339)-1)/7)+1)</f>
        <v/>
      </c>
      <c r="C339" s="9" t="n"/>
      <c r="D339" s="9" t="n"/>
      <c r="E339" s="9" t="n"/>
      <c r="F339" s="9" t="n"/>
      <c r="G339" s="9" t="n"/>
      <c r="H339" s="9" t="n"/>
      <c r="I339" s="9" t="n"/>
      <c r="J339" s="3" t="n"/>
      <c r="K339" s="9" t="n"/>
    </row>
    <row r="340">
      <c r="A340" s="4" t="n"/>
      <c r="B340" s="9">
        <f>IF(A340="","",INT((DAY(A340)-1)/7)+1)</f>
        <v/>
      </c>
      <c r="C340" s="9" t="n"/>
      <c r="D340" s="9" t="n"/>
      <c r="E340" s="9" t="n"/>
      <c r="F340" s="9" t="n"/>
      <c r="G340" s="9" t="n"/>
      <c r="H340" s="9" t="n"/>
      <c r="I340" s="9" t="n"/>
      <c r="J340" s="3" t="n"/>
      <c r="K340" s="9" t="n"/>
    </row>
    <row r="341">
      <c r="A341" s="4" t="n"/>
      <c r="B341" s="9">
        <f>IF(A341="","",INT((DAY(A341)-1)/7)+1)</f>
        <v/>
      </c>
      <c r="C341" s="9" t="n"/>
      <c r="D341" s="9" t="n"/>
      <c r="E341" s="9" t="n"/>
      <c r="F341" s="9" t="n"/>
      <c r="G341" s="9" t="n"/>
      <c r="H341" s="9" t="n"/>
      <c r="I341" s="9" t="n"/>
      <c r="J341" s="3" t="n"/>
      <c r="K341" s="9" t="n"/>
    </row>
    <row r="342">
      <c r="A342" s="4" t="n"/>
      <c r="B342" s="9">
        <f>IF(A342="","",INT((DAY(A342)-1)/7)+1)</f>
        <v/>
      </c>
      <c r="C342" s="9" t="n"/>
      <c r="D342" s="9" t="n"/>
      <c r="E342" s="9" t="n"/>
      <c r="F342" s="9" t="n"/>
      <c r="G342" s="9" t="n"/>
      <c r="H342" s="9" t="n"/>
      <c r="I342" s="9" t="n"/>
      <c r="J342" s="3" t="n"/>
      <c r="K342" s="9" t="n"/>
    </row>
    <row r="343">
      <c r="A343" s="4" t="n"/>
      <c r="B343" s="9">
        <f>IF(A343="","",INT((DAY(A343)-1)/7)+1)</f>
        <v/>
      </c>
      <c r="C343" s="9" t="n"/>
      <c r="D343" s="9" t="n"/>
      <c r="E343" s="9" t="n"/>
      <c r="F343" s="9" t="n"/>
      <c r="G343" s="9" t="n"/>
      <c r="H343" s="9" t="n"/>
      <c r="I343" s="9" t="n"/>
      <c r="J343" s="3" t="n"/>
      <c r="K343" s="9" t="n"/>
    </row>
    <row r="344">
      <c r="A344" s="4" t="n"/>
      <c r="B344" s="9">
        <f>IF(A344="","",INT((DAY(A344)-1)/7)+1)</f>
        <v/>
      </c>
      <c r="C344" s="9" t="n"/>
      <c r="D344" s="9" t="n"/>
      <c r="E344" s="9" t="n"/>
      <c r="F344" s="9" t="n"/>
      <c r="G344" s="9" t="n"/>
      <c r="H344" s="9" t="n"/>
      <c r="I344" s="9" t="n"/>
      <c r="J344" s="3" t="n"/>
      <c r="K344" s="9" t="n"/>
    </row>
    <row r="345">
      <c r="A345" s="4" t="n"/>
      <c r="B345" s="9">
        <f>IF(A345="","",INT((DAY(A345)-1)/7)+1)</f>
        <v/>
      </c>
      <c r="C345" s="9" t="n"/>
      <c r="D345" s="9" t="n"/>
      <c r="E345" s="9" t="n"/>
      <c r="F345" s="9" t="n"/>
      <c r="G345" s="9" t="n"/>
      <c r="H345" s="9" t="n"/>
      <c r="I345" s="9" t="n"/>
      <c r="J345" s="3" t="n"/>
      <c r="K345" s="9" t="n"/>
    </row>
    <row r="346">
      <c r="A346" s="4" t="n"/>
      <c r="B346" s="9">
        <f>IF(A346="","",INT((DAY(A346)-1)/7)+1)</f>
        <v/>
      </c>
      <c r="C346" s="9" t="n"/>
      <c r="D346" s="9" t="n"/>
      <c r="E346" s="9" t="n"/>
      <c r="F346" s="9" t="n"/>
      <c r="G346" s="9" t="n"/>
      <c r="H346" s="9" t="n"/>
      <c r="I346" s="9" t="n"/>
      <c r="J346" s="3" t="n"/>
      <c r="K346" s="9" t="n"/>
    </row>
    <row r="347">
      <c r="A347" s="4" t="n"/>
      <c r="B347" s="9">
        <f>IF(A347="","",INT((DAY(A347)-1)/7)+1)</f>
        <v/>
      </c>
      <c r="C347" s="9" t="n"/>
      <c r="D347" s="9" t="n"/>
      <c r="E347" s="9" t="n"/>
      <c r="F347" s="9" t="n"/>
      <c r="G347" s="9" t="n"/>
      <c r="H347" s="9" t="n"/>
      <c r="I347" s="9" t="n"/>
      <c r="J347" s="3" t="n"/>
      <c r="K347" s="9" t="n"/>
    </row>
    <row r="348">
      <c r="A348" s="4" t="n"/>
      <c r="B348" s="9">
        <f>IF(A348="","",INT((DAY(A348)-1)/7)+1)</f>
        <v/>
      </c>
      <c r="C348" s="9" t="n"/>
      <c r="D348" s="9" t="n"/>
      <c r="E348" s="9" t="n"/>
      <c r="F348" s="9" t="n"/>
      <c r="G348" s="9" t="n"/>
      <c r="H348" s="9" t="n"/>
      <c r="I348" s="9" t="n"/>
      <c r="J348" s="3" t="n"/>
      <c r="K348" s="9" t="n"/>
    </row>
    <row r="349">
      <c r="A349" s="4" t="n"/>
      <c r="B349" s="9">
        <f>IF(A349="","",INT((DAY(A349)-1)/7)+1)</f>
        <v/>
      </c>
      <c r="C349" s="9" t="n"/>
      <c r="D349" s="9" t="n"/>
      <c r="E349" s="9" t="n"/>
      <c r="F349" s="9" t="n"/>
      <c r="G349" s="9" t="n"/>
      <c r="H349" s="9" t="n"/>
      <c r="I349" s="9" t="n"/>
      <c r="J349" s="3" t="n"/>
      <c r="K349" s="9" t="n"/>
    </row>
    <row r="350">
      <c r="A350" s="4" t="n"/>
      <c r="B350" s="9">
        <f>IF(A350="","",INT((DAY(A350)-1)/7)+1)</f>
        <v/>
      </c>
      <c r="C350" s="9" t="n"/>
      <c r="D350" s="9" t="n"/>
      <c r="E350" s="9" t="n"/>
      <c r="F350" s="9" t="n"/>
      <c r="G350" s="9" t="n"/>
      <c r="H350" s="9" t="n"/>
      <c r="I350" s="9" t="n"/>
      <c r="J350" s="3" t="n"/>
      <c r="K350" s="9" t="n"/>
    </row>
    <row r="351">
      <c r="A351" s="4" t="n"/>
      <c r="B351" s="9">
        <f>IF(A351="","",INT((DAY(A351)-1)/7)+1)</f>
        <v/>
      </c>
      <c r="C351" s="9" t="n"/>
      <c r="D351" s="9" t="n"/>
      <c r="E351" s="9" t="n"/>
      <c r="F351" s="9" t="n"/>
      <c r="G351" s="9" t="n"/>
      <c r="H351" s="9" t="n"/>
      <c r="I351" s="9" t="n"/>
      <c r="J351" s="3" t="n"/>
      <c r="K351" s="9" t="n"/>
    </row>
    <row r="352">
      <c r="A352" s="4" t="n"/>
      <c r="B352" s="9">
        <f>IF(A352="","",INT((DAY(A352)-1)/7)+1)</f>
        <v/>
      </c>
      <c r="C352" s="9" t="n"/>
      <c r="D352" s="9" t="n"/>
      <c r="E352" s="9" t="n"/>
      <c r="F352" s="9" t="n"/>
      <c r="G352" s="9" t="n"/>
      <c r="H352" s="9" t="n"/>
      <c r="I352" s="9" t="n"/>
      <c r="J352" s="3" t="n"/>
      <c r="K352" s="9" t="n"/>
    </row>
    <row r="353">
      <c r="A353" s="4" t="n"/>
      <c r="B353" s="9">
        <f>IF(A353="","",INT((DAY(A353)-1)/7)+1)</f>
        <v/>
      </c>
      <c r="C353" s="9" t="n"/>
      <c r="D353" s="9" t="n"/>
      <c r="E353" s="9" t="n"/>
      <c r="F353" s="9" t="n"/>
      <c r="G353" s="9" t="n"/>
      <c r="H353" s="9" t="n"/>
      <c r="I353" s="9" t="n"/>
      <c r="J353" s="3" t="n"/>
      <c r="K353" s="9" t="n"/>
    </row>
    <row r="354">
      <c r="A354" s="4" t="n"/>
      <c r="B354" s="9">
        <f>IF(A354="","",INT((DAY(A354)-1)/7)+1)</f>
        <v/>
      </c>
      <c r="C354" s="9" t="n"/>
      <c r="D354" s="9" t="n"/>
      <c r="E354" s="9" t="n"/>
      <c r="F354" s="9" t="n"/>
      <c r="G354" s="9" t="n"/>
      <c r="H354" s="9" t="n"/>
      <c r="I354" s="9" t="n"/>
      <c r="J354" s="3" t="n"/>
      <c r="K354" s="9" t="n"/>
    </row>
    <row r="355">
      <c r="A355" s="4" t="n"/>
      <c r="B355" s="9">
        <f>IF(A355="","",INT((DAY(A355)-1)/7)+1)</f>
        <v/>
      </c>
      <c r="C355" s="9" t="n"/>
      <c r="D355" s="9" t="n"/>
      <c r="E355" s="9" t="n"/>
      <c r="F355" s="9" t="n"/>
      <c r="G355" s="9" t="n"/>
      <c r="H355" s="9" t="n"/>
      <c r="I355" s="9" t="n"/>
      <c r="J355" s="3" t="n"/>
      <c r="K355" s="9" t="n"/>
    </row>
    <row r="356">
      <c r="A356" s="4" t="n"/>
      <c r="B356" s="9">
        <f>IF(A356="","",INT((DAY(A356)-1)/7)+1)</f>
        <v/>
      </c>
      <c r="C356" s="9" t="n"/>
      <c r="D356" s="9" t="n"/>
      <c r="E356" s="9" t="n"/>
      <c r="F356" s="9" t="n"/>
      <c r="G356" s="9" t="n"/>
      <c r="H356" s="9" t="n"/>
      <c r="I356" s="9" t="n"/>
      <c r="J356" s="3" t="n"/>
      <c r="K356" s="9" t="n"/>
    </row>
    <row r="357">
      <c r="A357" s="4" t="n"/>
      <c r="B357" s="9">
        <f>IF(A357="","",INT((DAY(A357)-1)/7)+1)</f>
        <v/>
      </c>
      <c r="C357" s="9" t="n"/>
      <c r="D357" s="9" t="n"/>
      <c r="E357" s="9" t="n"/>
      <c r="F357" s="9" t="n"/>
      <c r="G357" s="9" t="n"/>
      <c r="H357" s="9" t="n"/>
      <c r="I357" s="9" t="n"/>
      <c r="J357" s="3" t="n"/>
      <c r="K357" s="9" t="n"/>
    </row>
    <row r="358">
      <c r="A358" s="4" t="n"/>
      <c r="B358" s="9">
        <f>IF(A358="","",INT((DAY(A358)-1)/7)+1)</f>
        <v/>
      </c>
      <c r="C358" s="9" t="n"/>
      <c r="D358" s="9" t="n"/>
      <c r="E358" s="9" t="n"/>
      <c r="F358" s="9" t="n"/>
      <c r="G358" s="9" t="n"/>
      <c r="H358" s="9" t="n"/>
      <c r="I358" s="9" t="n"/>
      <c r="J358" s="3" t="n"/>
      <c r="K358" s="9" t="n"/>
    </row>
    <row r="359">
      <c r="A359" s="4" t="n"/>
      <c r="B359" s="9">
        <f>IF(A359="","",INT((DAY(A359)-1)/7)+1)</f>
        <v/>
      </c>
      <c r="C359" s="9" t="n"/>
      <c r="D359" s="9" t="n"/>
      <c r="E359" s="9" t="n"/>
      <c r="F359" s="9" t="n"/>
      <c r="G359" s="9" t="n"/>
      <c r="H359" s="9" t="n"/>
      <c r="I359" s="9" t="n"/>
      <c r="J359" s="3" t="n"/>
      <c r="K359" s="9" t="n"/>
    </row>
    <row r="360">
      <c r="A360" s="4" t="n"/>
      <c r="B360" s="9">
        <f>IF(A360="","",INT((DAY(A360)-1)/7)+1)</f>
        <v/>
      </c>
      <c r="C360" s="9" t="n"/>
      <c r="D360" s="9" t="n"/>
      <c r="E360" s="9" t="n"/>
      <c r="F360" s="9" t="n"/>
      <c r="G360" s="9" t="n"/>
      <c r="H360" s="9" t="n"/>
      <c r="I360" s="9" t="n"/>
      <c r="J360" s="3" t="n"/>
      <c r="K360" s="9" t="n"/>
    </row>
    <row r="361">
      <c r="A361" s="4" t="n"/>
      <c r="B361" s="9">
        <f>IF(A361="","",INT((DAY(A361)-1)/7)+1)</f>
        <v/>
      </c>
      <c r="C361" s="9" t="n"/>
      <c r="D361" s="9" t="n"/>
      <c r="E361" s="9" t="n"/>
      <c r="F361" s="9" t="n"/>
      <c r="G361" s="9" t="n"/>
      <c r="H361" s="9" t="n"/>
      <c r="I361" s="9" t="n"/>
      <c r="J361" s="3" t="n"/>
      <c r="K361" s="9" t="n"/>
    </row>
    <row r="362">
      <c r="A362" s="4" t="n"/>
      <c r="B362" s="9">
        <f>IF(A362="","",INT((DAY(A362)-1)/7)+1)</f>
        <v/>
      </c>
      <c r="C362" s="9" t="n"/>
      <c r="D362" s="9" t="n"/>
      <c r="E362" s="9" t="n"/>
      <c r="F362" s="9" t="n"/>
      <c r="G362" s="9" t="n"/>
      <c r="H362" s="9" t="n"/>
      <c r="I362" s="9" t="n"/>
      <c r="J362" s="3" t="n"/>
      <c r="K362" s="9" t="n"/>
    </row>
    <row r="363">
      <c r="A363" s="4" t="n"/>
      <c r="B363" s="9">
        <f>IF(A363="","",INT((DAY(A363)-1)/7)+1)</f>
        <v/>
      </c>
      <c r="C363" s="9" t="n"/>
      <c r="D363" s="9" t="n"/>
      <c r="E363" s="9" t="n"/>
      <c r="F363" s="9" t="n"/>
      <c r="G363" s="9" t="n"/>
      <c r="H363" s="9" t="n"/>
      <c r="I363" s="9" t="n"/>
      <c r="J363" s="3" t="n"/>
      <c r="K363" s="9" t="n"/>
    </row>
    <row r="364">
      <c r="A364" s="4" t="n"/>
      <c r="B364" s="9">
        <f>IF(A364="","",INT((DAY(A364)-1)/7)+1)</f>
        <v/>
      </c>
      <c r="C364" s="9" t="n"/>
      <c r="D364" s="9" t="n"/>
      <c r="E364" s="9" t="n"/>
      <c r="F364" s="9" t="n"/>
      <c r="G364" s="9" t="n"/>
      <c r="H364" s="9" t="n"/>
      <c r="I364" s="9" t="n"/>
      <c r="J364" s="3" t="n"/>
      <c r="K364" s="9" t="n"/>
    </row>
    <row r="365">
      <c r="A365" s="4" t="n"/>
      <c r="B365" s="9">
        <f>IF(A365="","",INT((DAY(A365)-1)/7)+1)</f>
        <v/>
      </c>
      <c r="C365" s="9" t="n"/>
      <c r="D365" s="9" t="n"/>
      <c r="E365" s="9" t="n"/>
      <c r="F365" s="9" t="n"/>
      <c r="G365" s="9" t="n"/>
      <c r="H365" s="9" t="n"/>
      <c r="I365" s="9" t="n"/>
      <c r="J365" s="3" t="n"/>
      <c r="K365" s="9" t="n"/>
    </row>
    <row r="366">
      <c r="A366" s="4" t="n"/>
      <c r="B366" s="9">
        <f>IF(A366="","",INT((DAY(A366)-1)/7)+1)</f>
        <v/>
      </c>
      <c r="C366" s="9" t="n"/>
      <c r="D366" s="9" t="n"/>
      <c r="E366" s="9" t="n"/>
      <c r="F366" s="9" t="n"/>
      <c r="G366" s="9" t="n"/>
      <c r="H366" s="9" t="n"/>
      <c r="I366" s="9" t="n"/>
      <c r="J366" s="3" t="n"/>
      <c r="K366" s="9" t="n"/>
    </row>
    <row r="367">
      <c r="A367" s="4" t="n"/>
      <c r="B367" s="9">
        <f>IF(A367="","",INT((DAY(A367)-1)/7)+1)</f>
        <v/>
      </c>
      <c r="C367" s="9" t="n"/>
      <c r="D367" s="9" t="n"/>
      <c r="E367" s="9" t="n"/>
      <c r="F367" s="9" t="n"/>
      <c r="G367" s="9" t="n"/>
      <c r="H367" s="9" t="n"/>
      <c r="I367" s="9" t="n"/>
      <c r="J367" s="3" t="n"/>
      <c r="K367" s="9" t="n"/>
    </row>
    <row r="368">
      <c r="A368" s="4" t="n"/>
      <c r="B368" s="9">
        <f>IF(A368="","",INT((DAY(A368)-1)/7)+1)</f>
        <v/>
      </c>
      <c r="C368" s="9" t="n"/>
      <c r="D368" s="9" t="n"/>
      <c r="E368" s="9" t="n"/>
      <c r="F368" s="9" t="n"/>
      <c r="G368" s="9" t="n"/>
      <c r="H368" s="9" t="n"/>
      <c r="I368" s="9" t="n"/>
      <c r="J368" s="3" t="n"/>
      <c r="K368" s="9" t="n"/>
    </row>
    <row r="369">
      <c r="A369" s="4" t="n"/>
      <c r="B369" s="9">
        <f>IF(A369="","",INT((DAY(A369)-1)/7)+1)</f>
        <v/>
      </c>
      <c r="C369" s="9" t="n"/>
      <c r="D369" s="9" t="n"/>
      <c r="E369" s="9" t="n"/>
      <c r="F369" s="9" t="n"/>
      <c r="G369" s="9" t="n"/>
      <c r="H369" s="9" t="n"/>
      <c r="I369" s="9" t="n"/>
      <c r="J369" s="3" t="n"/>
      <c r="K369" s="9" t="n"/>
    </row>
    <row r="370">
      <c r="A370" s="4" t="n"/>
      <c r="B370" s="9">
        <f>IF(A370="","",INT((DAY(A370)-1)/7)+1)</f>
        <v/>
      </c>
      <c r="C370" s="9" t="n"/>
      <c r="D370" s="9" t="n"/>
      <c r="E370" s="9" t="n"/>
      <c r="F370" s="9" t="n"/>
      <c r="G370" s="9" t="n"/>
      <c r="H370" s="9" t="n"/>
      <c r="I370" s="9" t="n"/>
      <c r="J370" s="3" t="n"/>
      <c r="K370" s="9" t="n"/>
    </row>
    <row r="371">
      <c r="A371" s="4" t="n"/>
      <c r="B371" s="9">
        <f>IF(A371="","",INT((DAY(A371)-1)/7)+1)</f>
        <v/>
      </c>
      <c r="C371" s="9" t="n"/>
      <c r="D371" s="9" t="n"/>
      <c r="E371" s="9" t="n"/>
      <c r="F371" s="9" t="n"/>
      <c r="G371" s="9" t="n"/>
      <c r="H371" s="9" t="n"/>
      <c r="I371" s="9" t="n"/>
      <c r="J371" s="3" t="n"/>
      <c r="K371" s="9" t="n"/>
    </row>
    <row r="372">
      <c r="A372" s="4" t="n"/>
      <c r="B372" s="9">
        <f>IF(A372="","",INT((DAY(A372)-1)/7)+1)</f>
        <v/>
      </c>
      <c r="C372" s="9" t="n"/>
      <c r="D372" s="9" t="n"/>
      <c r="E372" s="9" t="n"/>
      <c r="F372" s="9" t="n"/>
      <c r="G372" s="9" t="n"/>
      <c r="H372" s="9" t="n"/>
      <c r="I372" s="9" t="n"/>
      <c r="J372" s="3" t="n"/>
      <c r="K372" s="9" t="n"/>
    </row>
    <row r="373">
      <c r="A373" s="4" t="n"/>
      <c r="B373" s="9">
        <f>IF(A373="","",INT((DAY(A373)-1)/7)+1)</f>
        <v/>
      </c>
      <c r="C373" s="9" t="n"/>
      <c r="D373" s="9" t="n"/>
      <c r="E373" s="9" t="n"/>
      <c r="F373" s="9" t="n"/>
      <c r="G373" s="9" t="n"/>
      <c r="H373" s="9" t="n"/>
      <c r="I373" s="9" t="n"/>
      <c r="J373" s="3" t="n"/>
      <c r="K373" s="9" t="n"/>
    </row>
    <row r="374">
      <c r="A374" s="4" t="n"/>
      <c r="B374" s="9">
        <f>IF(A374="","",INT((DAY(A374)-1)/7)+1)</f>
        <v/>
      </c>
      <c r="C374" s="9" t="n"/>
      <c r="D374" s="9" t="n"/>
      <c r="E374" s="9" t="n"/>
      <c r="F374" s="9" t="n"/>
      <c r="G374" s="9" t="n"/>
      <c r="H374" s="9" t="n"/>
      <c r="I374" s="9" t="n"/>
      <c r="J374" s="3" t="n"/>
      <c r="K374" s="9" t="n"/>
    </row>
    <row r="375">
      <c r="A375" s="4" t="n"/>
      <c r="B375" s="9">
        <f>IF(A375="","",INT((DAY(A375)-1)/7)+1)</f>
        <v/>
      </c>
      <c r="C375" s="9" t="n"/>
      <c r="D375" s="9" t="n"/>
      <c r="E375" s="9" t="n"/>
      <c r="F375" s="9" t="n"/>
      <c r="G375" s="9" t="n"/>
      <c r="H375" s="9" t="n"/>
      <c r="I375" s="9" t="n"/>
      <c r="J375" s="3" t="n"/>
      <c r="K375" s="9" t="n"/>
    </row>
    <row r="376">
      <c r="A376" s="4" t="n"/>
      <c r="B376" s="9">
        <f>IF(A376="","",INT((DAY(A376)-1)/7)+1)</f>
        <v/>
      </c>
      <c r="C376" s="9" t="n"/>
      <c r="D376" s="9" t="n"/>
      <c r="E376" s="9" t="n"/>
      <c r="F376" s="9" t="n"/>
      <c r="G376" s="9" t="n"/>
      <c r="H376" s="9" t="n"/>
      <c r="I376" s="9" t="n"/>
      <c r="J376" s="3" t="n"/>
      <c r="K376" s="9" t="n"/>
    </row>
    <row r="377">
      <c r="A377" s="4" t="n"/>
      <c r="B377" s="9">
        <f>IF(A377="","",INT((DAY(A377)-1)/7)+1)</f>
        <v/>
      </c>
      <c r="C377" s="9" t="n"/>
      <c r="D377" s="9" t="n"/>
      <c r="E377" s="9" t="n"/>
      <c r="F377" s="9" t="n"/>
      <c r="G377" s="9" t="n"/>
      <c r="H377" s="9" t="n"/>
      <c r="I377" s="9" t="n"/>
      <c r="J377" s="3" t="n"/>
      <c r="K377" s="9" t="n"/>
    </row>
    <row r="378">
      <c r="A378" s="4" t="n"/>
      <c r="B378" s="9">
        <f>IF(A378="","",INT((DAY(A378)-1)/7)+1)</f>
        <v/>
      </c>
      <c r="C378" s="9" t="n"/>
      <c r="D378" s="9" t="n"/>
      <c r="E378" s="9" t="n"/>
      <c r="F378" s="9" t="n"/>
      <c r="G378" s="9" t="n"/>
      <c r="H378" s="9" t="n"/>
      <c r="I378" s="9" t="n"/>
      <c r="J378" s="3" t="n"/>
      <c r="K378" s="9" t="n"/>
    </row>
    <row r="379">
      <c r="A379" s="4" t="n"/>
      <c r="B379" s="9">
        <f>IF(A379="","",INT((DAY(A379)-1)/7)+1)</f>
        <v/>
      </c>
      <c r="C379" s="9" t="n"/>
      <c r="D379" s="9" t="n"/>
      <c r="E379" s="9" t="n"/>
      <c r="F379" s="9" t="n"/>
      <c r="G379" s="9" t="n"/>
      <c r="H379" s="9" t="n"/>
      <c r="I379" s="9" t="n"/>
      <c r="J379" s="3" t="n"/>
      <c r="K379" s="9" t="n"/>
    </row>
    <row r="380">
      <c r="A380" s="4" t="n"/>
      <c r="B380" s="9">
        <f>IF(A380="","",INT((DAY(A380)-1)/7)+1)</f>
        <v/>
      </c>
      <c r="C380" s="9" t="n"/>
      <c r="D380" s="9" t="n"/>
      <c r="E380" s="9" t="n"/>
      <c r="F380" s="9" t="n"/>
      <c r="G380" s="9" t="n"/>
      <c r="H380" s="9" t="n"/>
      <c r="I380" s="9" t="n"/>
      <c r="J380" s="3" t="n"/>
      <c r="K380" s="9" t="n"/>
    </row>
    <row r="381">
      <c r="A381" s="4" t="n"/>
      <c r="B381" s="9">
        <f>IF(A381="","",INT((DAY(A381)-1)/7)+1)</f>
        <v/>
      </c>
      <c r="C381" s="9" t="n"/>
      <c r="D381" s="9" t="n"/>
      <c r="E381" s="9" t="n"/>
      <c r="F381" s="9" t="n"/>
      <c r="G381" s="9" t="n"/>
      <c r="H381" s="9" t="n"/>
      <c r="I381" s="9" t="n"/>
      <c r="J381" s="3" t="n"/>
      <c r="K381" s="9" t="n"/>
    </row>
    <row r="382">
      <c r="A382" s="4" t="n"/>
      <c r="B382" s="9">
        <f>IF(A382="","",INT((DAY(A382)-1)/7)+1)</f>
        <v/>
      </c>
      <c r="C382" s="9" t="n"/>
      <c r="D382" s="9" t="n"/>
      <c r="E382" s="9" t="n"/>
      <c r="F382" s="9" t="n"/>
      <c r="G382" s="9" t="n"/>
      <c r="H382" s="9" t="n"/>
      <c r="I382" s="9" t="n"/>
      <c r="J382" s="3" t="n"/>
      <c r="K382" s="9" t="n"/>
    </row>
    <row r="383">
      <c r="A383" s="4" t="n"/>
      <c r="B383" s="9">
        <f>IF(A383="","",INT((DAY(A383)-1)/7)+1)</f>
        <v/>
      </c>
      <c r="C383" s="9" t="n"/>
      <c r="D383" s="9" t="n"/>
      <c r="E383" s="9" t="n"/>
      <c r="F383" s="9" t="n"/>
      <c r="G383" s="9" t="n"/>
      <c r="H383" s="9" t="n"/>
      <c r="I383" s="9" t="n"/>
      <c r="J383" s="3" t="n"/>
      <c r="K383" s="9" t="n"/>
    </row>
    <row r="384">
      <c r="A384" s="4" t="n"/>
      <c r="B384" s="9">
        <f>IF(A384="","",INT((DAY(A384)-1)/7)+1)</f>
        <v/>
      </c>
      <c r="C384" s="9" t="n"/>
      <c r="D384" s="9" t="n"/>
      <c r="E384" s="9" t="n"/>
      <c r="F384" s="9" t="n"/>
      <c r="G384" s="9" t="n"/>
      <c r="H384" s="9" t="n"/>
      <c r="I384" s="9" t="n"/>
      <c r="J384" s="3" t="n"/>
      <c r="K384" s="9" t="n"/>
    </row>
    <row r="385">
      <c r="A385" s="4" t="n"/>
      <c r="B385" s="9">
        <f>IF(A385="","",INT((DAY(A385)-1)/7)+1)</f>
        <v/>
      </c>
      <c r="C385" s="9" t="n"/>
      <c r="D385" s="9" t="n"/>
      <c r="E385" s="9" t="n"/>
      <c r="F385" s="9" t="n"/>
      <c r="G385" s="9" t="n"/>
      <c r="H385" s="9" t="n"/>
      <c r="I385" s="9" t="n"/>
      <c r="J385" s="3" t="n"/>
      <c r="K385" s="9" t="n"/>
    </row>
    <row r="386">
      <c r="A386" s="4" t="n"/>
      <c r="B386" s="9">
        <f>IF(A386="","",INT((DAY(A386)-1)/7)+1)</f>
        <v/>
      </c>
      <c r="C386" s="9" t="n"/>
      <c r="D386" s="9" t="n"/>
      <c r="E386" s="9" t="n"/>
      <c r="F386" s="9" t="n"/>
      <c r="G386" s="9" t="n"/>
      <c r="H386" s="9" t="n"/>
      <c r="I386" s="9" t="n"/>
      <c r="J386" s="3" t="n"/>
      <c r="K386" s="9" t="n"/>
    </row>
    <row r="387">
      <c r="A387" s="4" t="n"/>
      <c r="B387" s="9">
        <f>IF(A387="","",INT((DAY(A387)-1)/7)+1)</f>
        <v/>
      </c>
      <c r="C387" s="9" t="n"/>
      <c r="D387" s="9" t="n"/>
      <c r="E387" s="9" t="n"/>
      <c r="F387" s="9" t="n"/>
      <c r="G387" s="9" t="n"/>
      <c r="H387" s="9" t="n"/>
      <c r="I387" s="9" t="n"/>
      <c r="J387" s="3" t="n"/>
      <c r="K387" s="9" t="n"/>
    </row>
    <row r="388">
      <c r="A388" s="4" t="n"/>
      <c r="B388" s="9">
        <f>IF(A388="","",INT((DAY(A388)-1)/7)+1)</f>
        <v/>
      </c>
      <c r="C388" s="9" t="n"/>
      <c r="D388" s="9" t="n"/>
      <c r="E388" s="9" t="n"/>
      <c r="F388" s="9" t="n"/>
      <c r="G388" s="9" t="n"/>
      <c r="H388" s="9" t="n"/>
      <c r="I388" s="9" t="n"/>
      <c r="J388" s="3" t="n"/>
      <c r="K388" s="9" t="n"/>
    </row>
    <row r="389">
      <c r="A389" s="4" t="n"/>
      <c r="B389" s="9">
        <f>IF(A389="","",INT((DAY(A389)-1)/7)+1)</f>
        <v/>
      </c>
      <c r="C389" s="9" t="n"/>
      <c r="D389" s="9" t="n"/>
      <c r="E389" s="9" t="n"/>
      <c r="F389" s="9" t="n"/>
      <c r="G389" s="9" t="n"/>
      <c r="H389" s="9" t="n"/>
      <c r="I389" s="9" t="n"/>
      <c r="J389" s="3" t="n"/>
      <c r="K389" s="9" t="n"/>
    </row>
    <row r="390">
      <c r="A390" s="4" t="n"/>
      <c r="B390" s="9">
        <f>IF(A390="","",INT((DAY(A390)-1)/7)+1)</f>
        <v/>
      </c>
      <c r="C390" s="9" t="n"/>
      <c r="D390" s="9" t="n"/>
      <c r="E390" s="9" t="n"/>
      <c r="F390" s="9" t="n"/>
      <c r="G390" s="9" t="n"/>
      <c r="H390" s="9" t="n"/>
      <c r="I390" s="9" t="n"/>
      <c r="J390" s="3" t="n"/>
      <c r="K390" s="9" t="n"/>
    </row>
    <row r="391">
      <c r="A391" s="4" t="n"/>
      <c r="B391" s="9">
        <f>IF(A391="","",INT((DAY(A391)-1)/7)+1)</f>
        <v/>
      </c>
      <c r="C391" s="9" t="n"/>
      <c r="D391" s="9" t="n"/>
      <c r="E391" s="9" t="n"/>
      <c r="F391" s="9" t="n"/>
      <c r="G391" s="9" t="n"/>
      <c r="H391" s="9" t="n"/>
      <c r="I391" s="9" t="n"/>
      <c r="J391" s="3" t="n"/>
      <c r="K391" s="9" t="n"/>
    </row>
    <row r="392">
      <c r="A392" s="4" t="n"/>
      <c r="B392" s="9">
        <f>IF(A392="","",INT((DAY(A392)-1)/7)+1)</f>
        <v/>
      </c>
      <c r="C392" s="9" t="n"/>
      <c r="D392" s="9" t="n"/>
      <c r="E392" s="9" t="n"/>
      <c r="F392" s="9" t="n"/>
      <c r="G392" s="9" t="n"/>
      <c r="H392" s="9" t="n"/>
      <c r="I392" s="9" t="n"/>
      <c r="J392" s="3" t="n"/>
      <c r="K392" s="9" t="n"/>
    </row>
    <row r="393">
      <c r="A393" s="4" t="n"/>
      <c r="B393" s="9">
        <f>IF(A393="","",INT((DAY(A393)-1)/7)+1)</f>
        <v/>
      </c>
      <c r="C393" s="9" t="n"/>
      <c r="D393" s="9" t="n"/>
      <c r="E393" s="9" t="n"/>
      <c r="F393" s="9" t="n"/>
      <c r="G393" s="9" t="n"/>
      <c r="H393" s="9" t="n"/>
      <c r="I393" s="9" t="n"/>
      <c r="J393" s="3" t="n"/>
      <c r="K393" s="9" t="n"/>
    </row>
    <row r="394">
      <c r="A394" s="4" t="n"/>
      <c r="B394" s="9">
        <f>IF(A394="","",INT((DAY(A394)-1)/7)+1)</f>
        <v/>
      </c>
      <c r="C394" s="9" t="n"/>
      <c r="D394" s="9" t="n"/>
      <c r="E394" s="9" t="n"/>
      <c r="F394" s="9" t="n"/>
      <c r="G394" s="9" t="n"/>
      <c r="H394" s="9" t="n"/>
      <c r="I394" s="9" t="n"/>
      <c r="J394" s="3" t="n"/>
      <c r="K394" s="9" t="n"/>
    </row>
    <row r="395">
      <c r="A395" s="4" t="n"/>
      <c r="B395" s="9">
        <f>IF(A395="","",INT((DAY(A395)-1)/7)+1)</f>
        <v/>
      </c>
      <c r="C395" s="9" t="n"/>
      <c r="D395" s="9" t="n"/>
      <c r="E395" s="9" t="n"/>
      <c r="F395" s="9" t="n"/>
      <c r="G395" s="9" t="n"/>
      <c r="H395" s="9" t="n"/>
      <c r="I395" s="9" t="n"/>
      <c r="J395" s="3" t="n"/>
      <c r="K395" s="9" t="n"/>
    </row>
    <row r="396">
      <c r="A396" s="4" t="n"/>
      <c r="B396" s="9">
        <f>IF(A396="","",INT((DAY(A396)-1)/7)+1)</f>
        <v/>
      </c>
      <c r="C396" s="9" t="n"/>
      <c r="D396" s="9" t="n"/>
      <c r="E396" s="9" t="n"/>
      <c r="F396" s="9" t="n"/>
      <c r="G396" s="9" t="n"/>
      <c r="H396" s="9" t="n"/>
      <c r="I396" s="9" t="n"/>
      <c r="J396" s="3" t="n"/>
      <c r="K396" s="9" t="n"/>
    </row>
    <row r="397">
      <c r="A397" s="4" t="n"/>
      <c r="B397" s="9">
        <f>IF(A397="","",INT((DAY(A397)-1)/7)+1)</f>
        <v/>
      </c>
      <c r="C397" s="9" t="n"/>
      <c r="D397" s="9" t="n"/>
      <c r="E397" s="9" t="n"/>
      <c r="F397" s="9" t="n"/>
      <c r="G397" s="9" t="n"/>
      <c r="H397" s="9" t="n"/>
      <c r="I397" s="9" t="n"/>
      <c r="J397" s="3" t="n"/>
      <c r="K397" s="9" t="n"/>
    </row>
    <row r="398">
      <c r="A398" s="4" t="n"/>
      <c r="B398" s="9">
        <f>IF(A398="","",INT((DAY(A398)-1)/7)+1)</f>
        <v/>
      </c>
      <c r="C398" s="9" t="n"/>
      <c r="D398" s="9" t="n"/>
      <c r="E398" s="9" t="n"/>
      <c r="F398" s="9" t="n"/>
      <c r="G398" s="9" t="n"/>
      <c r="H398" s="9" t="n"/>
      <c r="I398" s="9" t="n"/>
      <c r="J398" s="3" t="n"/>
      <c r="K398" s="9" t="n"/>
    </row>
    <row r="399">
      <c r="A399" s="4" t="n"/>
      <c r="B399" s="9">
        <f>IF(A399="","",INT((DAY(A399)-1)/7)+1)</f>
        <v/>
      </c>
      <c r="C399" s="9" t="n"/>
      <c r="D399" s="9" t="n"/>
      <c r="E399" s="9" t="n"/>
      <c r="F399" s="9" t="n"/>
      <c r="G399" s="9" t="n"/>
      <c r="H399" s="9" t="n"/>
      <c r="I399" s="9" t="n"/>
      <c r="J399" s="3" t="n"/>
      <c r="K399" s="9" t="n"/>
    </row>
    <row r="400">
      <c r="A400" s="4" t="n"/>
      <c r="B400" s="9">
        <f>IF(A400="","",INT((DAY(A400)-1)/7)+1)</f>
        <v/>
      </c>
      <c r="C400" s="9" t="n"/>
      <c r="D400" s="9" t="n"/>
      <c r="E400" s="9" t="n"/>
      <c r="F400" s="9" t="n"/>
      <c r="G400" s="9" t="n"/>
      <c r="H400" s="9" t="n"/>
      <c r="I400" s="9" t="n"/>
      <c r="J400" s="3" t="n"/>
      <c r="K400" s="9" t="n"/>
    </row>
    <row r="401">
      <c r="A401" s="4" t="n"/>
      <c r="B401" s="9">
        <f>IF(A401="","",INT((DAY(A401)-1)/7)+1)</f>
        <v/>
      </c>
      <c r="C401" s="9" t="n"/>
      <c r="D401" s="9" t="n"/>
      <c r="E401" s="9" t="n"/>
      <c r="F401" s="9" t="n"/>
      <c r="G401" s="9" t="n"/>
      <c r="H401" s="9" t="n"/>
      <c r="I401" s="9" t="n"/>
      <c r="J401" s="3" t="n"/>
      <c r="K401" s="9" t="n"/>
    </row>
    <row r="402">
      <c r="A402" s="4" t="n"/>
      <c r="B402" s="9">
        <f>IF(A402="","",INT((DAY(A402)-1)/7)+1)</f>
        <v/>
      </c>
      <c r="C402" s="9" t="n"/>
      <c r="D402" s="9" t="n"/>
      <c r="E402" s="9" t="n"/>
      <c r="F402" s="9" t="n"/>
      <c r="G402" s="9" t="n"/>
      <c r="H402" s="9" t="n"/>
      <c r="I402" s="9" t="n"/>
      <c r="J402" s="3" t="n"/>
      <c r="K402" s="9" t="n"/>
    </row>
    <row r="403">
      <c r="A403" s="4" t="n"/>
      <c r="B403" s="9">
        <f>IF(A403="","",INT((DAY(A403)-1)/7)+1)</f>
        <v/>
      </c>
      <c r="C403" s="9" t="n"/>
      <c r="D403" s="9" t="n"/>
      <c r="E403" s="9" t="n"/>
      <c r="F403" s="9" t="n"/>
      <c r="G403" s="9" t="n"/>
      <c r="H403" s="9" t="n"/>
      <c r="I403" s="9" t="n"/>
      <c r="J403" s="3" t="n"/>
      <c r="K403" s="9" t="n"/>
    </row>
    <row r="404">
      <c r="A404" s="4" t="n"/>
      <c r="B404" s="9">
        <f>IF(A404="","",INT((DAY(A404)-1)/7)+1)</f>
        <v/>
      </c>
      <c r="C404" s="9" t="n"/>
      <c r="D404" s="9" t="n"/>
      <c r="E404" s="9" t="n"/>
      <c r="F404" s="9" t="n"/>
      <c r="G404" s="9" t="n"/>
      <c r="H404" s="9" t="n"/>
      <c r="I404" s="9" t="n"/>
      <c r="J404" s="3" t="n"/>
      <c r="K404" s="9" t="n"/>
    </row>
    <row r="405">
      <c r="A405" s="4" t="n"/>
      <c r="B405" s="9">
        <f>IF(A405="","",INT((DAY(A405)-1)/7)+1)</f>
        <v/>
      </c>
      <c r="C405" s="9" t="n"/>
      <c r="D405" s="9" t="n"/>
      <c r="E405" s="9" t="n"/>
      <c r="F405" s="9" t="n"/>
      <c r="G405" s="9" t="n"/>
      <c r="H405" s="9" t="n"/>
      <c r="I405" s="9" t="n"/>
      <c r="J405" s="3" t="n"/>
      <c r="K405" s="9" t="n"/>
    </row>
    <row r="406">
      <c r="A406" s="4" t="n"/>
      <c r="B406" s="9">
        <f>IF(A406="","",INT((DAY(A406)-1)/7)+1)</f>
        <v/>
      </c>
      <c r="C406" s="9" t="n"/>
      <c r="D406" s="9" t="n"/>
      <c r="E406" s="9" t="n"/>
      <c r="F406" s="9" t="n"/>
      <c r="G406" s="9" t="n"/>
      <c r="H406" s="9" t="n"/>
      <c r="I406" s="9" t="n"/>
      <c r="J406" s="3" t="n"/>
      <c r="K406" s="9" t="n"/>
    </row>
    <row r="407">
      <c r="A407" s="4" t="n"/>
      <c r="B407" s="9">
        <f>IF(A407="","",INT((DAY(A407)-1)/7)+1)</f>
        <v/>
      </c>
      <c r="C407" s="9" t="n"/>
      <c r="D407" s="9" t="n"/>
      <c r="E407" s="9" t="n"/>
      <c r="F407" s="9" t="n"/>
      <c r="G407" s="9" t="n"/>
      <c r="H407" s="9" t="n"/>
      <c r="I407" s="9" t="n"/>
      <c r="J407" s="3" t="n"/>
      <c r="K407" s="9" t="n"/>
    </row>
    <row r="408">
      <c r="A408" s="4" t="n"/>
      <c r="B408" s="9">
        <f>IF(A408="","",INT((DAY(A408)-1)/7)+1)</f>
        <v/>
      </c>
      <c r="C408" s="9" t="n"/>
      <c r="D408" s="9" t="n"/>
      <c r="E408" s="9" t="n"/>
      <c r="F408" s="9" t="n"/>
      <c r="G408" s="9" t="n"/>
      <c r="H408" s="9" t="n"/>
      <c r="I408" s="9" t="n"/>
      <c r="J408" s="3" t="n"/>
      <c r="K408" s="9" t="n"/>
    </row>
    <row r="409">
      <c r="A409" s="4" t="n"/>
      <c r="B409" s="9">
        <f>IF(A409="","",INT((DAY(A409)-1)/7)+1)</f>
        <v/>
      </c>
      <c r="C409" s="9" t="n"/>
      <c r="D409" s="9" t="n"/>
      <c r="E409" s="9" t="n"/>
      <c r="F409" s="9" t="n"/>
      <c r="G409" s="9" t="n"/>
      <c r="H409" s="9" t="n"/>
      <c r="I409" s="9" t="n"/>
      <c r="J409" s="3" t="n"/>
      <c r="K409" s="9" t="n"/>
    </row>
    <row r="410">
      <c r="A410" s="4" t="n"/>
      <c r="B410" s="9">
        <f>IF(A410="","",INT((DAY(A410)-1)/7)+1)</f>
        <v/>
      </c>
      <c r="C410" s="9" t="n"/>
      <c r="D410" s="9" t="n"/>
      <c r="E410" s="9" t="n"/>
      <c r="F410" s="9" t="n"/>
      <c r="G410" s="9" t="n"/>
      <c r="H410" s="9" t="n"/>
      <c r="I410" s="9" t="n"/>
      <c r="J410" s="3" t="n"/>
      <c r="K410" s="9" t="n"/>
    </row>
    <row r="411">
      <c r="A411" s="4" t="n"/>
      <c r="B411" s="9">
        <f>IF(A411="","",INT((DAY(A411)-1)/7)+1)</f>
        <v/>
      </c>
      <c r="C411" s="9" t="n"/>
      <c r="D411" s="9" t="n"/>
      <c r="E411" s="9" t="n"/>
      <c r="F411" s="9" t="n"/>
      <c r="G411" s="9" t="n"/>
      <c r="H411" s="9" t="n"/>
      <c r="I411" s="9" t="n"/>
      <c r="J411" s="3" t="n"/>
      <c r="K411" s="9" t="n"/>
    </row>
    <row r="412">
      <c r="A412" s="4" t="n"/>
      <c r="B412" s="9">
        <f>IF(A412="","",INT((DAY(A412)-1)/7)+1)</f>
        <v/>
      </c>
      <c r="C412" s="9" t="n"/>
      <c r="D412" s="9" t="n"/>
      <c r="E412" s="9" t="n"/>
      <c r="F412" s="9" t="n"/>
      <c r="G412" s="9" t="n"/>
      <c r="H412" s="9" t="n"/>
      <c r="I412" s="9" t="n"/>
      <c r="J412" s="3" t="n"/>
      <c r="K412" s="9" t="n"/>
    </row>
    <row r="413">
      <c r="A413" s="4" t="n"/>
      <c r="B413" s="9">
        <f>IF(A413="","",INT((DAY(A413)-1)/7)+1)</f>
        <v/>
      </c>
      <c r="C413" s="9" t="n"/>
      <c r="D413" s="9" t="n"/>
      <c r="E413" s="9" t="n"/>
      <c r="F413" s="9" t="n"/>
      <c r="G413" s="9" t="n"/>
      <c r="H413" s="9" t="n"/>
      <c r="I413" s="9" t="n"/>
      <c r="J413" s="3" t="n"/>
      <c r="K413" s="9" t="n"/>
    </row>
    <row r="414">
      <c r="A414" s="4" t="n"/>
      <c r="B414" s="9">
        <f>IF(A414="","",INT((DAY(A414)-1)/7)+1)</f>
        <v/>
      </c>
      <c r="C414" s="9" t="n"/>
      <c r="D414" s="9" t="n"/>
      <c r="E414" s="9" t="n"/>
      <c r="F414" s="9" t="n"/>
      <c r="G414" s="9" t="n"/>
      <c r="H414" s="9" t="n"/>
      <c r="I414" s="9" t="n"/>
      <c r="J414" s="3" t="n"/>
      <c r="K414" s="9" t="n"/>
    </row>
    <row r="415">
      <c r="A415" s="4" t="n"/>
      <c r="B415" s="9">
        <f>IF(A415="","",INT((DAY(A415)-1)/7)+1)</f>
        <v/>
      </c>
      <c r="C415" s="9" t="n"/>
      <c r="D415" s="9" t="n"/>
      <c r="E415" s="9" t="n"/>
      <c r="F415" s="9" t="n"/>
      <c r="G415" s="9" t="n"/>
      <c r="H415" s="9" t="n"/>
      <c r="I415" s="9" t="n"/>
      <c r="J415" s="3" t="n"/>
      <c r="K415" s="9" t="n"/>
    </row>
    <row r="416">
      <c r="A416" s="4" t="n"/>
      <c r="B416" s="9">
        <f>IF(A416="","",INT((DAY(A416)-1)/7)+1)</f>
        <v/>
      </c>
      <c r="C416" s="9" t="n"/>
      <c r="D416" s="9" t="n"/>
      <c r="E416" s="9" t="n"/>
      <c r="F416" s="9" t="n"/>
      <c r="G416" s="9" t="n"/>
      <c r="H416" s="9" t="n"/>
      <c r="I416" s="9" t="n"/>
      <c r="J416" s="3" t="n"/>
      <c r="K416" s="9" t="n"/>
    </row>
    <row r="417">
      <c r="A417" s="4" t="n"/>
      <c r="B417" s="9">
        <f>IF(A417="","",INT((DAY(A417)-1)/7)+1)</f>
        <v/>
      </c>
      <c r="C417" s="9" t="n"/>
      <c r="D417" s="9" t="n"/>
      <c r="E417" s="9" t="n"/>
      <c r="F417" s="9" t="n"/>
      <c r="G417" s="9" t="n"/>
      <c r="H417" s="9" t="n"/>
      <c r="I417" s="9" t="n"/>
      <c r="J417" s="3" t="n"/>
      <c r="K417" s="9" t="n"/>
    </row>
    <row r="418">
      <c r="A418" s="4" t="n"/>
      <c r="B418" s="9">
        <f>IF(A418="","",INT((DAY(A418)-1)/7)+1)</f>
        <v/>
      </c>
      <c r="C418" s="9" t="n"/>
      <c r="D418" s="9" t="n"/>
      <c r="E418" s="9" t="n"/>
      <c r="F418" s="9" t="n"/>
      <c r="G418" s="9" t="n"/>
      <c r="H418" s="9" t="n"/>
      <c r="I418" s="9" t="n"/>
      <c r="J418" s="3" t="n"/>
      <c r="K418" s="9" t="n"/>
    </row>
    <row r="419">
      <c r="A419" s="4" t="n"/>
      <c r="B419" s="9">
        <f>IF(A419="","",INT((DAY(A419)-1)/7)+1)</f>
        <v/>
      </c>
      <c r="C419" s="9" t="n"/>
      <c r="D419" s="9" t="n"/>
      <c r="E419" s="9" t="n"/>
      <c r="F419" s="9" t="n"/>
      <c r="G419" s="9" t="n"/>
      <c r="H419" s="9" t="n"/>
      <c r="I419" s="9" t="n"/>
      <c r="J419" s="3" t="n"/>
      <c r="K419" s="9" t="n"/>
    </row>
    <row r="420">
      <c r="A420" s="4" t="n"/>
      <c r="B420" s="9">
        <f>IF(A420="","",INT((DAY(A420)-1)/7)+1)</f>
        <v/>
      </c>
      <c r="C420" s="9" t="n"/>
      <c r="D420" s="9" t="n"/>
      <c r="E420" s="9" t="n"/>
      <c r="F420" s="9" t="n"/>
      <c r="G420" s="9" t="n"/>
      <c r="H420" s="9" t="n"/>
      <c r="I420" s="9" t="n"/>
      <c r="J420" s="3" t="n"/>
      <c r="K420" s="9" t="n"/>
    </row>
    <row r="421">
      <c r="A421" s="4" t="n"/>
      <c r="B421" s="9">
        <f>IF(A421="","",INT((DAY(A421)-1)/7)+1)</f>
        <v/>
      </c>
      <c r="C421" s="9" t="n"/>
      <c r="D421" s="9" t="n"/>
      <c r="E421" s="9" t="n"/>
      <c r="F421" s="9" t="n"/>
      <c r="G421" s="9" t="n"/>
      <c r="H421" s="9" t="n"/>
      <c r="I421" s="9" t="n"/>
      <c r="J421" s="3" t="n"/>
      <c r="K421" s="9" t="n"/>
    </row>
    <row r="422">
      <c r="A422" s="4" t="n"/>
      <c r="B422" s="9">
        <f>IF(A422="","",INT((DAY(A422)-1)/7)+1)</f>
        <v/>
      </c>
      <c r="C422" s="9" t="n"/>
      <c r="D422" s="9" t="n"/>
      <c r="E422" s="9" t="n"/>
      <c r="F422" s="9" t="n"/>
      <c r="G422" s="9" t="n"/>
      <c r="H422" s="9" t="n"/>
      <c r="I422" s="9" t="n"/>
      <c r="J422" s="3" t="n"/>
      <c r="K422" s="9" t="n"/>
    </row>
    <row r="423">
      <c r="A423" s="4" t="n"/>
      <c r="B423" s="9">
        <f>IF(A423="","",INT((DAY(A423)-1)/7)+1)</f>
        <v/>
      </c>
      <c r="C423" s="9" t="n"/>
      <c r="D423" s="9" t="n"/>
      <c r="E423" s="9" t="n"/>
      <c r="F423" s="9" t="n"/>
      <c r="G423" s="9" t="n"/>
      <c r="H423" s="9" t="n"/>
      <c r="I423" s="9" t="n"/>
      <c r="J423" s="3" t="n"/>
      <c r="K423" s="9" t="n"/>
    </row>
    <row r="424">
      <c r="A424" s="4" t="n"/>
      <c r="B424" s="9">
        <f>IF(A424="","",INT((DAY(A424)-1)/7)+1)</f>
        <v/>
      </c>
      <c r="C424" s="9" t="n"/>
      <c r="D424" s="9" t="n"/>
      <c r="E424" s="9" t="n"/>
      <c r="F424" s="9" t="n"/>
      <c r="G424" s="9" t="n"/>
      <c r="H424" s="9" t="n"/>
      <c r="I424" s="9" t="n"/>
      <c r="J424" s="3" t="n"/>
      <c r="K424" s="9" t="n"/>
    </row>
    <row r="425">
      <c r="A425" s="4" t="n"/>
      <c r="B425" s="9">
        <f>IF(A425="","",INT((DAY(A425)-1)/7)+1)</f>
        <v/>
      </c>
      <c r="C425" s="9" t="n"/>
      <c r="D425" s="9" t="n"/>
      <c r="E425" s="9" t="n"/>
      <c r="F425" s="9" t="n"/>
      <c r="G425" s="9" t="n"/>
      <c r="H425" s="9" t="n"/>
      <c r="I425" s="9" t="n"/>
      <c r="J425" s="3" t="n"/>
      <c r="K425" s="9" t="n"/>
    </row>
    <row r="426">
      <c r="A426" s="4" t="n"/>
      <c r="B426" s="9">
        <f>IF(A426="","",INT((DAY(A426)-1)/7)+1)</f>
        <v/>
      </c>
      <c r="C426" s="9" t="n"/>
      <c r="D426" s="9" t="n"/>
      <c r="E426" s="9" t="n"/>
      <c r="F426" s="9" t="n"/>
      <c r="G426" s="9" t="n"/>
      <c r="H426" s="9" t="n"/>
      <c r="I426" s="9" t="n"/>
      <c r="J426" s="3" t="n"/>
      <c r="K426" s="9" t="n"/>
    </row>
    <row r="427">
      <c r="A427" s="4" t="n"/>
      <c r="B427" s="9">
        <f>IF(A427="","",INT((DAY(A427)-1)/7)+1)</f>
        <v/>
      </c>
      <c r="C427" s="9" t="n"/>
      <c r="D427" s="9" t="n"/>
      <c r="E427" s="9" t="n"/>
      <c r="F427" s="9" t="n"/>
      <c r="G427" s="9" t="n"/>
      <c r="H427" s="9" t="n"/>
      <c r="I427" s="9" t="n"/>
      <c r="J427" s="3" t="n"/>
      <c r="K427" s="9" t="n"/>
    </row>
    <row r="428">
      <c r="A428" s="4" t="n"/>
      <c r="B428" s="9">
        <f>IF(A428="","",INT((DAY(A428)-1)/7)+1)</f>
        <v/>
      </c>
      <c r="C428" s="9" t="n"/>
      <c r="D428" s="9" t="n"/>
      <c r="E428" s="9" t="n"/>
      <c r="F428" s="9" t="n"/>
      <c r="G428" s="9" t="n"/>
      <c r="H428" s="9" t="n"/>
      <c r="I428" s="9" t="n"/>
      <c r="J428" s="3" t="n"/>
      <c r="K428" s="9" t="n"/>
    </row>
    <row r="429">
      <c r="A429" s="4" t="n"/>
      <c r="B429" s="9">
        <f>IF(A429="","",INT((DAY(A429)-1)/7)+1)</f>
        <v/>
      </c>
      <c r="C429" s="9" t="n"/>
      <c r="D429" s="9" t="n"/>
      <c r="E429" s="9" t="n"/>
      <c r="F429" s="9" t="n"/>
      <c r="G429" s="9" t="n"/>
      <c r="H429" s="9" t="n"/>
      <c r="I429" s="9" t="n"/>
      <c r="J429" s="3" t="n"/>
      <c r="K429" s="9" t="n"/>
    </row>
    <row r="430">
      <c r="A430" s="4" t="n"/>
      <c r="B430" s="9">
        <f>IF(A430="","",INT((DAY(A430)-1)/7)+1)</f>
        <v/>
      </c>
      <c r="C430" s="9" t="n"/>
      <c r="D430" s="9" t="n"/>
      <c r="E430" s="9" t="n"/>
      <c r="F430" s="9" t="n"/>
      <c r="G430" s="9" t="n"/>
      <c r="H430" s="9" t="n"/>
      <c r="I430" s="9" t="n"/>
      <c r="J430" s="3" t="n"/>
      <c r="K430" s="9" t="n"/>
    </row>
    <row r="431">
      <c r="A431" s="4" t="n"/>
      <c r="B431" s="9">
        <f>IF(A431="","",INT((DAY(A431)-1)/7)+1)</f>
        <v/>
      </c>
      <c r="C431" s="9" t="n"/>
      <c r="D431" s="9" t="n"/>
      <c r="E431" s="9" t="n"/>
      <c r="F431" s="9" t="n"/>
      <c r="G431" s="9" t="n"/>
      <c r="H431" s="9" t="n"/>
      <c r="I431" s="9" t="n"/>
      <c r="J431" s="3" t="n"/>
      <c r="K431" s="9" t="n"/>
    </row>
    <row r="432">
      <c r="A432" s="4" t="n"/>
      <c r="B432" s="9">
        <f>IF(A432="","",INT((DAY(A432)-1)/7)+1)</f>
        <v/>
      </c>
      <c r="C432" s="9" t="n"/>
      <c r="D432" s="9" t="n"/>
      <c r="E432" s="9" t="n"/>
      <c r="F432" s="9" t="n"/>
      <c r="G432" s="9" t="n"/>
      <c r="H432" s="9" t="n"/>
      <c r="I432" s="9" t="n"/>
      <c r="J432" s="3" t="n"/>
      <c r="K432" s="9" t="n"/>
    </row>
    <row r="433">
      <c r="A433" s="4" t="n"/>
      <c r="B433" s="9">
        <f>IF(A433="","",INT((DAY(A433)-1)/7)+1)</f>
        <v/>
      </c>
      <c r="C433" s="9" t="n"/>
      <c r="D433" s="9" t="n"/>
      <c r="E433" s="9" t="n"/>
      <c r="F433" s="9" t="n"/>
      <c r="G433" s="9" t="n"/>
      <c r="H433" s="9" t="n"/>
      <c r="I433" s="9" t="n"/>
      <c r="J433" s="3" t="n"/>
      <c r="K433" s="9" t="n"/>
    </row>
    <row r="434">
      <c r="A434" s="4" t="n"/>
      <c r="B434" s="9">
        <f>IF(A434="","",INT((DAY(A434)-1)/7)+1)</f>
        <v/>
      </c>
      <c r="C434" s="9" t="n"/>
      <c r="D434" s="9" t="n"/>
      <c r="E434" s="9" t="n"/>
      <c r="F434" s="9" t="n"/>
      <c r="G434" s="9" t="n"/>
      <c r="H434" s="9" t="n"/>
      <c r="I434" s="9" t="n"/>
      <c r="J434" s="3" t="n"/>
      <c r="K434" s="9" t="n"/>
    </row>
    <row r="435">
      <c r="A435" s="4" t="n"/>
      <c r="B435" s="9">
        <f>IF(A435="","",INT((DAY(A435)-1)/7)+1)</f>
        <v/>
      </c>
      <c r="C435" s="9" t="n"/>
      <c r="D435" s="9" t="n"/>
      <c r="E435" s="9" t="n"/>
      <c r="F435" s="9" t="n"/>
      <c r="G435" s="9" t="n"/>
      <c r="H435" s="9" t="n"/>
      <c r="I435" s="9" t="n"/>
      <c r="J435" s="3" t="n"/>
      <c r="K435" s="9" t="n"/>
    </row>
    <row r="436">
      <c r="A436" s="4" t="n"/>
      <c r="B436" s="9">
        <f>IF(A436="","",INT((DAY(A436)-1)/7)+1)</f>
        <v/>
      </c>
      <c r="C436" s="9" t="n"/>
      <c r="D436" s="9" t="n"/>
      <c r="E436" s="9" t="n"/>
      <c r="F436" s="9" t="n"/>
      <c r="G436" s="9" t="n"/>
      <c r="H436" s="9" t="n"/>
      <c r="I436" s="9" t="n"/>
      <c r="J436" s="3" t="n"/>
      <c r="K436" s="9" t="n"/>
    </row>
    <row r="437">
      <c r="A437" s="4" t="n"/>
      <c r="B437" s="9">
        <f>IF(A437="","",INT((DAY(A437)-1)/7)+1)</f>
        <v/>
      </c>
      <c r="C437" s="9" t="n"/>
      <c r="D437" s="9" t="n"/>
      <c r="E437" s="9" t="n"/>
      <c r="F437" s="9" t="n"/>
      <c r="G437" s="9" t="n"/>
      <c r="H437" s="9" t="n"/>
      <c r="I437" s="9" t="n"/>
      <c r="J437" s="3" t="n"/>
      <c r="K437" s="9" t="n"/>
    </row>
    <row r="438">
      <c r="A438" s="4" t="n"/>
      <c r="B438" s="9">
        <f>IF(A438="","",INT((DAY(A438)-1)/7)+1)</f>
        <v/>
      </c>
      <c r="C438" s="9" t="n"/>
      <c r="D438" s="9" t="n"/>
      <c r="E438" s="9" t="n"/>
      <c r="F438" s="9" t="n"/>
      <c r="G438" s="9" t="n"/>
      <c r="H438" s="9" t="n"/>
      <c r="I438" s="9" t="n"/>
      <c r="J438" s="3" t="n"/>
      <c r="K438" s="9" t="n"/>
    </row>
    <row r="439">
      <c r="A439" s="4" t="n"/>
      <c r="B439" s="9">
        <f>IF(A439="","",INT((DAY(A439)-1)/7)+1)</f>
        <v/>
      </c>
      <c r="C439" s="9" t="n"/>
      <c r="D439" s="9" t="n"/>
      <c r="E439" s="9" t="n"/>
      <c r="F439" s="9" t="n"/>
      <c r="G439" s="9" t="n"/>
      <c r="H439" s="9" t="n"/>
      <c r="I439" s="9" t="n"/>
      <c r="J439" s="3" t="n"/>
      <c r="K439" s="9" t="n"/>
    </row>
    <row r="440">
      <c r="A440" s="4" t="n"/>
      <c r="B440" s="9">
        <f>IF(A440="","",INT((DAY(A440)-1)/7)+1)</f>
        <v/>
      </c>
      <c r="C440" s="9" t="n"/>
      <c r="D440" s="9" t="n"/>
      <c r="E440" s="9" t="n"/>
      <c r="F440" s="9" t="n"/>
      <c r="G440" s="9" t="n"/>
      <c r="H440" s="9" t="n"/>
      <c r="I440" s="9" t="n"/>
      <c r="J440" s="3" t="n"/>
      <c r="K440" s="9" t="n"/>
    </row>
    <row r="441">
      <c r="A441" s="4" t="n"/>
      <c r="B441" s="9">
        <f>IF(A441="","",INT((DAY(A441)-1)/7)+1)</f>
        <v/>
      </c>
      <c r="C441" s="9" t="n"/>
      <c r="D441" s="9" t="n"/>
      <c r="E441" s="9" t="n"/>
      <c r="F441" s="9" t="n"/>
      <c r="G441" s="9" t="n"/>
      <c r="H441" s="9" t="n"/>
      <c r="I441" s="9" t="n"/>
      <c r="J441" s="3" t="n"/>
      <c r="K441" s="9" t="n"/>
    </row>
    <row r="442">
      <c r="A442" s="4" t="n"/>
      <c r="B442" s="9">
        <f>IF(A442="","",INT((DAY(A442)-1)/7)+1)</f>
        <v/>
      </c>
      <c r="C442" s="9" t="n"/>
      <c r="D442" s="9" t="n"/>
      <c r="E442" s="9" t="n"/>
      <c r="F442" s="9" t="n"/>
      <c r="G442" s="9" t="n"/>
      <c r="H442" s="9" t="n"/>
      <c r="I442" s="9" t="n"/>
      <c r="J442" s="3" t="n"/>
      <c r="K442" s="9" t="n"/>
    </row>
    <row r="443">
      <c r="A443" s="4" t="n"/>
      <c r="B443" s="9">
        <f>IF(A443="","",INT((DAY(A443)-1)/7)+1)</f>
        <v/>
      </c>
      <c r="C443" s="9" t="n"/>
      <c r="D443" s="9" t="n"/>
      <c r="E443" s="9" t="n"/>
      <c r="F443" s="9" t="n"/>
      <c r="G443" s="9" t="n"/>
      <c r="H443" s="9" t="n"/>
      <c r="I443" s="9" t="n"/>
      <c r="J443" s="3" t="n"/>
      <c r="K443" s="9" t="n"/>
    </row>
    <row r="444">
      <c r="A444" s="4" t="n"/>
      <c r="B444" s="9">
        <f>IF(A444="","",INT((DAY(A444)-1)/7)+1)</f>
        <v/>
      </c>
      <c r="C444" s="9" t="n"/>
      <c r="D444" s="9" t="n"/>
      <c r="E444" s="9" t="n"/>
      <c r="F444" s="9" t="n"/>
      <c r="G444" s="9" t="n"/>
      <c r="H444" s="9" t="n"/>
      <c r="I444" s="9" t="n"/>
      <c r="J444" s="3" t="n"/>
      <c r="K444" s="9" t="n"/>
    </row>
    <row r="445">
      <c r="A445" s="4" t="n"/>
      <c r="B445" s="9">
        <f>IF(A445="","",INT((DAY(A445)-1)/7)+1)</f>
        <v/>
      </c>
      <c r="C445" s="9" t="n"/>
      <c r="D445" s="9" t="n"/>
      <c r="E445" s="9" t="n"/>
      <c r="F445" s="9" t="n"/>
      <c r="G445" s="9" t="n"/>
      <c r="H445" s="9" t="n"/>
      <c r="I445" s="9" t="n"/>
      <c r="J445" s="3" t="n"/>
      <c r="K445" s="9" t="n"/>
    </row>
    <row r="446">
      <c r="A446" s="4" t="n"/>
      <c r="B446" s="9">
        <f>IF(A446="","",INT((DAY(A446)-1)/7)+1)</f>
        <v/>
      </c>
      <c r="C446" s="9" t="n"/>
      <c r="D446" s="9" t="n"/>
      <c r="E446" s="9" t="n"/>
      <c r="F446" s="9" t="n"/>
      <c r="G446" s="9" t="n"/>
      <c r="H446" s="9" t="n"/>
      <c r="I446" s="9" t="n"/>
      <c r="J446" s="3" t="n"/>
      <c r="K446" s="9" t="n"/>
    </row>
    <row r="447">
      <c r="A447" s="4" t="n"/>
      <c r="B447" s="9">
        <f>IF(A447="","",INT((DAY(A447)-1)/7)+1)</f>
        <v/>
      </c>
      <c r="C447" s="9" t="n"/>
      <c r="D447" s="9" t="n"/>
      <c r="E447" s="9" t="n"/>
      <c r="F447" s="9" t="n"/>
      <c r="G447" s="9" t="n"/>
      <c r="H447" s="9" t="n"/>
      <c r="I447" s="9" t="n"/>
      <c r="J447" s="3" t="n"/>
      <c r="K447" s="9" t="n"/>
    </row>
    <row r="448">
      <c r="A448" s="4" t="n"/>
      <c r="B448" s="9">
        <f>IF(A448="","",INT((DAY(A448)-1)/7)+1)</f>
        <v/>
      </c>
      <c r="C448" s="9" t="n"/>
      <c r="D448" s="9" t="n"/>
      <c r="E448" s="9" t="n"/>
      <c r="F448" s="9" t="n"/>
      <c r="G448" s="9" t="n"/>
      <c r="H448" s="9" t="n"/>
      <c r="I448" s="9" t="n"/>
      <c r="J448" s="3" t="n"/>
      <c r="K448" s="9" t="n"/>
    </row>
    <row r="449">
      <c r="A449" s="4" t="n"/>
      <c r="B449" s="9">
        <f>IF(A449="","",INT((DAY(A449)-1)/7)+1)</f>
        <v/>
      </c>
      <c r="C449" s="9" t="n"/>
      <c r="D449" s="9" t="n"/>
      <c r="E449" s="9" t="n"/>
      <c r="F449" s="9" t="n"/>
      <c r="G449" s="9" t="n"/>
      <c r="H449" s="9" t="n"/>
      <c r="I449" s="9" t="n"/>
      <c r="J449" s="3" t="n"/>
      <c r="K449" s="9" t="n"/>
    </row>
    <row r="450">
      <c r="A450" s="4" t="n"/>
      <c r="B450" s="9">
        <f>IF(A450="","",INT((DAY(A450)-1)/7)+1)</f>
        <v/>
      </c>
      <c r="C450" s="9" t="n"/>
      <c r="D450" s="9" t="n"/>
      <c r="E450" s="9" t="n"/>
      <c r="F450" s="9" t="n"/>
      <c r="G450" s="9" t="n"/>
      <c r="H450" s="9" t="n"/>
      <c r="I450" s="9" t="n"/>
      <c r="J450" s="3" t="n"/>
      <c r="K450" s="9" t="n"/>
    </row>
    <row r="451">
      <c r="A451" s="4" t="n"/>
      <c r="B451" s="9">
        <f>IF(A451="","",INT((DAY(A451)-1)/7)+1)</f>
        <v/>
      </c>
      <c r="C451" s="9" t="n"/>
      <c r="D451" s="9" t="n"/>
      <c r="E451" s="9" t="n"/>
      <c r="F451" s="9" t="n"/>
      <c r="G451" s="9" t="n"/>
      <c r="H451" s="9" t="n"/>
      <c r="I451" s="9" t="n"/>
      <c r="J451" s="3" t="n"/>
      <c r="K451" s="9" t="n"/>
    </row>
    <row r="452">
      <c r="A452" s="4" t="n"/>
      <c r="B452" s="9">
        <f>IF(A452="","",INT((DAY(A452)-1)/7)+1)</f>
        <v/>
      </c>
      <c r="C452" s="9" t="n"/>
      <c r="D452" s="9" t="n"/>
      <c r="E452" s="9" t="n"/>
      <c r="F452" s="9" t="n"/>
      <c r="G452" s="9" t="n"/>
      <c r="H452" s="9" t="n"/>
      <c r="I452" s="9" t="n"/>
      <c r="J452" s="3" t="n"/>
      <c r="K452" s="9" t="n"/>
    </row>
    <row r="453">
      <c r="A453" s="4" t="n"/>
      <c r="B453" s="9">
        <f>IF(A453="","",INT((DAY(A453)-1)/7)+1)</f>
        <v/>
      </c>
      <c r="C453" s="9" t="n"/>
      <c r="D453" s="9" t="n"/>
      <c r="E453" s="9" t="n"/>
      <c r="F453" s="9" t="n"/>
      <c r="G453" s="9" t="n"/>
      <c r="H453" s="9" t="n"/>
      <c r="I453" s="9" t="n"/>
      <c r="J453" s="3" t="n"/>
      <c r="K453" s="9" t="n"/>
    </row>
    <row r="454">
      <c r="A454" s="4" t="n"/>
      <c r="B454" s="9">
        <f>IF(A454="","",INT((DAY(A454)-1)/7)+1)</f>
        <v/>
      </c>
      <c r="C454" s="9" t="n"/>
      <c r="D454" s="9" t="n"/>
      <c r="E454" s="9" t="n"/>
      <c r="F454" s="9" t="n"/>
      <c r="G454" s="9" t="n"/>
      <c r="H454" s="9" t="n"/>
      <c r="I454" s="9" t="n"/>
      <c r="J454" s="3" t="n"/>
      <c r="K454" s="9" t="n"/>
    </row>
    <row r="455">
      <c r="A455" s="4" t="n"/>
      <c r="B455" s="9">
        <f>IF(A455="","",INT((DAY(A455)-1)/7)+1)</f>
        <v/>
      </c>
      <c r="C455" s="9" t="n"/>
      <c r="D455" s="9" t="n"/>
      <c r="E455" s="9" t="n"/>
      <c r="F455" s="9" t="n"/>
      <c r="G455" s="9" t="n"/>
      <c r="H455" s="9" t="n"/>
      <c r="I455" s="9" t="n"/>
      <c r="J455" s="3" t="n"/>
      <c r="K455" s="9" t="n"/>
    </row>
    <row r="456">
      <c r="A456" s="4" t="n"/>
      <c r="B456" s="9">
        <f>IF(A456="","",INT((DAY(A456)-1)/7)+1)</f>
        <v/>
      </c>
      <c r="C456" s="9" t="n"/>
      <c r="D456" s="9" t="n"/>
      <c r="E456" s="9" t="n"/>
      <c r="F456" s="9" t="n"/>
      <c r="G456" s="9" t="n"/>
      <c r="H456" s="9" t="n"/>
      <c r="I456" s="9" t="n"/>
      <c r="J456" s="3" t="n"/>
      <c r="K456" s="9" t="n"/>
    </row>
    <row r="457">
      <c r="A457" s="4" t="n"/>
      <c r="B457" s="9">
        <f>IF(A457="","",INT((DAY(A457)-1)/7)+1)</f>
        <v/>
      </c>
      <c r="C457" s="9" t="n"/>
      <c r="D457" s="9" t="n"/>
      <c r="E457" s="9" t="n"/>
      <c r="F457" s="9" t="n"/>
      <c r="G457" s="9" t="n"/>
      <c r="H457" s="9" t="n"/>
      <c r="I457" s="9" t="n"/>
      <c r="J457" s="3" t="n"/>
      <c r="K457" s="9" t="n"/>
    </row>
    <row r="458">
      <c r="A458" s="4" t="n"/>
      <c r="B458" s="9">
        <f>IF(A458="","",INT((DAY(A458)-1)/7)+1)</f>
        <v/>
      </c>
      <c r="C458" s="9" t="n"/>
      <c r="D458" s="9" t="n"/>
      <c r="E458" s="9" t="n"/>
      <c r="F458" s="9" t="n"/>
      <c r="G458" s="9" t="n"/>
      <c r="H458" s="9" t="n"/>
      <c r="I458" s="9" t="n"/>
      <c r="J458" s="3" t="n"/>
      <c r="K458" s="9" t="n"/>
    </row>
    <row r="459">
      <c r="A459" s="4" t="n"/>
      <c r="B459" s="9">
        <f>IF(A459="","",INT((DAY(A459)-1)/7)+1)</f>
        <v/>
      </c>
      <c r="C459" s="9" t="n"/>
      <c r="D459" s="9" t="n"/>
      <c r="E459" s="9" t="n"/>
      <c r="F459" s="9" t="n"/>
      <c r="G459" s="9" t="n"/>
      <c r="H459" s="9" t="n"/>
      <c r="I459" s="9" t="n"/>
      <c r="J459" s="3" t="n"/>
      <c r="K459" s="9" t="n"/>
    </row>
    <row r="460">
      <c r="A460" s="4" t="n"/>
      <c r="B460" s="9">
        <f>IF(A460="","",INT((DAY(A460)-1)/7)+1)</f>
        <v/>
      </c>
      <c r="C460" s="9" t="n"/>
      <c r="D460" s="9" t="n"/>
      <c r="E460" s="9" t="n"/>
      <c r="F460" s="9" t="n"/>
      <c r="G460" s="9" t="n"/>
      <c r="H460" s="9" t="n"/>
      <c r="I460" s="9" t="n"/>
      <c r="J460" s="3" t="n"/>
      <c r="K460" s="9" t="n"/>
    </row>
    <row r="461">
      <c r="A461" s="4" t="n"/>
      <c r="B461" s="9">
        <f>IF(A461="","",INT((DAY(A461)-1)/7)+1)</f>
        <v/>
      </c>
      <c r="C461" s="9" t="n"/>
      <c r="D461" s="9" t="n"/>
      <c r="E461" s="9" t="n"/>
      <c r="F461" s="9" t="n"/>
      <c r="G461" s="9" t="n"/>
      <c r="H461" s="9" t="n"/>
      <c r="I461" s="9" t="n"/>
      <c r="J461" s="3" t="n"/>
      <c r="K461" s="9" t="n"/>
    </row>
    <row r="462">
      <c r="A462" s="4" t="n"/>
      <c r="B462" s="9">
        <f>IF(A462="","",INT((DAY(A462)-1)/7)+1)</f>
        <v/>
      </c>
      <c r="C462" s="9" t="n"/>
      <c r="D462" s="9" t="n"/>
      <c r="E462" s="9" t="n"/>
      <c r="F462" s="9" t="n"/>
      <c r="G462" s="9" t="n"/>
      <c r="H462" s="9" t="n"/>
      <c r="I462" s="9" t="n"/>
      <c r="J462" s="3" t="n"/>
      <c r="K462" s="9" t="n"/>
    </row>
    <row r="463">
      <c r="A463" s="4" t="n"/>
      <c r="B463" s="9">
        <f>IF(A463="","",INT((DAY(A463)-1)/7)+1)</f>
        <v/>
      </c>
      <c r="C463" s="9" t="n"/>
      <c r="D463" s="9" t="n"/>
      <c r="E463" s="9" t="n"/>
      <c r="F463" s="9" t="n"/>
      <c r="G463" s="9" t="n"/>
      <c r="H463" s="9" t="n"/>
      <c r="I463" s="9" t="n"/>
      <c r="J463" s="3" t="n"/>
      <c r="K463" s="9" t="n"/>
    </row>
    <row r="464">
      <c r="A464" s="4" t="n"/>
      <c r="B464" s="9">
        <f>IF(A464="","",INT((DAY(A464)-1)/7)+1)</f>
        <v/>
      </c>
      <c r="C464" s="9" t="n"/>
      <c r="D464" s="9" t="n"/>
      <c r="E464" s="9" t="n"/>
      <c r="F464" s="9" t="n"/>
      <c r="G464" s="9" t="n"/>
      <c r="H464" s="9" t="n"/>
      <c r="I464" s="9" t="n"/>
      <c r="J464" s="3" t="n"/>
      <c r="K464" s="9" t="n"/>
    </row>
    <row r="465">
      <c r="A465" s="4" t="n"/>
      <c r="B465" s="9">
        <f>IF(A465="","",INT((DAY(A465)-1)/7)+1)</f>
        <v/>
      </c>
      <c r="C465" s="9" t="n"/>
      <c r="D465" s="9" t="n"/>
      <c r="E465" s="9" t="n"/>
      <c r="F465" s="9" t="n"/>
      <c r="G465" s="9" t="n"/>
      <c r="H465" s="9" t="n"/>
      <c r="I465" s="9" t="n"/>
      <c r="J465" s="3" t="n"/>
      <c r="K465" s="9" t="n"/>
    </row>
    <row r="466">
      <c r="A466" s="4" t="n"/>
      <c r="B466" s="9">
        <f>IF(A466="","",INT((DAY(A466)-1)/7)+1)</f>
        <v/>
      </c>
      <c r="C466" s="9" t="n"/>
      <c r="D466" s="9" t="n"/>
      <c r="E466" s="9" t="n"/>
      <c r="F466" s="9" t="n"/>
      <c r="G466" s="9" t="n"/>
      <c r="H466" s="9" t="n"/>
      <c r="I466" s="9" t="n"/>
      <c r="J466" s="3" t="n"/>
      <c r="K466" s="9" t="n"/>
    </row>
    <row r="467">
      <c r="A467" s="4" t="n"/>
      <c r="B467" s="9">
        <f>IF(A467="","",INT((DAY(A467)-1)/7)+1)</f>
        <v/>
      </c>
      <c r="C467" s="9" t="n"/>
      <c r="D467" s="9" t="n"/>
      <c r="E467" s="9" t="n"/>
      <c r="F467" s="9" t="n"/>
      <c r="G467" s="9" t="n"/>
      <c r="H467" s="9" t="n"/>
      <c r="I467" s="9" t="n"/>
      <c r="J467" s="3" t="n"/>
      <c r="K467" s="9" t="n"/>
    </row>
    <row r="468">
      <c r="A468" s="4" t="n"/>
      <c r="B468" s="9">
        <f>IF(A468="","",INT((DAY(A468)-1)/7)+1)</f>
        <v/>
      </c>
      <c r="C468" s="9" t="n"/>
      <c r="D468" s="9" t="n"/>
      <c r="E468" s="9" t="n"/>
      <c r="F468" s="9" t="n"/>
      <c r="G468" s="9" t="n"/>
      <c r="H468" s="9" t="n"/>
      <c r="I468" s="9" t="n"/>
      <c r="J468" s="3" t="n"/>
      <c r="K468" s="9" t="n"/>
    </row>
    <row r="469">
      <c r="A469" s="4" t="n"/>
      <c r="B469" s="9">
        <f>IF(A469="","",INT((DAY(A469)-1)/7)+1)</f>
        <v/>
      </c>
      <c r="C469" s="9" t="n"/>
      <c r="D469" s="9" t="n"/>
      <c r="E469" s="9" t="n"/>
      <c r="F469" s="9" t="n"/>
      <c r="G469" s="9" t="n"/>
      <c r="H469" s="9" t="n"/>
      <c r="I469" s="9" t="n"/>
      <c r="J469" s="3" t="n"/>
      <c r="K469" s="9" t="n"/>
    </row>
    <row r="470">
      <c r="A470" s="4" t="n"/>
      <c r="B470" s="9">
        <f>IF(A470="","",INT((DAY(A470)-1)/7)+1)</f>
        <v/>
      </c>
      <c r="C470" s="9" t="n"/>
      <c r="D470" s="9" t="n"/>
      <c r="E470" s="9" t="n"/>
      <c r="F470" s="9" t="n"/>
      <c r="G470" s="9" t="n"/>
      <c r="H470" s="9" t="n"/>
      <c r="I470" s="9" t="n"/>
      <c r="J470" s="3" t="n"/>
      <c r="K470" s="9" t="n"/>
    </row>
    <row r="471">
      <c r="A471" s="4" t="n"/>
      <c r="B471" s="9">
        <f>IF(A471="","",INT((DAY(A471)-1)/7)+1)</f>
        <v/>
      </c>
      <c r="C471" s="9" t="n"/>
      <c r="D471" s="9" t="n"/>
      <c r="E471" s="9" t="n"/>
      <c r="F471" s="9" t="n"/>
      <c r="G471" s="9" t="n"/>
      <c r="H471" s="9" t="n"/>
      <c r="I471" s="9" t="n"/>
      <c r="J471" s="3" t="n"/>
      <c r="K471" s="9" t="n"/>
    </row>
    <row r="472">
      <c r="A472" s="4" t="n"/>
      <c r="B472" s="9">
        <f>IF(A472="","",INT((DAY(A472)-1)/7)+1)</f>
        <v/>
      </c>
      <c r="C472" s="9" t="n"/>
      <c r="D472" s="9" t="n"/>
      <c r="E472" s="9" t="n"/>
      <c r="F472" s="9" t="n"/>
      <c r="G472" s="9" t="n"/>
      <c r="H472" s="9" t="n"/>
      <c r="I472" s="9" t="n"/>
      <c r="J472" s="3" t="n"/>
      <c r="K472" s="9" t="n"/>
    </row>
    <row r="473">
      <c r="A473" s="4" t="n"/>
      <c r="B473" s="9">
        <f>IF(A473="","",INT((DAY(A473)-1)/7)+1)</f>
        <v/>
      </c>
      <c r="C473" s="9" t="n"/>
      <c r="D473" s="9" t="n"/>
      <c r="E473" s="9" t="n"/>
      <c r="F473" s="9" t="n"/>
      <c r="G473" s="9" t="n"/>
      <c r="H473" s="9" t="n"/>
      <c r="I473" s="9" t="n"/>
      <c r="J473" s="3" t="n"/>
      <c r="K473" s="9" t="n"/>
    </row>
    <row r="474">
      <c r="A474" s="4" t="n"/>
      <c r="B474" s="9">
        <f>IF(A474="","",INT((DAY(A474)-1)/7)+1)</f>
        <v/>
      </c>
      <c r="C474" s="9" t="n"/>
      <c r="D474" s="9" t="n"/>
      <c r="E474" s="9" t="n"/>
      <c r="F474" s="9" t="n"/>
      <c r="G474" s="9" t="n"/>
      <c r="H474" s="9" t="n"/>
      <c r="I474" s="9" t="n"/>
      <c r="J474" s="3" t="n"/>
      <c r="K474" s="9" t="n"/>
    </row>
    <row r="475">
      <c r="A475" s="4" t="n"/>
      <c r="B475" s="9">
        <f>IF(A475="","",INT((DAY(A475)-1)/7)+1)</f>
        <v/>
      </c>
      <c r="C475" s="9" t="n"/>
      <c r="D475" s="9" t="n"/>
      <c r="E475" s="9" t="n"/>
      <c r="F475" s="9" t="n"/>
      <c r="G475" s="9" t="n"/>
      <c r="H475" s="9" t="n"/>
      <c r="I475" s="9" t="n"/>
      <c r="J475" s="3" t="n"/>
      <c r="K475" s="9" t="n"/>
    </row>
    <row r="476">
      <c r="A476" s="4" t="n"/>
      <c r="B476" s="9">
        <f>IF(A476="","",INT((DAY(A476)-1)/7)+1)</f>
        <v/>
      </c>
      <c r="C476" s="9" t="n"/>
      <c r="D476" s="9" t="n"/>
      <c r="E476" s="9" t="n"/>
      <c r="F476" s="9" t="n"/>
      <c r="G476" s="9" t="n"/>
      <c r="H476" s="9" t="n"/>
      <c r="I476" s="9" t="n"/>
      <c r="J476" s="3" t="n"/>
      <c r="K476" s="9" t="n"/>
    </row>
    <row r="477">
      <c r="A477" s="4" t="n"/>
      <c r="B477" s="9">
        <f>IF(A477="","",INT((DAY(A477)-1)/7)+1)</f>
        <v/>
      </c>
      <c r="C477" s="9" t="n"/>
      <c r="D477" s="9" t="n"/>
      <c r="E477" s="9" t="n"/>
      <c r="F477" s="9" t="n"/>
      <c r="G477" s="9" t="n"/>
      <c r="H477" s="9" t="n"/>
      <c r="I477" s="9" t="n"/>
      <c r="J477" s="3" t="n"/>
      <c r="K477" s="9" t="n"/>
    </row>
    <row r="478">
      <c r="A478" s="4" t="n"/>
      <c r="B478" s="9">
        <f>IF(A478="","",INT((DAY(A478)-1)/7)+1)</f>
        <v/>
      </c>
      <c r="C478" s="9" t="n"/>
      <c r="D478" s="9" t="n"/>
      <c r="E478" s="9" t="n"/>
      <c r="F478" s="9" t="n"/>
      <c r="G478" s="9" t="n"/>
      <c r="H478" s="9" t="n"/>
      <c r="I478" s="9" t="n"/>
      <c r="J478" s="3" t="n"/>
      <c r="K478" s="9" t="n"/>
    </row>
    <row r="479">
      <c r="A479" s="4" t="n"/>
      <c r="B479" s="9">
        <f>IF(A479="","",INT((DAY(A479)-1)/7)+1)</f>
        <v/>
      </c>
      <c r="C479" s="9" t="n"/>
      <c r="D479" s="9" t="n"/>
      <c r="E479" s="9" t="n"/>
      <c r="F479" s="9" t="n"/>
      <c r="G479" s="9" t="n"/>
      <c r="H479" s="9" t="n"/>
      <c r="I479" s="9" t="n"/>
      <c r="J479" s="3" t="n"/>
      <c r="K479" s="9" t="n"/>
    </row>
    <row r="480">
      <c r="A480" s="4" t="n"/>
      <c r="B480" s="9">
        <f>IF(A480="","",INT((DAY(A480)-1)/7)+1)</f>
        <v/>
      </c>
      <c r="C480" s="9" t="n"/>
      <c r="D480" s="9" t="n"/>
      <c r="E480" s="9" t="n"/>
      <c r="F480" s="9" t="n"/>
      <c r="G480" s="9" t="n"/>
      <c r="H480" s="9" t="n"/>
      <c r="I480" s="9" t="n"/>
      <c r="J480" s="3" t="n"/>
      <c r="K480" s="9" t="n"/>
    </row>
    <row r="481">
      <c r="A481" s="4" t="n"/>
      <c r="B481" s="9">
        <f>IF(A481="","",INT((DAY(A481)-1)/7)+1)</f>
        <v/>
      </c>
      <c r="C481" s="9" t="n"/>
      <c r="D481" s="9" t="n"/>
      <c r="E481" s="9" t="n"/>
      <c r="F481" s="9" t="n"/>
      <c r="G481" s="9" t="n"/>
      <c r="H481" s="9" t="n"/>
      <c r="I481" s="9" t="n"/>
      <c r="J481" s="3" t="n"/>
      <c r="K481" s="9" t="n"/>
    </row>
    <row r="482">
      <c r="A482" s="4" t="n"/>
      <c r="B482" s="9">
        <f>IF(A482="","",INT((DAY(A482)-1)/7)+1)</f>
        <v/>
      </c>
      <c r="C482" s="9" t="n"/>
      <c r="D482" s="9" t="n"/>
      <c r="E482" s="9" t="n"/>
      <c r="F482" s="9" t="n"/>
      <c r="G482" s="9" t="n"/>
      <c r="H482" s="9" t="n"/>
      <c r="I482" s="9" t="n"/>
      <c r="J482" s="3" t="n"/>
      <c r="K482" s="9" t="n"/>
    </row>
    <row r="483">
      <c r="A483" s="4" t="n"/>
      <c r="B483" s="9">
        <f>IF(A483="","",INT((DAY(A483)-1)/7)+1)</f>
        <v/>
      </c>
      <c r="C483" s="9" t="n"/>
      <c r="D483" s="9" t="n"/>
      <c r="E483" s="9" t="n"/>
      <c r="F483" s="9" t="n"/>
      <c r="G483" s="9" t="n"/>
      <c r="H483" s="9" t="n"/>
      <c r="I483" s="9" t="n"/>
      <c r="J483" s="3" t="n"/>
      <c r="K483" s="9" t="n"/>
    </row>
    <row r="484">
      <c r="A484" s="4" t="n"/>
      <c r="B484" s="9">
        <f>IF(A484="","",INT((DAY(A484)-1)/7)+1)</f>
        <v/>
      </c>
      <c r="C484" s="9" t="n"/>
      <c r="D484" s="9" t="n"/>
      <c r="E484" s="9" t="n"/>
      <c r="F484" s="9" t="n"/>
      <c r="G484" s="9" t="n"/>
      <c r="H484" s="9" t="n"/>
      <c r="I484" s="9" t="n"/>
      <c r="J484" s="3" t="n"/>
      <c r="K484" s="9" t="n"/>
    </row>
    <row r="485">
      <c r="A485" s="4" t="n"/>
      <c r="B485" s="9">
        <f>IF(A485="","",INT((DAY(A485)-1)/7)+1)</f>
        <v/>
      </c>
      <c r="C485" s="9" t="n"/>
      <c r="D485" s="9" t="n"/>
      <c r="E485" s="9" t="n"/>
      <c r="F485" s="9" t="n"/>
      <c r="G485" s="9" t="n"/>
      <c r="H485" s="9" t="n"/>
      <c r="I485" s="9" t="n"/>
      <c r="J485" s="3" t="n"/>
      <c r="K485" s="9" t="n"/>
    </row>
    <row r="486">
      <c r="A486" s="4" t="n"/>
      <c r="B486" s="9">
        <f>IF(A486="","",INT((DAY(A486)-1)/7)+1)</f>
        <v/>
      </c>
      <c r="C486" s="9" t="n"/>
      <c r="D486" s="9" t="n"/>
      <c r="E486" s="9" t="n"/>
      <c r="F486" s="9" t="n"/>
      <c r="G486" s="9" t="n"/>
      <c r="H486" s="9" t="n"/>
      <c r="I486" s="9" t="n"/>
      <c r="J486" s="3" t="n"/>
      <c r="K486" s="9" t="n"/>
    </row>
    <row r="487">
      <c r="A487" s="4" t="n"/>
      <c r="B487" s="9">
        <f>IF(A487="","",INT((DAY(A487)-1)/7)+1)</f>
        <v/>
      </c>
      <c r="C487" s="9" t="n"/>
      <c r="D487" s="9" t="n"/>
      <c r="E487" s="9" t="n"/>
      <c r="F487" s="9" t="n"/>
      <c r="G487" s="9" t="n"/>
      <c r="H487" s="9" t="n"/>
      <c r="I487" s="9" t="n"/>
      <c r="J487" s="3" t="n"/>
      <c r="K487" s="9" t="n"/>
    </row>
    <row r="488">
      <c r="A488" s="4" t="n"/>
      <c r="B488" s="9">
        <f>IF(A488="","",INT((DAY(A488)-1)/7)+1)</f>
        <v/>
      </c>
      <c r="C488" s="9" t="n"/>
      <c r="D488" s="9" t="n"/>
      <c r="E488" s="9" t="n"/>
      <c r="F488" s="9" t="n"/>
      <c r="G488" s="9" t="n"/>
      <c r="H488" s="9" t="n"/>
      <c r="I488" s="9" t="n"/>
      <c r="J488" s="3" t="n"/>
      <c r="K488" s="9" t="n"/>
    </row>
    <row r="489">
      <c r="A489" s="4" t="n"/>
      <c r="B489" s="9">
        <f>IF(A489="","",INT((DAY(A489)-1)/7)+1)</f>
        <v/>
      </c>
      <c r="C489" s="9" t="n"/>
      <c r="D489" s="9" t="n"/>
      <c r="E489" s="9" t="n"/>
      <c r="F489" s="9" t="n"/>
      <c r="G489" s="9" t="n"/>
      <c r="H489" s="9" t="n"/>
      <c r="I489" s="9" t="n"/>
      <c r="J489" s="3" t="n"/>
      <c r="K489" s="9" t="n"/>
    </row>
    <row r="490">
      <c r="A490" s="4" t="n"/>
      <c r="B490" s="9">
        <f>IF(A490="","",INT((DAY(A490)-1)/7)+1)</f>
        <v/>
      </c>
      <c r="C490" s="9" t="n"/>
      <c r="D490" s="9" t="n"/>
      <c r="E490" s="9" t="n"/>
      <c r="F490" s="9" t="n"/>
      <c r="G490" s="9" t="n"/>
      <c r="H490" s="9" t="n"/>
      <c r="I490" s="9" t="n"/>
      <c r="J490" s="3" t="n"/>
      <c r="K490" s="9" t="n"/>
    </row>
    <row r="491">
      <c r="A491" s="4" t="n"/>
      <c r="B491" s="9">
        <f>IF(A491="","",INT((DAY(A491)-1)/7)+1)</f>
        <v/>
      </c>
      <c r="C491" s="9" t="n"/>
      <c r="D491" s="9" t="n"/>
      <c r="E491" s="9" t="n"/>
      <c r="F491" s="9" t="n"/>
      <c r="G491" s="9" t="n"/>
      <c r="H491" s="9" t="n"/>
      <c r="I491" s="9" t="n"/>
      <c r="J491" s="3" t="n"/>
      <c r="K491" s="9" t="n"/>
    </row>
    <row r="492">
      <c r="A492" s="4" t="n"/>
      <c r="B492" s="9">
        <f>IF(A492="","",INT((DAY(A492)-1)/7)+1)</f>
        <v/>
      </c>
      <c r="C492" s="9" t="n"/>
      <c r="D492" s="9" t="n"/>
      <c r="E492" s="9" t="n"/>
      <c r="F492" s="9" t="n"/>
      <c r="G492" s="9" t="n"/>
      <c r="H492" s="9" t="n"/>
      <c r="I492" s="9" t="n"/>
      <c r="J492" s="3" t="n"/>
      <c r="K492" s="9" t="n"/>
    </row>
    <row r="493">
      <c r="A493" s="4" t="n"/>
      <c r="B493" s="9">
        <f>IF(A493="","",INT((DAY(A493)-1)/7)+1)</f>
        <v/>
      </c>
      <c r="C493" s="9" t="n"/>
      <c r="D493" s="9" t="n"/>
      <c r="E493" s="9" t="n"/>
      <c r="F493" s="9" t="n"/>
      <c r="G493" s="9" t="n"/>
      <c r="H493" s="9" t="n"/>
      <c r="I493" s="9" t="n"/>
      <c r="J493" s="3" t="n"/>
      <c r="K493" s="9" t="n"/>
    </row>
    <row r="494">
      <c r="A494" s="4" t="n"/>
      <c r="B494" s="9">
        <f>IF(A494="","",INT((DAY(A494)-1)/7)+1)</f>
        <v/>
      </c>
      <c r="C494" s="9" t="n"/>
      <c r="D494" s="9" t="n"/>
      <c r="E494" s="9" t="n"/>
      <c r="F494" s="9" t="n"/>
      <c r="G494" s="9" t="n"/>
      <c r="H494" s="9" t="n"/>
      <c r="I494" s="9" t="n"/>
      <c r="J494" s="3" t="n"/>
      <c r="K494" s="9" t="n"/>
    </row>
    <row r="495">
      <c r="A495" s="4" t="n"/>
      <c r="B495" s="9">
        <f>IF(A495="","",INT((DAY(A495)-1)/7)+1)</f>
        <v/>
      </c>
      <c r="C495" s="9" t="n"/>
      <c r="D495" s="9" t="n"/>
      <c r="E495" s="9" t="n"/>
      <c r="F495" s="9" t="n"/>
      <c r="G495" s="9" t="n"/>
      <c r="H495" s="9" t="n"/>
      <c r="I495" s="9" t="n"/>
      <c r="J495" s="3" t="n"/>
      <c r="K495" s="9" t="n"/>
    </row>
    <row r="496">
      <c r="A496" s="4" t="n"/>
      <c r="B496" s="9">
        <f>IF(A496="","",INT((DAY(A496)-1)/7)+1)</f>
        <v/>
      </c>
      <c r="C496" s="9" t="n"/>
      <c r="D496" s="9" t="n"/>
      <c r="E496" s="9" t="n"/>
      <c r="F496" s="9" t="n"/>
      <c r="G496" s="9" t="n"/>
      <c r="H496" s="9" t="n"/>
      <c r="I496" s="9" t="n"/>
      <c r="J496" s="3" t="n"/>
      <c r="K496" s="9" t="n"/>
    </row>
    <row r="497">
      <c r="A497" s="4" t="n"/>
      <c r="B497" s="9">
        <f>IF(A497="","",INT((DAY(A497)-1)/7)+1)</f>
        <v/>
      </c>
      <c r="C497" s="9" t="n"/>
      <c r="D497" s="9" t="n"/>
      <c r="E497" s="9" t="n"/>
      <c r="F497" s="9" t="n"/>
      <c r="G497" s="9" t="n"/>
      <c r="H497" s="9" t="n"/>
      <c r="I497" s="9" t="n"/>
      <c r="J497" s="3" t="n"/>
      <c r="K497" s="9" t="n"/>
    </row>
    <row r="498">
      <c r="A498" s="4" t="n"/>
      <c r="B498" s="9">
        <f>IF(A498="","",INT((DAY(A498)-1)/7)+1)</f>
        <v/>
      </c>
      <c r="C498" s="9" t="n"/>
      <c r="D498" s="9" t="n"/>
      <c r="E498" s="9" t="n"/>
      <c r="F498" s="9" t="n"/>
      <c r="G498" s="9" t="n"/>
      <c r="H498" s="9" t="n"/>
      <c r="I498" s="9" t="n"/>
      <c r="J498" s="3" t="n"/>
      <c r="K498" s="9" t="n"/>
    </row>
    <row r="499">
      <c r="A499" s="4" t="n"/>
      <c r="B499" s="9">
        <f>IF(A499="","",INT((DAY(A499)-1)/7)+1)</f>
        <v/>
      </c>
      <c r="C499" s="9" t="n"/>
      <c r="D499" s="9" t="n"/>
      <c r="E499" s="9" t="n"/>
      <c r="F499" s="9" t="n"/>
      <c r="G499" s="9" t="n"/>
      <c r="H499" s="9" t="n"/>
      <c r="I499" s="9" t="n"/>
      <c r="J499" s="3" t="n"/>
      <c r="K499" s="9" t="n"/>
    </row>
    <row r="500">
      <c r="A500" s="4" t="n"/>
      <c r="B500" s="9">
        <f>IF(A500="","",INT((DAY(A500)-1)/7)+1)</f>
        <v/>
      </c>
      <c r="C500" s="9" t="n"/>
      <c r="D500" s="9" t="n"/>
      <c r="E500" s="9" t="n"/>
      <c r="F500" s="9" t="n"/>
      <c r="G500" s="9" t="n"/>
      <c r="H500" s="9" t="n"/>
      <c r="I500" s="9" t="n"/>
      <c r="J500" s="3" t="n"/>
      <c r="K500" s="9" t="n"/>
    </row>
    <row r="501">
      <c r="A501" s="4" t="n"/>
      <c r="B501" s="9">
        <f>IF(A501="","",INT((DAY(A501)-1)/7)+1)</f>
        <v/>
      </c>
      <c r="C501" s="9" t="n"/>
      <c r="D501" s="9" t="n"/>
      <c r="E501" s="9" t="n"/>
      <c r="F501" s="9" t="n"/>
      <c r="G501" s="9" t="n"/>
      <c r="H501" s="9" t="n"/>
      <c r="I501" s="9" t="n"/>
      <c r="J501" s="3" t="n"/>
      <c r="K501" s="9" t="n"/>
    </row>
    <row r="502">
      <c r="A502" s="4" t="n"/>
      <c r="B502" s="9">
        <f>IF(A502="","",INT((DAY(A502)-1)/7)+1)</f>
        <v/>
      </c>
      <c r="C502" s="9" t="n"/>
      <c r="D502" s="9" t="n"/>
      <c r="E502" s="9" t="n"/>
      <c r="F502" s="9" t="n"/>
      <c r="G502" s="9" t="n"/>
      <c r="H502" s="9" t="n"/>
      <c r="I502" s="9" t="n"/>
      <c r="J502" s="3" t="n"/>
      <c r="K502" s="9" t="n"/>
    </row>
    <row r="503">
      <c r="A503" s="4" t="n"/>
      <c r="B503" s="9">
        <f>IF(A503="","",INT((DAY(A503)-1)/7)+1)</f>
        <v/>
      </c>
      <c r="C503" s="9" t="n"/>
      <c r="D503" s="9" t="n"/>
      <c r="E503" s="9" t="n"/>
      <c r="F503" s="9" t="n"/>
      <c r="G503" s="9" t="n"/>
      <c r="H503" s="9" t="n"/>
      <c r="I503" s="9" t="n"/>
      <c r="J503" s="3" t="n"/>
      <c r="K503" s="9" t="n"/>
    </row>
    <row r="504">
      <c r="A504" s="4" t="n"/>
      <c r="B504" s="9">
        <f>IF(A504="","",INT((DAY(A504)-1)/7)+1)</f>
        <v/>
      </c>
      <c r="C504" s="9" t="n"/>
      <c r="D504" s="9" t="n"/>
      <c r="E504" s="9" t="n"/>
      <c r="F504" s="9" t="n"/>
      <c r="G504" s="9" t="n"/>
      <c r="H504" s="9" t="n"/>
      <c r="I504" s="9" t="n"/>
      <c r="J504" s="3" t="n"/>
      <c r="K504" s="9" t="n"/>
    </row>
    <row r="505">
      <c r="A505" s="4" t="n"/>
      <c r="B505" s="9">
        <f>IF(A505="","",INT((DAY(A505)-1)/7)+1)</f>
        <v/>
      </c>
      <c r="C505" s="9" t="n"/>
      <c r="D505" s="9" t="n"/>
      <c r="E505" s="9" t="n"/>
      <c r="F505" s="9" t="n"/>
      <c r="G505" s="9" t="n"/>
      <c r="H505" s="9" t="n"/>
      <c r="I505" s="9" t="n"/>
      <c r="J505" s="3" t="n"/>
      <c r="K505" s="9" t="n"/>
    </row>
    <row r="506">
      <c r="A506" s="4" t="n"/>
      <c r="B506" s="9">
        <f>IF(A506="","",INT((DAY(A506)-1)/7)+1)</f>
        <v/>
      </c>
      <c r="C506" s="9" t="n"/>
      <c r="D506" s="9" t="n"/>
      <c r="E506" s="9" t="n"/>
      <c r="F506" s="9" t="n"/>
      <c r="G506" s="9" t="n"/>
      <c r="H506" s="9" t="n"/>
      <c r="I506" s="9" t="n"/>
      <c r="J506" s="3" t="n"/>
      <c r="K506" s="9" t="n"/>
    </row>
    <row r="507">
      <c r="A507" s="4" t="n"/>
      <c r="B507" s="9">
        <f>IF(A507="","",INT((DAY(A507)-1)/7)+1)</f>
        <v/>
      </c>
      <c r="C507" s="9" t="n"/>
      <c r="D507" s="9" t="n"/>
      <c r="E507" s="9" t="n"/>
      <c r="F507" s="9" t="n"/>
      <c r="G507" s="9" t="n"/>
      <c r="H507" s="9" t="n"/>
      <c r="I507" s="9" t="n"/>
      <c r="J507" s="3" t="n"/>
      <c r="K507" s="9" t="n"/>
    </row>
    <row r="508">
      <c r="A508" s="4" t="n"/>
      <c r="B508" s="9">
        <f>IF(A508="","",INT((DAY(A508)-1)/7)+1)</f>
        <v/>
      </c>
      <c r="C508" s="9" t="n"/>
      <c r="D508" s="9" t="n"/>
      <c r="E508" s="9" t="n"/>
      <c r="F508" s="9" t="n"/>
      <c r="G508" s="9" t="n"/>
      <c r="H508" s="9" t="n"/>
      <c r="I508" s="9" t="n"/>
      <c r="J508" s="3" t="n"/>
      <c r="K508" s="9" t="n"/>
    </row>
    <row r="509">
      <c r="A509" s="4" t="n"/>
      <c r="B509" s="9">
        <f>IF(A509="","",INT((DAY(A509)-1)/7)+1)</f>
        <v/>
      </c>
      <c r="C509" s="9" t="n"/>
      <c r="D509" s="9" t="n"/>
      <c r="E509" s="9" t="n"/>
      <c r="F509" s="9" t="n"/>
      <c r="G509" s="9" t="n"/>
      <c r="H509" s="9" t="n"/>
      <c r="I509" s="9" t="n"/>
      <c r="J509" s="3" t="n"/>
      <c r="K509" s="9" t="n"/>
    </row>
    <row r="510">
      <c r="A510" s="4" t="n"/>
      <c r="B510" s="9">
        <f>IF(A510="","",INT((DAY(A510)-1)/7)+1)</f>
        <v/>
      </c>
      <c r="C510" s="9" t="n"/>
      <c r="D510" s="9" t="n"/>
      <c r="E510" s="9" t="n"/>
      <c r="F510" s="9" t="n"/>
      <c r="G510" s="9" t="n"/>
      <c r="H510" s="9" t="n"/>
      <c r="I510" s="9" t="n"/>
      <c r="J510" s="3" t="n"/>
      <c r="K510" s="9" t="n"/>
    </row>
    <row r="511">
      <c r="A511" s="4" t="n"/>
      <c r="B511" s="9">
        <f>IF(A511="","",INT((DAY(A511)-1)/7)+1)</f>
        <v/>
      </c>
      <c r="C511" s="9" t="n"/>
      <c r="D511" s="9" t="n"/>
      <c r="E511" s="9" t="n"/>
      <c r="F511" s="9" t="n"/>
      <c r="G511" s="9" t="n"/>
      <c r="H511" s="9" t="n"/>
      <c r="I511" s="9" t="n"/>
      <c r="J511" s="3" t="n"/>
      <c r="K511" s="9" t="n"/>
    </row>
    <row r="512">
      <c r="A512" s="4" t="n"/>
      <c r="B512" s="9">
        <f>IF(A512="","",INT((DAY(A512)-1)/7)+1)</f>
        <v/>
      </c>
      <c r="C512" s="9" t="n"/>
      <c r="D512" s="9" t="n"/>
      <c r="E512" s="9" t="n"/>
      <c r="F512" s="9" t="n"/>
      <c r="G512" s="9" t="n"/>
      <c r="H512" s="9" t="n"/>
      <c r="I512" s="9" t="n"/>
      <c r="J512" s="3" t="n"/>
      <c r="K512" s="9" t="n"/>
    </row>
    <row r="513">
      <c r="A513" s="4" t="n"/>
      <c r="B513" s="9">
        <f>IF(A513="","",INT((DAY(A513)-1)/7)+1)</f>
        <v/>
      </c>
      <c r="C513" s="9" t="n"/>
      <c r="D513" s="9" t="n"/>
      <c r="E513" s="9" t="n"/>
      <c r="F513" s="9" t="n"/>
      <c r="G513" s="9" t="n"/>
      <c r="H513" s="9" t="n"/>
      <c r="I513" s="9" t="n"/>
      <c r="J513" s="3" t="n"/>
      <c r="K513" s="9" t="n"/>
    </row>
    <row r="514">
      <c r="A514" s="4" t="n"/>
      <c r="B514" s="9">
        <f>IF(A514="","",INT((DAY(A514)-1)/7)+1)</f>
        <v/>
      </c>
      <c r="C514" s="9" t="n"/>
      <c r="D514" s="9" t="n"/>
      <c r="E514" s="9" t="n"/>
      <c r="F514" s="9" t="n"/>
      <c r="G514" s="9" t="n"/>
      <c r="H514" s="9" t="n"/>
      <c r="I514" s="9" t="n"/>
      <c r="J514" s="3" t="n"/>
      <c r="K514" s="9" t="n"/>
    </row>
    <row r="515">
      <c r="A515" s="4" t="n"/>
      <c r="B515" s="9">
        <f>IF(A515="","",INT((DAY(A515)-1)/7)+1)</f>
        <v/>
      </c>
      <c r="C515" s="9" t="n"/>
      <c r="D515" s="9" t="n"/>
      <c r="E515" s="9" t="n"/>
      <c r="F515" s="9" t="n"/>
      <c r="G515" s="9" t="n"/>
      <c r="H515" s="9" t="n"/>
      <c r="I515" s="9" t="n"/>
      <c r="J515" s="3" t="n"/>
      <c r="K515" s="9" t="n"/>
    </row>
    <row r="516">
      <c r="A516" s="4" t="n"/>
      <c r="B516" s="9">
        <f>IF(A516="","",INT((DAY(A516)-1)/7)+1)</f>
        <v/>
      </c>
      <c r="C516" s="9" t="n"/>
      <c r="D516" s="9" t="n"/>
      <c r="E516" s="9" t="n"/>
      <c r="F516" s="9" t="n"/>
      <c r="G516" s="9" t="n"/>
      <c r="H516" s="9" t="n"/>
      <c r="I516" s="9" t="n"/>
      <c r="J516" s="3" t="n"/>
      <c r="K516" s="9" t="n"/>
    </row>
    <row r="517">
      <c r="A517" s="4" t="n"/>
      <c r="B517" s="9">
        <f>IF(A517="","",INT((DAY(A517)-1)/7)+1)</f>
        <v/>
      </c>
      <c r="C517" s="9" t="n"/>
      <c r="D517" s="9" t="n"/>
      <c r="E517" s="9" t="n"/>
      <c r="F517" s="9" t="n"/>
      <c r="G517" s="9" t="n"/>
      <c r="H517" s="9" t="n"/>
      <c r="I517" s="9" t="n"/>
      <c r="J517" s="3" t="n"/>
      <c r="K517" s="9" t="n"/>
    </row>
    <row r="518">
      <c r="A518" s="4" t="n"/>
      <c r="B518" s="9">
        <f>IF(A518="","",INT((DAY(A518)-1)/7)+1)</f>
        <v/>
      </c>
      <c r="C518" s="9" t="n"/>
      <c r="D518" s="9" t="n"/>
      <c r="E518" s="9" t="n"/>
      <c r="F518" s="9" t="n"/>
      <c r="G518" s="9" t="n"/>
      <c r="H518" s="9" t="n"/>
      <c r="I518" s="9" t="n"/>
      <c r="J518" s="3" t="n"/>
      <c r="K518" s="9" t="n"/>
    </row>
    <row r="519">
      <c r="A519" s="4" t="n"/>
      <c r="B519" s="9">
        <f>IF(A519="","",INT((DAY(A519)-1)/7)+1)</f>
        <v/>
      </c>
      <c r="C519" s="9" t="n"/>
      <c r="D519" s="9" t="n"/>
      <c r="E519" s="9" t="n"/>
      <c r="F519" s="9" t="n"/>
      <c r="G519" s="9" t="n"/>
      <c r="H519" s="9" t="n"/>
      <c r="I519" s="9" t="n"/>
      <c r="J519" s="3" t="n"/>
      <c r="K519" s="9" t="n"/>
    </row>
    <row r="520">
      <c r="A520" s="4" t="n"/>
      <c r="B520" s="9">
        <f>IF(A520="","",INT((DAY(A520)-1)/7)+1)</f>
        <v/>
      </c>
      <c r="C520" s="9" t="n"/>
      <c r="D520" s="9" t="n"/>
      <c r="E520" s="9" t="n"/>
      <c r="F520" s="9" t="n"/>
      <c r="G520" s="9" t="n"/>
      <c r="H520" s="9" t="n"/>
      <c r="I520" s="9" t="n"/>
      <c r="J520" s="3" t="n"/>
      <c r="K520" s="9" t="n"/>
    </row>
    <row r="521">
      <c r="A521" s="4" t="n"/>
      <c r="B521" s="9">
        <f>IF(A521="","",INT((DAY(A521)-1)/7)+1)</f>
        <v/>
      </c>
      <c r="C521" s="9" t="n"/>
      <c r="D521" s="9" t="n"/>
      <c r="E521" s="9" t="n"/>
      <c r="F521" s="9" t="n"/>
      <c r="G521" s="9" t="n"/>
      <c r="H521" s="9" t="n"/>
      <c r="I521" s="9" t="n"/>
      <c r="J521" s="3" t="n"/>
      <c r="K521" s="9" t="n"/>
    </row>
    <row r="522">
      <c r="A522" s="4" t="n"/>
      <c r="B522" s="9">
        <f>IF(A522="","",INT((DAY(A522)-1)/7)+1)</f>
        <v/>
      </c>
      <c r="C522" s="9" t="n"/>
      <c r="D522" s="9" t="n"/>
      <c r="E522" s="9" t="n"/>
      <c r="F522" s="9" t="n"/>
      <c r="G522" s="9" t="n"/>
      <c r="H522" s="9" t="n"/>
      <c r="I522" s="9" t="n"/>
      <c r="J522" s="3" t="n"/>
      <c r="K522" s="9" t="n"/>
    </row>
    <row r="523">
      <c r="A523" s="4" t="n"/>
      <c r="B523" s="9">
        <f>IF(A523="","",INT((DAY(A523)-1)/7)+1)</f>
        <v/>
      </c>
      <c r="C523" s="9" t="n"/>
      <c r="D523" s="9" t="n"/>
      <c r="E523" s="9" t="n"/>
      <c r="F523" s="9" t="n"/>
      <c r="G523" s="9" t="n"/>
      <c r="H523" s="9" t="n"/>
      <c r="I523" s="9" t="n"/>
      <c r="J523" s="3" t="n"/>
      <c r="K523" s="9" t="n"/>
    </row>
    <row r="524">
      <c r="A524" s="4" t="n"/>
      <c r="B524" s="9">
        <f>IF(A524="","",INT((DAY(A524)-1)/7)+1)</f>
        <v/>
      </c>
      <c r="C524" s="9" t="n"/>
      <c r="D524" s="9" t="n"/>
      <c r="E524" s="9" t="n"/>
      <c r="F524" s="9" t="n"/>
      <c r="G524" s="9" t="n"/>
      <c r="H524" s="9" t="n"/>
      <c r="I524" s="9" t="n"/>
      <c r="J524" s="3" t="n"/>
      <c r="K524" s="9" t="n"/>
    </row>
    <row r="525">
      <c r="A525" s="4" t="n"/>
      <c r="B525" s="9">
        <f>IF(A525="","",INT((DAY(A525)-1)/7)+1)</f>
        <v/>
      </c>
      <c r="C525" s="9" t="n"/>
      <c r="D525" s="9" t="n"/>
      <c r="E525" s="9" t="n"/>
      <c r="F525" s="9" t="n"/>
      <c r="G525" s="9" t="n"/>
      <c r="H525" s="9" t="n"/>
      <c r="I525" s="9" t="n"/>
      <c r="J525" s="3" t="n"/>
      <c r="K525" s="9" t="n"/>
    </row>
    <row r="526">
      <c r="A526" s="4" t="n"/>
      <c r="B526" s="9">
        <f>IF(A526="","",INT((DAY(A526)-1)/7)+1)</f>
        <v/>
      </c>
      <c r="C526" s="9" t="n"/>
      <c r="D526" s="9" t="n"/>
      <c r="E526" s="9" t="n"/>
      <c r="F526" s="9" t="n"/>
      <c r="G526" s="9" t="n"/>
      <c r="H526" s="9" t="n"/>
      <c r="I526" s="9" t="n"/>
      <c r="J526" s="3" t="n"/>
      <c r="K526" s="9" t="n"/>
    </row>
    <row r="527">
      <c r="A527" s="4" t="n"/>
      <c r="B527" s="9">
        <f>IF(A527="","",INT((DAY(A527)-1)/7)+1)</f>
        <v/>
      </c>
      <c r="C527" s="9" t="n"/>
      <c r="D527" s="9" t="n"/>
      <c r="E527" s="9" t="n"/>
      <c r="F527" s="9" t="n"/>
      <c r="G527" s="9" t="n"/>
      <c r="H527" s="9" t="n"/>
      <c r="I527" s="9" t="n"/>
      <c r="J527" s="3" t="n"/>
      <c r="K527" s="9" t="n"/>
    </row>
    <row r="528">
      <c r="A528" s="4" t="n"/>
      <c r="B528" s="9">
        <f>IF(A528="","",INT((DAY(A528)-1)/7)+1)</f>
        <v/>
      </c>
      <c r="C528" s="9" t="n"/>
      <c r="D528" s="9" t="n"/>
      <c r="E528" s="9" t="n"/>
      <c r="F528" s="9" t="n"/>
      <c r="G528" s="9" t="n"/>
      <c r="H528" s="9" t="n"/>
      <c r="I528" s="9" t="n"/>
      <c r="J528" s="3" t="n"/>
      <c r="K528" s="9" t="n"/>
    </row>
  </sheetData>
  <autoFilter ref="A28:K528"/>
  <dataValidations count="4">
    <dataValidation sqref="E29:E528" showDropDown="0" showInputMessage="0" showErrorMessage="1" allowBlank="1" type="list">
      <formula1>=Lists!$A$2:$A$22</formula1>
    </dataValidation>
    <dataValidation sqref="G29:G528" showDropDown="0" showInputMessage="0" showErrorMessage="1" allowBlank="1" type="list">
      <formula1>=Lists!$D$2:$D$8</formula1>
    </dataValidation>
    <dataValidation sqref="H29:H528" showDropDown="0" showInputMessage="0" showErrorMessage="1" allowBlank="1" type="list">
      <formula1>=Lists!$C$2:$C$9</formula1>
    </dataValidation>
    <dataValidation sqref="I29:I528" showDropDown="0" showInputMessage="0" showErrorMessage="1" allowBlank="1" type="list">
      <formula1>=Lists!$B$2:$B$5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28"/>
  <sheetViews>
    <sheetView showGridLines="0" workbookViewId="0">
      <pane xSplit="0" ySplit="28" topLeftCell="A29" activePane="bottomLeft" state="frozen"/>
      <selection pane="bottomLeft" activeCell="A29" sqref="A29"/>
    </sheetView>
  </sheetViews>
  <sheetFormatPr baseColWidth="8" defaultRowHeight="15"/>
  <cols>
    <col width="12" customWidth="1" style="10" min="1" max="1"/>
    <col width="8" customWidth="1" style="10" min="2" max="2"/>
    <col width="22" customWidth="1" style="10" min="3" max="4"/>
    <col width="24" customWidth="1" style="10" min="5" max="5"/>
    <col width="18" customWidth="1" style="10" min="6" max="6"/>
    <col width="18" customWidth="1" style="10" min="7" max="7"/>
    <col width="18" customWidth="1" style="10" min="8" max="9"/>
    <col width="14" customWidth="1" style="10" min="10" max="10"/>
    <col width="30" customWidth="1" style="10" min="11" max="11"/>
  </cols>
  <sheetData>
    <row r="1">
      <c r="A1" s="1" t="inlineStr">
        <is>
          <t>June 2026 Ledger</t>
        </is>
      </c>
    </row>
    <row r="2">
      <c r="A2" s="7" t="inlineStr">
        <is>
          <t>Use positive amounts. Choose Type to classify each transaction.</t>
        </is>
      </c>
    </row>
    <row r="4">
      <c r="A4" s="1" t="inlineStr">
        <is>
          <t>Month Summary</t>
        </is>
      </c>
      <c r="D4" s="1" t="inlineStr">
        <is>
          <t>Category Summary</t>
        </is>
      </c>
      <c r="H4" s="1" t="inlineStr">
        <is>
          <t>Weekly Summary</t>
        </is>
      </c>
    </row>
    <row r="5">
      <c r="A5" s="5" t="inlineStr">
        <is>
          <t>Total Income</t>
        </is>
      </c>
      <c r="B5" s="3">
        <f>SUMIFS($J$29:$J$528,$I$29:$I$528,"Income")</f>
        <v/>
      </c>
      <c r="D5" s="2" t="inlineStr">
        <is>
          <t>Category</t>
        </is>
      </c>
      <c r="E5" s="2" t="inlineStr">
        <is>
          <t>Expenses</t>
        </is>
      </c>
      <c r="F5" s="2" t="inlineStr">
        <is>
          <t>Income</t>
        </is>
      </c>
      <c r="G5" s="2" t="inlineStr">
        <is>
          <t>Existing Savings</t>
        </is>
      </c>
      <c r="H5" s="2" t="inlineStr">
        <is>
          <t>Week</t>
        </is>
      </c>
      <c r="I5" s="2" t="inlineStr">
        <is>
          <t>Expenses</t>
        </is>
      </c>
      <c r="J5" s="2" t="inlineStr">
        <is>
          <t>Income</t>
        </is>
      </c>
      <c r="K5" s="2" t="inlineStr">
        <is>
          <t>Net</t>
        </is>
      </c>
    </row>
    <row r="6">
      <c r="A6" s="5" t="inlineStr">
        <is>
          <t>Total Expenses</t>
        </is>
      </c>
      <c r="B6" s="3">
        <f>SUMIFS($J$29:$J$528,$I$29:$I$528,"Expense")</f>
        <v/>
      </c>
      <c r="D6" s="5" t="inlineStr">
        <is>
          <t>Housing</t>
        </is>
      </c>
      <c r="E6" s="3">
        <f>SUMIFS($J$29:$J$528,$E$29:$E$528,$D6,$I$29:$I$528,"Expense")</f>
        <v/>
      </c>
      <c r="F6" s="3">
        <f>SUMIFS($J$29:$J$528,$E$29:$E$528,$D6,$I$29:$I$528,"Income")</f>
        <v/>
      </c>
      <c r="G6" s="3">
        <f>SUMIFS($J$29:$J$528,$E$29:$E$528,$D6,$I$29:$I$528,"Opening Balance")</f>
        <v/>
      </c>
      <c r="H6" s="5" t="inlineStr">
        <is>
          <t>Week 1</t>
        </is>
      </c>
      <c r="I6" s="3">
        <f>SUMIFS($J$29:$J$528,$B$29:$B$528,1,$I$29:$I$528,"Expense",$F$29:$F$528,"&lt;&gt;Rent")</f>
        <v/>
      </c>
      <c r="J6" s="3">
        <f>SUMIFS($J$29:$J$528,$B$29:$B$528,1,$I$29:$I$528,"Income")</f>
        <v/>
      </c>
      <c r="K6" s="3">
        <f>J6-I6</f>
        <v/>
      </c>
    </row>
    <row r="7">
      <c r="A7" s="5" t="inlineStr">
        <is>
          <t>Existing Savings</t>
        </is>
      </c>
      <c r="B7" s="3">
        <f>SUMIFS($J$29:$J$528,$I$29:$I$528,"Opening Balance")</f>
        <v/>
      </c>
      <c r="D7" s="5" t="inlineStr">
        <is>
          <t>Utilities</t>
        </is>
      </c>
      <c r="E7" s="3">
        <f>SUMIFS($J$29:$J$528,$E$29:$E$528,$D7,$I$29:$I$528,"Expense")</f>
        <v/>
      </c>
      <c r="F7" s="3">
        <f>SUMIFS($J$29:$J$528,$E$29:$E$528,$D7,$I$29:$I$528,"Income")</f>
        <v/>
      </c>
      <c r="G7" s="3">
        <f>SUMIFS($J$29:$J$528,$E$29:$E$528,$D7,$I$29:$I$528,"Opening Balance")</f>
        <v/>
      </c>
      <c r="H7" s="5" t="inlineStr">
        <is>
          <t>Week 2</t>
        </is>
      </c>
      <c r="I7" s="3">
        <f>SUMIFS($J$29:$J$528,$B$29:$B$528,2,$I$29:$I$528,"Expense",$F$29:$F$528,"&lt;&gt;Rent")</f>
        <v/>
      </c>
      <c r="J7" s="3">
        <f>SUMIFS($J$29:$J$528,$B$29:$B$528,2,$I$29:$I$528,"Income")</f>
        <v/>
      </c>
      <c r="K7" s="3">
        <f>J7-I7</f>
        <v/>
      </c>
    </row>
    <row r="8">
      <c r="A8" s="5" t="inlineStr">
        <is>
          <t>Transfers</t>
        </is>
      </c>
      <c r="B8" s="3">
        <f>SUMIFS($J$29:$J$528,$I$29:$I$528,"Transfer")</f>
        <v/>
      </c>
      <c r="D8" s="5" t="inlineStr">
        <is>
          <t>Groceries</t>
        </is>
      </c>
      <c r="E8" s="3">
        <f>SUMIFS($J$29:$J$528,$E$29:$E$528,$D8,$I$29:$I$528,"Expense")</f>
        <v/>
      </c>
      <c r="F8" s="3">
        <f>SUMIFS($J$29:$J$528,$E$29:$E$528,$D8,$I$29:$I$528,"Income")</f>
        <v/>
      </c>
      <c r="G8" s="3">
        <f>SUMIFS($J$29:$J$528,$E$29:$E$528,$D8,$I$29:$I$528,"Opening Balance")</f>
        <v/>
      </c>
      <c r="H8" s="5" t="inlineStr">
        <is>
          <t>Week 3</t>
        </is>
      </c>
      <c r="I8" s="3">
        <f>SUMIFS($J$29:$J$528,$B$29:$B$528,3,$I$29:$I$528,"Expense",$F$29:$F$528,"&lt;&gt;Rent")</f>
        <v/>
      </c>
      <c r="J8" s="3">
        <f>SUMIFS($J$29:$J$528,$B$29:$B$528,3,$I$29:$I$528,"Income")</f>
        <v/>
      </c>
      <c r="K8" s="3">
        <f>J8-I8</f>
        <v/>
      </c>
    </row>
    <row r="9">
      <c r="A9" s="5" t="inlineStr">
        <is>
          <t>Net Cash Flow</t>
        </is>
      </c>
      <c r="B9" s="3">
        <f>B5-B6</f>
        <v/>
      </c>
      <c r="D9" s="5" t="inlineStr">
        <is>
          <t>Dining</t>
        </is>
      </c>
      <c r="E9" s="3">
        <f>SUMIFS($J$29:$J$528,$E$29:$E$528,$D9,$I$29:$I$528,"Expense")</f>
        <v/>
      </c>
      <c r="F9" s="3">
        <f>SUMIFS($J$29:$J$528,$E$29:$E$528,$D9,$I$29:$I$528,"Income")</f>
        <v/>
      </c>
      <c r="G9" s="3">
        <f>SUMIFS($J$29:$J$528,$E$29:$E$528,$D9,$I$29:$I$528,"Opening Balance")</f>
        <v/>
      </c>
      <c r="H9" s="5" t="inlineStr">
        <is>
          <t>Week 4</t>
        </is>
      </c>
      <c r="I9" s="3">
        <f>SUMIFS($J$29:$J$528,$B$29:$B$528,4,$I$29:$I$528,"Expense",$F$29:$F$528,"&lt;&gt;Rent")</f>
        <v/>
      </c>
      <c r="J9" s="3">
        <f>SUMIFS($J$29:$J$528,$B$29:$B$528,4,$I$29:$I$528,"Income")</f>
        <v/>
      </c>
      <c r="K9" s="3">
        <f>J9-I9</f>
        <v/>
      </c>
    </row>
    <row r="10">
      <c r="D10" s="5" t="inlineStr">
        <is>
          <t>Transportation</t>
        </is>
      </c>
      <c r="E10" s="3">
        <f>SUMIFS($J$29:$J$528,$E$29:$E$528,$D10,$I$29:$I$528,"Expense")</f>
        <v/>
      </c>
      <c r="F10" s="3">
        <f>SUMIFS($J$29:$J$528,$E$29:$E$528,$D10,$I$29:$I$528,"Income")</f>
        <v/>
      </c>
      <c r="G10" s="3">
        <f>SUMIFS($J$29:$J$528,$E$29:$E$528,$D10,$I$29:$I$528,"Opening Balance")</f>
        <v/>
      </c>
      <c r="H10" s="5" t="inlineStr">
        <is>
          <t>Week 5</t>
        </is>
      </c>
      <c r="I10" s="3">
        <f>SUMIFS($J$29:$J$528,$B$29:$B$528,5,$I$29:$I$528,"Expense",$F$29:$F$528,"&lt;&gt;Rent")</f>
        <v/>
      </c>
      <c r="J10" s="3">
        <f>SUMIFS($J$29:$J$528,$B$29:$B$528,5,$I$29:$I$528,"Income")</f>
        <v/>
      </c>
      <c r="K10" s="3">
        <f>J10-I10</f>
        <v/>
      </c>
    </row>
    <row r="11">
      <c r="D11" s="5" t="inlineStr">
        <is>
          <t>Health &amp; Medical</t>
        </is>
      </c>
      <c r="E11" s="3">
        <f>SUMIFS($J$29:$J$528,$E$29:$E$528,$D11,$I$29:$I$528,"Expense")</f>
        <v/>
      </c>
      <c r="F11" s="3">
        <f>SUMIFS($J$29:$J$528,$E$29:$E$528,$D11,$I$29:$I$528,"Income")</f>
        <v/>
      </c>
      <c r="G11" s="3">
        <f>SUMIFS($J$29:$J$528,$E$29:$E$528,$D11,$I$29:$I$528,"Opening Balance")</f>
        <v/>
      </c>
    </row>
    <row r="12">
      <c r="D12" s="5" t="inlineStr">
        <is>
          <t>Insurance</t>
        </is>
      </c>
      <c r="E12" s="3">
        <f>SUMIFS($J$29:$J$528,$E$29:$E$528,$D12,$I$29:$I$528,"Expense")</f>
        <v/>
      </c>
      <c r="F12" s="3">
        <f>SUMIFS($J$29:$J$528,$E$29:$E$528,$D12,$I$29:$I$528,"Income")</f>
        <v/>
      </c>
      <c r="G12" s="3">
        <f>SUMIFS($J$29:$J$528,$E$29:$E$528,$D12,$I$29:$I$528,"Opening Balance")</f>
        <v/>
      </c>
    </row>
    <row r="13">
      <c r="D13" s="5" t="inlineStr">
        <is>
          <t>Debt Payments</t>
        </is>
      </c>
      <c r="E13" s="3">
        <f>SUMIFS($J$29:$J$528,$E$29:$E$528,$D13,$I$29:$I$528,"Expense")</f>
        <v/>
      </c>
      <c r="F13" s="3">
        <f>SUMIFS($J$29:$J$528,$E$29:$E$528,$D13,$I$29:$I$528,"Income")</f>
        <v/>
      </c>
      <c r="G13" s="3">
        <f>SUMIFS($J$29:$J$528,$E$29:$E$528,$D13,$I$29:$I$528,"Opening Balance")</f>
        <v/>
      </c>
    </row>
    <row r="14">
      <c r="D14" s="5" t="inlineStr">
        <is>
          <t>Savings &amp; Investments</t>
        </is>
      </c>
      <c r="E14" s="3">
        <f>SUMIFS($J$29:$J$528,$E$29:$E$528,$D14,$I$29:$I$528,"Expense")</f>
        <v/>
      </c>
      <c r="F14" s="3">
        <f>SUMIFS($J$29:$J$528,$E$29:$E$528,$D14,$I$29:$I$528,"Income")</f>
        <v/>
      </c>
      <c r="G14" s="3">
        <f>SUMIFS($J$29:$J$528,$E$29:$E$528,$D14,$I$29:$I$528,"Opening Balance")</f>
        <v/>
      </c>
    </row>
    <row r="15">
      <c r="D15" s="5" t="inlineStr">
        <is>
          <t>Personal Care</t>
        </is>
      </c>
      <c r="E15" s="3">
        <f>SUMIFS($J$29:$J$528,$E$29:$E$528,$D15,$I$29:$I$528,"Expense")</f>
        <v/>
      </c>
      <c r="F15" s="3">
        <f>SUMIFS($J$29:$J$528,$E$29:$E$528,$D15,$I$29:$I$528,"Income")</f>
        <v/>
      </c>
      <c r="G15" s="3">
        <f>SUMIFS($J$29:$J$528,$E$29:$E$528,$D15,$I$29:$I$528,"Opening Balance")</f>
        <v/>
      </c>
    </row>
    <row r="16">
      <c r="D16" s="5" t="inlineStr">
        <is>
          <t>Shopping</t>
        </is>
      </c>
      <c r="E16" s="3">
        <f>SUMIFS($J$29:$J$528,$E$29:$E$528,$D16,$I$29:$I$528,"Expense")</f>
        <v/>
      </c>
      <c r="F16" s="3">
        <f>SUMIFS($J$29:$J$528,$E$29:$E$528,$D16,$I$29:$I$528,"Income")</f>
        <v/>
      </c>
      <c r="G16" s="3">
        <f>SUMIFS($J$29:$J$528,$E$29:$E$528,$D16,$I$29:$I$528,"Opening Balance")</f>
        <v/>
      </c>
    </row>
    <row r="17">
      <c r="D17" s="5" t="inlineStr">
        <is>
          <t>Entertainment</t>
        </is>
      </c>
      <c r="E17" s="3">
        <f>SUMIFS($J$29:$J$528,$E$29:$E$528,$D17,$I$29:$I$528,"Expense")</f>
        <v/>
      </c>
      <c r="F17" s="3">
        <f>SUMIFS($J$29:$J$528,$E$29:$E$528,$D17,$I$29:$I$528,"Income")</f>
        <v/>
      </c>
      <c r="G17" s="3">
        <f>SUMIFS($J$29:$J$528,$E$29:$E$528,$D17,$I$29:$I$528,"Opening Balance")</f>
        <v/>
      </c>
    </row>
    <row r="18">
      <c r="D18" s="5" t="inlineStr">
        <is>
          <t>Travel</t>
        </is>
      </c>
      <c r="E18" s="3">
        <f>SUMIFS($J$29:$J$528,$E$29:$E$528,$D18,$I$29:$I$528,"Expense")</f>
        <v/>
      </c>
      <c r="F18" s="3">
        <f>SUMIFS($J$29:$J$528,$E$29:$E$528,$D18,$I$29:$I$528,"Income")</f>
        <v/>
      </c>
      <c r="G18" s="3">
        <f>SUMIFS($J$29:$J$528,$E$29:$E$528,$D18,$I$29:$I$528,"Opening Balance")</f>
        <v/>
      </c>
    </row>
    <row r="19">
      <c r="D19" s="5" t="inlineStr">
        <is>
          <t>Education</t>
        </is>
      </c>
      <c r="E19" s="3">
        <f>SUMIFS($J$29:$J$528,$E$29:$E$528,$D19,$I$29:$I$528,"Expense")</f>
        <v/>
      </c>
      <c r="F19" s="3">
        <f>SUMIFS($J$29:$J$528,$E$29:$E$528,$D19,$I$29:$I$528,"Income")</f>
        <v/>
      </c>
      <c r="G19" s="3">
        <f>SUMIFS($J$29:$J$528,$E$29:$E$528,$D19,$I$29:$I$528,"Opening Balance")</f>
        <v/>
      </c>
    </row>
    <row r="20">
      <c r="D20" s="5" t="inlineStr">
        <is>
          <t>Gifts &amp; Donations</t>
        </is>
      </c>
      <c r="E20" s="3">
        <f>SUMIFS($J$29:$J$528,$E$29:$E$528,$D20,$I$29:$I$528,"Expense")</f>
        <v/>
      </c>
      <c r="F20" s="3">
        <f>SUMIFS($J$29:$J$528,$E$29:$E$528,$D20,$I$29:$I$528,"Income")</f>
        <v/>
      </c>
      <c r="G20" s="3">
        <f>SUMIFS($J$29:$J$528,$E$29:$E$528,$D20,$I$29:$I$528,"Opening Balance")</f>
        <v/>
      </c>
    </row>
    <row r="21">
      <c r="D21" s="5" t="inlineStr">
        <is>
          <t>Taxes</t>
        </is>
      </c>
      <c r="E21" s="3">
        <f>SUMIFS($J$29:$J$528,$E$29:$E$528,$D21,$I$29:$I$528,"Expense")</f>
        <v/>
      </c>
      <c r="F21" s="3">
        <f>SUMIFS($J$29:$J$528,$E$29:$E$528,$D21,$I$29:$I$528,"Income")</f>
        <v/>
      </c>
      <c r="G21" s="3">
        <f>SUMIFS($J$29:$J$528,$E$29:$E$528,$D21,$I$29:$I$528,"Opening Balance")</f>
        <v/>
      </c>
    </row>
    <row r="22">
      <c r="D22" s="5" t="inlineStr">
        <is>
          <t>Shipping</t>
        </is>
      </c>
      <c r="E22" s="3">
        <f>SUMIFS($J$29:$J$528,$E$29:$E$528,$D22,$I$29:$I$528,"Expense")</f>
        <v/>
      </c>
      <c r="F22" s="3">
        <f>SUMIFS($J$29:$J$528,$E$29:$E$528,$D22,$I$29:$I$528,"Income")</f>
        <v/>
      </c>
      <c r="G22" s="3">
        <f>SUMIFS($J$29:$J$528,$E$29:$E$528,$D22,$I$29:$I$528,"Opening Balance")</f>
        <v/>
      </c>
    </row>
    <row r="23">
      <c r="D23" s="5" t="inlineStr">
        <is>
          <t>Income</t>
        </is>
      </c>
      <c r="E23" s="3">
        <f>SUMIFS($J$29:$J$528,$E$29:$E$528,$D23,$I$29:$I$528,"Expense")</f>
        <v/>
      </c>
      <c r="F23" s="3">
        <f>SUMIFS($J$29:$J$528,$E$29:$E$528,$D23,$I$29:$I$528,"Income")</f>
        <v/>
      </c>
      <c r="G23" s="3">
        <f>SUMIFS($J$29:$J$528,$E$29:$E$528,$D23,$I$29:$I$528,"Opening Balance")</f>
        <v/>
      </c>
    </row>
    <row r="24">
      <c r="D24" s="5" t="inlineStr">
        <is>
          <t>Transfers</t>
        </is>
      </c>
      <c r="E24" s="3">
        <f>SUMIFS($J$29:$J$528,$E$29:$E$528,$D24,$I$29:$I$528,"Expense")</f>
        <v/>
      </c>
      <c r="F24" s="3">
        <f>SUMIFS($J$29:$J$528,$E$29:$E$528,$D24,$I$29:$I$528,"Income")</f>
        <v/>
      </c>
      <c r="G24" s="3">
        <f>SUMIFS($J$29:$J$528,$E$29:$E$528,$D24,$I$29:$I$528,"Opening Balance")</f>
        <v/>
      </c>
    </row>
    <row r="25">
      <c r="D25" s="5" t="inlineStr">
        <is>
          <t>Existing Savings</t>
        </is>
      </c>
      <c r="E25" s="3">
        <f>SUMIFS($J$29:$J$528,$E$29:$E$528,$D25,$I$29:$I$528,"Expense")</f>
        <v/>
      </c>
      <c r="F25" s="3">
        <f>SUMIFS($J$29:$J$528,$E$29:$E$528,$D25,$I$29:$I$528,"Income")</f>
        <v/>
      </c>
      <c r="G25" s="3">
        <f>SUMIFS($J$29:$J$528,$E$29:$E$528,$D25,$I$29:$I$528,"Opening Balance")</f>
        <v/>
      </c>
    </row>
    <row r="26">
      <c r="D26" s="5" t="inlineStr">
        <is>
          <t>Essentials</t>
        </is>
      </c>
      <c r="E26" s="3">
        <f>SUMIFS($J$29:$J$528,$E$29:$E$528,$D26,$I$29:$I$528,"Expense")</f>
        <v/>
      </c>
      <c r="F26" s="3">
        <f>SUMIFS($J$29:$J$528,$E$29:$E$528,$D26,$I$29:$I$528,"Income")</f>
        <v/>
      </c>
      <c r="G26" s="3">
        <f>SUMIFS($J$29:$J$528,$E$29:$E$528,$D26,$I$29:$I$528,"Opening Balance")</f>
        <v/>
      </c>
    </row>
    <row r="27">
      <c r="A27" s="1" t="inlineStr">
        <is>
          <t>Transactions</t>
        </is>
      </c>
    </row>
    <row r="28">
      <c r="A28" s="2" t="inlineStr">
        <is>
          <t>Date</t>
        </is>
      </c>
      <c r="B28" s="2" t="inlineStr">
        <is>
          <t>Week</t>
        </is>
      </c>
      <c r="C28" s="2" t="inlineStr">
        <is>
          <t>Description</t>
        </is>
      </c>
      <c r="D28" s="2" t="inlineStr">
        <is>
          <t>Merchant</t>
        </is>
      </c>
      <c r="E28" s="2" t="inlineStr">
        <is>
          <t>Category</t>
        </is>
      </c>
      <c r="F28" s="2" t="inlineStr">
        <is>
          <t>Subcategory</t>
        </is>
      </c>
      <c r="G28" s="2" t="inlineStr">
        <is>
          <t>Account</t>
        </is>
      </c>
      <c r="H28" s="2" t="inlineStr">
        <is>
          <t>Payment Method</t>
        </is>
      </c>
      <c r="I28" s="2" t="inlineStr">
        <is>
          <t>Type</t>
        </is>
      </c>
      <c r="J28" s="2" t="inlineStr">
        <is>
          <t>Amount</t>
        </is>
      </c>
      <c r="K28" s="2" t="inlineStr">
        <is>
          <t>Notes</t>
        </is>
      </c>
    </row>
    <row r="29">
      <c r="A29" s="4" t="n"/>
      <c r="B29" s="9">
        <f>IF(A29="","",INT((DAY(A29)-1)/7)+1)</f>
        <v/>
      </c>
      <c r="C29" s="9" t="n"/>
      <c r="D29" s="9" t="n"/>
      <c r="E29" s="9" t="n"/>
      <c r="F29" s="9" t="n"/>
      <c r="G29" s="9" t="n"/>
      <c r="H29" s="9" t="n"/>
      <c r="I29" s="9" t="n"/>
      <c r="J29" s="3" t="n"/>
      <c r="K29" s="9" t="n"/>
    </row>
    <row r="30">
      <c r="A30" s="4" t="n"/>
      <c r="B30" s="9">
        <f>IF(A30="","",INT((DAY(A30)-1)/7)+1)</f>
        <v/>
      </c>
      <c r="C30" s="9" t="n"/>
      <c r="D30" s="9" t="n"/>
      <c r="E30" s="9" t="n"/>
      <c r="F30" s="9" t="n"/>
      <c r="G30" s="9" t="n"/>
      <c r="H30" s="9" t="n"/>
      <c r="I30" s="9" t="n"/>
      <c r="J30" s="3" t="n"/>
      <c r="K30" s="9" t="n"/>
    </row>
    <row r="31">
      <c r="A31" s="4" t="n"/>
      <c r="B31" s="9">
        <f>IF(A31="","",INT((DAY(A31)-1)/7)+1)</f>
        <v/>
      </c>
      <c r="C31" s="9" t="n"/>
      <c r="D31" s="9" t="n"/>
      <c r="E31" s="9" t="n"/>
      <c r="F31" s="9" t="n"/>
      <c r="G31" s="9" t="n"/>
      <c r="H31" s="9" t="n"/>
      <c r="I31" s="9" t="n"/>
      <c r="J31" s="3" t="n"/>
      <c r="K31" s="9" t="n"/>
    </row>
    <row r="32">
      <c r="A32" s="4" t="n"/>
      <c r="B32" s="9">
        <f>IF(A32="","",INT((DAY(A32)-1)/7)+1)</f>
        <v/>
      </c>
      <c r="C32" s="9" t="n"/>
      <c r="D32" s="9" t="n"/>
      <c r="E32" s="9" t="n"/>
      <c r="F32" s="9" t="n"/>
      <c r="G32" s="9" t="n"/>
      <c r="H32" s="9" t="n"/>
      <c r="I32" s="9" t="n"/>
      <c r="J32" s="3" t="n"/>
      <c r="K32" s="9" t="n"/>
    </row>
    <row r="33">
      <c r="A33" s="4" t="n"/>
      <c r="B33" s="9">
        <f>IF(A33="","",INT((DAY(A33)-1)/7)+1)</f>
        <v/>
      </c>
      <c r="C33" s="9" t="n"/>
      <c r="D33" s="9" t="n"/>
      <c r="E33" s="9" t="n"/>
      <c r="F33" s="9" t="n"/>
      <c r="G33" s="9" t="n"/>
      <c r="H33" s="9" t="n"/>
      <c r="I33" s="9" t="n"/>
      <c r="J33" s="3" t="n"/>
      <c r="K33" s="9" t="n"/>
    </row>
    <row r="34">
      <c r="A34" s="4" t="n"/>
      <c r="B34" s="9">
        <f>IF(A34="","",INT((DAY(A34)-1)/7)+1)</f>
        <v/>
      </c>
      <c r="C34" s="9" t="n"/>
      <c r="D34" s="9" t="n"/>
      <c r="E34" s="9" t="n"/>
      <c r="F34" s="9" t="n"/>
      <c r="G34" s="9" t="n"/>
      <c r="H34" s="9" t="n"/>
      <c r="I34" s="9" t="n"/>
      <c r="J34" s="3" t="n"/>
      <c r="K34" s="9" t="n"/>
    </row>
    <row r="35">
      <c r="A35" s="4" t="n"/>
      <c r="B35" s="9">
        <f>IF(A35="","",INT((DAY(A35)-1)/7)+1)</f>
        <v/>
      </c>
      <c r="C35" s="9" t="n"/>
      <c r="D35" s="9" t="n"/>
      <c r="E35" s="9" t="n"/>
      <c r="F35" s="9" t="n"/>
      <c r="G35" s="9" t="n"/>
      <c r="H35" s="9" t="n"/>
      <c r="I35" s="9" t="n"/>
      <c r="J35" s="3" t="n"/>
      <c r="K35" s="9" t="n"/>
    </row>
    <row r="36">
      <c r="A36" s="4" t="n"/>
      <c r="B36" s="9">
        <f>IF(A36="","",INT((DAY(A36)-1)/7)+1)</f>
        <v/>
      </c>
      <c r="C36" s="9" t="n"/>
      <c r="D36" s="9" t="n"/>
      <c r="E36" s="9" t="n"/>
      <c r="F36" s="9" t="n"/>
      <c r="G36" s="9" t="n"/>
      <c r="H36" s="9" t="n"/>
      <c r="I36" s="9" t="n"/>
      <c r="J36" s="3" t="n"/>
      <c r="K36" s="9" t="n"/>
    </row>
    <row r="37">
      <c r="A37" s="4" t="n"/>
      <c r="B37" s="9">
        <f>IF(A37="","",INT((DAY(A37)-1)/7)+1)</f>
        <v/>
      </c>
      <c r="C37" s="9" t="n"/>
      <c r="D37" s="9" t="n"/>
      <c r="E37" s="9" t="n"/>
      <c r="F37" s="9" t="n"/>
      <c r="G37" s="9" t="n"/>
      <c r="H37" s="9" t="n"/>
      <c r="I37" s="9" t="n"/>
      <c r="J37" s="3" t="n"/>
      <c r="K37" s="9" t="n"/>
    </row>
    <row r="38">
      <c r="A38" s="4" t="n"/>
      <c r="B38" s="9">
        <f>IF(A38="","",INT((DAY(A38)-1)/7)+1)</f>
        <v/>
      </c>
      <c r="C38" s="9" t="n"/>
      <c r="D38" s="9" t="n"/>
      <c r="E38" s="9" t="n"/>
      <c r="F38" s="9" t="n"/>
      <c r="G38" s="9" t="n"/>
      <c r="H38" s="9" t="n"/>
      <c r="I38" s="9" t="n"/>
      <c r="J38" s="3" t="n"/>
      <c r="K38" s="9" t="n"/>
    </row>
    <row r="39">
      <c r="A39" s="4" t="n"/>
      <c r="B39" s="9">
        <f>IF(A39="","",INT((DAY(A39)-1)/7)+1)</f>
        <v/>
      </c>
      <c r="C39" s="9" t="n"/>
      <c r="D39" s="9" t="n"/>
      <c r="E39" s="9" t="n"/>
      <c r="F39" s="9" t="n"/>
      <c r="G39" s="9" t="n"/>
      <c r="H39" s="9" t="n"/>
      <c r="I39" s="9" t="n"/>
      <c r="J39" s="3" t="n"/>
      <c r="K39" s="9" t="n"/>
    </row>
    <row r="40">
      <c r="A40" s="4" t="n"/>
      <c r="B40" s="9">
        <f>IF(A40="","",INT((DAY(A40)-1)/7)+1)</f>
        <v/>
      </c>
      <c r="C40" s="9" t="n"/>
      <c r="D40" s="9" t="n"/>
      <c r="E40" s="9" t="n"/>
      <c r="F40" s="9" t="n"/>
      <c r="G40" s="9" t="n"/>
      <c r="H40" s="9" t="n"/>
      <c r="I40" s="9" t="n"/>
      <c r="J40" s="3" t="n"/>
      <c r="K40" s="9" t="n"/>
    </row>
    <row r="41">
      <c r="A41" s="4" t="n"/>
      <c r="B41" s="9">
        <f>IF(A41="","",INT((DAY(A41)-1)/7)+1)</f>
        <v/>
      </c>
      <c r="C41" s="9" t="n"/>
      <c r="D41" s="9" t="n"/>
      <c r="E41" s="9" t="n"/>
      <c r="F41" s="9" t="n"/>
      <c r="G41" s="9" t="n"/>
      <c r="H41" s="9" t="n"/>
      <c r="I41" s="9" t="n"/>
      <c r="J41" s="3" t="n"/>
      <c r="K41" s="9" t="n"/>
    </row>
    <row r="42">
      <c r="A42" s="4" t="n"/>
      <c r="B42" s="9">
        <f>IF(A42="","",INT((DAY(A42)-1)/7)+1)</f>
        <v/>
      </c>
      <c r="C42" s="9" t="n"/>
      <c r="D42" s="9" t="n"/>
      <c r="E42" s="9" t="n"/>
      <c r="F42" s="9" t="n"/>
      <c r="G42" s="9" t="n"/>
      <c r="H42" s="9" t="n"/>
      <c r="I42" s="9" t="n"/>
      <c r="J42" s="3" t="n"/>
      <c r="K42" s="9" t="n"/>
    </row>
    <row r="43">
      <c r="A43" s="4" t="n"/>
      <c r="B43" s="9">
        <f>IF(A43="","",INT((DAY(A43)-1)/7)+1)</f>
        <v/>
      </c>
      <c r="C43" s="9" t="n"/>
      <c r="D43" s="9" t="n"/>
      <c r="E43" s="9" t="n"/>
      <c r="F43" s="9" t="n"/>
      <c r="G43" s="9" t="n"/>
      <c r="H43" s="9" t="n"/>
      <c r="I43" s="9" t="n"/>
      <c r="J43" s="3" t="n"/>
      <c r="K43" s="9" t="n"/>
    </row>
    <row r="44">
      <c r="A44" s="4" t="n"/>
      <c r="B44" s="9">
        <f>IF(A44="","",INT((DAY(A44)-1)/7)+1)</f>
        <v/>
      </c>
      <c r="C44" s="9" t="n"/>
      <c r="D44" s="9" t="n"/>
      <c r="E44" s="9" t="n"/>
      <c r="F44" s="9" t="n"/>
      <c r="G44" s="9" t="n"/>
      <c r="H44" s="9" t="n"/>
      <c r="I44" s="9" t="n"/>
      <c r="J44" s="3" t="n"/>
      <c r="K44" s="9" t="n"/>
    </row>
    <row r="45">
      <c r="A45" s="4" t="n"/>
      <c r="B45" s="9">
        <f>IF(A45="","",INT((DAY(A45)-1)/7)+1)</f>
        <v/>
      </c>
      <c r="C45" s="9" t="n"/>
      <c r="D45" s="9" t="n"/>
      <c r="E45" s="9" t="n"/>
      <c r="F45" s="9" t="n"/>
      <c r="G45" s="9" t="n"/>
      <c r="H45" s="9" t="n"/>
      <c r="I45" s="9" t="n"/>
      <c r="J45" s="3" t="n"/>
      <c r="K45" s="9" t="n"/>
    </row>
    <row r="46">
      <c r="A46" s="4" t="n"/>
      <c r="B46" s="9">
        <f>IF(A46="","",INT((DAY(A46)-1)/7)+1)</f>
        <v/>
      </c>
      <c r="C46" s="9" t="n"/>
      <c r="D46" s="9" t="n"/>
      <c r="E46" s="9" t="n"/>
      <c r="F46" s="9" t="n"/>
      <c r="G46" s="9" t="n"/>
      <c r="H46" s="9" t="n"/>
      <c r="I46" s="9" t="n"/>
      <c r="J46" s="3" t="n"/>
      <c r="K46" s="9" t="n"/>
    </row>
    <row r="47">
      <c r="A47" s="4" t="n"/>
      <c r="B47" s="9">
        <f>IF(A47="","",INT((DAY(A47)-1)/7)+1)</f>
        <v/>
      </c>
      <c r="C47" s="9" t="n"/>
      <c r="D47" s="9" t="n"/>
      <c r="E47" s="9" t="n"/>
      <c r="F47" s="9" t="n"/>
      <c r="G47" s="9" t="n"/>
      <c r="H47" s="9" t="n"/>
      <c r="I47" s="9" t="n"/>
      <c r="J47" s="3" t="n"/>
      <c r="K47" s="9" t="n"/>
    </row>
    <row r="48">
      <c r="A48" s="4" t="n"/>
      <c r="B48" s="9">
        <f>IF(A48="","",INT((DAY(A48)-1)/7)+1)</f>
        <v/>
      </c>
      <c r="C48" s="9" t="n"/>
      <c r="D48" s="9" t="n"/>
      <c r="E48" s="9" t="n"/>
      <c r="F48" s="9" t="n"/>
      <c r="G48" s="9" t="n"/>
      <c r="H48" s="9" t="n"/>
      <c r="I48" s="9" t="n"/>
      <c r="J48" s="3" t="n"/>
      <c r="K48" s="9" t="n"/>
    </row>
    <row r="49">
      <c r="A49" s="4" t="n"/>
      <c r="B49" s="9">
        <f>IF(A49="","",INT((DAY(A49)-1)/7)+1)</f>
        <v/>
      </c>
      <c r="C49" s="9" t="n"/>
      <c r="D49" s="9" t="n"/>
      <c r="E49" s="9" t="n"/>
      <c r="F49" s="9" t="n"/>
      <c r="G49" s="9" t="n"/>
      <c r="H49" s="9" t="n"/>
      <c r="I49" s="9" t="n"/>
      <c r="J49" s="3" t="n"/>
      <c r="K49" s="9" t="n"/>
    </row>
    <row r="50">
      <c r="A50" s="4" t="n"/>
      <c r="B50" s="9">
        <f>IF(A50="","",INT((DAY(A50)-1)/7)+1)</f>
        <v/>
      </c>
      <c r="C50" s="9" t="n"/>
      <c r="D50" s="9" t="n"/>
      <c r="E50" s="9" t="n"/>
      <c r="F50" s="9" t="n"/>
      <c r="G50" s="9" t="n"/>
      <c r="H50" s="9" t="n"/>
      <c r="I50" s="9" t="n"/>
      <c r="J50" s="3" t="n"/>
      <c r="K50" s="9" t="n"/>
    </row>
    <row r="51">
      <c r="A51" s="4" t="n"/>
      <c r="B51" s="9">
        <f>IF(A51="","",INT((DAY(A51)-1)/7)+1)</f>
        <v/>
      </c>
      <c r="C51" s="9" t="n"/>
      <c r="D51" s="9" t="n"/>
      <c r="E51" s="9" t="n"/>
      <c r="F51" s="9" t="n"/>
      <c r="G51" s="9" t="n"/>
      <c r="H51" s="9" t="n"/>
      <c r="I51" s="9" t="n"/>
      <c r="J51" s="3" t="n"/>
      <c r="K51" s="9" t="n"/>
    </row>
    <row r="52">
      <c r="A52" s="4" t="n"/>
      <c r="B52" s="9">
        <f>IF(A52="","",INT((DAY(A52)-1)/7)+1)</f>
        <v/>
      </c>
      <c r="C52" s="9" t="n"/>
      <c r="D52" s="9" t="n"/>
      <c r="E52" s="9" t="n"/>
      <c r="F52" s="9" t="n"/>
      <c r="G52" s="9" t="n"/>
      <c r="H52" s="9" t="n"/>
      <c r="I52" s="9" t="n"/>
      <c r="J52" s="3" t="n"/>
      <c r="K52" s="9" t="n"/>
    </row>
    <row r="53">
      <c r="A53" s="4" t="n"/>
      <c r="B53" s="9">
        <f>IF(A53="","",INT((DAY(A53)-1)/7)+1)</f>
        <v/>
      </c>
      <c r="C53" s="9" t="n"/>
      <c r="D53" s="9" t="n"/>
      <c r="E53" s="9" t="n"/>
      <c r="F53" s="9" t="n"/>
      <c r="G53" s="9" t="n"/>
      <c r="H53" s="9" t="n"/>
      <c r="I53" s="9" t="n"/>
      <c r="J53" s="3" t="n"/>
      <c r="K53" s="9" t="n"/>
    </row>
    <row r="54">
      <c r="A54" s="4" t="n"/>
      <c r="B54" s="9">
        <f>IF(A54="","",INT((DAY(A54)-1)/7)+1)</f>
        <v/>
      </c>
      <c r="C54" s="9" t="n"/>
      <c r="D54" s="9" t="n"/>
      <c r="E54" s="9" t="n"/>
      <c r="F54" s="9" t="n"/>
      <c r="G54" s="9" t="n"/>
      <c r="H54" s="9" t="n"/>
      <c r="I54" s="9" t="n"/>
      <c r="J54" s="3" t="n"/>
      <c r="K54" s="9" t="n"/>
    </row>
    <row r="55">
      <c r="A55" s="4" t="n"/>
      <c r="B55" s="9">
        <f>IF(A55="","",INT((DAY(A55)-1)/7)+1)</f>
        <v/>
      </c>
      <c r="C55" s="9" t="n"/>
      <c r="D55" s="9" t="n"/>
      <c r="E55" s="9" t="n"/>
      <c r="F55" s="9" t="n"/>
      <c r="G55" s="9" t="n"/>
      <c r="H55" s="9" t="n"/>
      <c r="I55" s="9" t="n"/>
      <c r="J55" s="3" t="n"/>
      <c r="K55" s="9" t="n"/>
    </row>
    <row r="56">
      <c r="A56" s="4" t="n"/>
      <c r="B56" s="9">
        <f>IF(A56="","",INT((DAY(A56)-1)/7)+1)</f>
        <v/>
      </c>
      <c r="C56" s="9" t="n"/>
      <c r="D56" s="9" t="n"/>
      <c r="E56" s="9" t="n"/>
      <c r="F56" s="9" t="n"/>
      <c r="G56" s="9" t="n"/>
      <c r="H56" s="9" t="n"/>
      <c r="I56" s="9" t="n"/>
      <c r="J56" s="3" t="n"/>
      <c r="K56" s="9" t="n"/>
    </row>
    <row r="57">
      <c r="A57" s="4" t="n"/>
      <c r="B57" s="9">
        <f>IF(A57="","",INT((DAY(A57)-1)/7)+1)</f>
        <v/>
      </c>
      <c r="C57" s="9" t="n"/>
      <c r="D57" s="9" t="n"/>
      <c r="E57" s="9" t="n"/>
      <c r="F57" s="9" t="n"/>
      <c r="G57" s="9" t="n"/>
      <c r="H57" s="9" t="n"/>
      <c r="I57" s="9" t="n"/>
      <c r="J57" s="3" t="n"/>
      <c r="K57" s="9" t="n"/>
    </row>
    <row r="58">
      <c r="A58" s="4" t="n"/>
      <c r="B58" s="9">
        <f>IF(A58="","",INT((DAY(A58)-1)/7)+1)</f>
        <v/>
      </c>
      <c r="C58" s="9" t="n"/>
      <c r="D58" s="9" t="n"/>
      <c r="E58" s="9" t="n"/>
      <c r="F58" s="9" t="n"/>
      <c r="G58" s="9" t="n"/>
      <c r="H58" s="9" t="n"/>
      <c r="I58" s="9" t="n"/>
      <c r="J58" s="3" t="n"/>
      <c r="K58" s="9" t="n"/>
    </row>
    <row r="59">
      <c r="A59" s="4" t="n"/>
      <c r="B59" s="9">
        <f>IF(A59="","",INT((DAY(A59)-1)/7)+1)</f>
        <v/>
      </c>
      <c r="C59" s="9" t="n"/>
      <c r="D59" s="9" t="n"/>
      <c r="E59" s="9" t="n"/>
      <c r="F59" s="9" t="n"/>
      <c r="G59" s="9" t="n"/>
      <c r="H59" s="9" t="n"/>
      <c r="I59" s="9" t="n"/>
      <c r="J59" s="3" t="n"/>
      <c r="K59" s="9" t="n"/>
    </row>
    <row r="60">
      <c r="A60" s="4" t="n"/>
      <c r="B60" s="9">
        <f>IF(A60="","",INT((DAY(A60)-1)/7)+1)</f>
        <v/>
      </c>
      <c r="C60" s="9" t="n"/>
      <c r="D60" s="9" t="n"/>
      <c r="E60" s="9" t="n"/>
      <c r="F60" s="9" t="n"/>
      <c r="G60" s="9" t="n"/>
      <c r="H60" s="9" t="n"/>
      <c r="I60" s="9" t="n"/>
      <c r="J60" s="3" t="n"/>
      <c r="K60" s="9" t="n"/>
    </row>
    <row r="61">
      <c r="A61" s="4" t="n"/>
      <c r="B61" s="9">
        <f>IF(A61="","",INT((DAY(A61)-1)/7)+1)</f>
        <v/>
      </c>
      <c r="C61" s="9" t="n"/>
      <c r="D61" s="9" t="n"/>
      <c r="E61" s="9" t="n"/>
      <c r="F61" s="9" t="n"/>
      <c r="G61" s="9" t="n"/>
      <c r="H61" s="9" t="n"/>
      <c r="I61" s="9" t="n"/>
      <c r="J61" s="3" t="n"/>
      <c r="K61" s="9" t="n"/>
    </row>
    <row r="62">
      <c r="A62" s="4" t="n"/>
      <c r="B62" s="9">
        <f>IF(A62="","",INT((DAY(A62)-1)/7)+1)</f>
        <v/>
      </c>
      <c r="C62" s="9" t="n"/>
      <c r="D62" s="9" t="n"/>
      <c r="E62" s="9" t="n"/>
      <c r="F62" s="9" t="n"/>
      <c r="G62" s="9" t="n"/>
      <c r="H62" s="9" t="n"/>
      <c r="I62" s="9" t="n"/>
      <c r="J62" s="3" t="n"/>
      <c r="K62" s="9" t="n"/>
    </row>
    <row r="63">
      <c r="A63" s="4" t="n"/>
      <c r="B63" s="9">
        <f>IF(A63="","",INT((DAY(A63)-1)/7)+1)</f>
        <v/>
      </c>
      <c r="C63" s="9" t="n"/>
      <c r="D63" s="9" t="n"/>
      <c r="E63" s="9" t="n"/>
      <c r="F63" s="9" t="n"/>
      <c r="G63" s="9" t="n"/>
      <c r="H63" s="9" t="n"/>
      <c r="I63" s="9" t="n"/>
      <c r="J63" s="3" t="n"/>
      <c r="K63" s="9" t="n"/>
    </row>
    <row r="64">
      <c r="A64" s="4" t="n"/>
      <c r="B64" s="9">
        <f>IF(A64="","",INT((DAY(A64)-1)/7)+1)</f>
        <v/>
      </c>
      <c r="C64" s="9" t="n"/>
      <c r="D64" s="9" t="n"/>
      <c r="E64" s="9" t="n"/>
      <c r="F64" s="9" t="n"/>
      <c r="G64" s="9" t="n"/>
      <c r="H64" s="9" t="n"/>
      <c r="I64" s="9" t="n"/>
      <c r="J64" s="3" t="n"/>
      <c r="K64" s="9" t="n"/>
    </row>
    <row r="65">
      <c r="A65" s="4" t="n"/>
      <c r="B65" s="9">
        <f>IF(A65="","",INT((DAY(A65)-1)/7)+1)</f>
        <v/>
      </c>
      <c r="C65" s="9" t="n"/>
      <c r="D65" s="9" t="n"/>
      <c r="E65" s="9" t="n"/>
      <c r="F65" s="9" t="n"/>
      <c r="G65" s="9" t="n"/>
      <c r="H65" s="9" t="n"/>
      <c r="I65" s="9" t="n"/>
      <c r="J65" s="3" t="n"/>
      <c r="K65" s="9" t="n"/>
    </row>
    <row r="66">
      <c r="A66" s="4" t="n"/>
      <c r="B66" s="9">
        <f>IF(A66="","",INT((DAY(A66)-1)/7)+1)</f>
        <v/>
      </c>
      <c r="C66" s="9" t="n"/>
      <c r="D66" s="9" t="n"/>
      <c r="E66" s="9" t="n"/>
      <c r="F66" s="9" t="n"/>
      <c r="G66" s="9" t="n"/>
      <c r="H66" s="9" t="n"/>
      <c r="I66" s="9" t="n"/>
      <c r="J66" s="3" t="n"/>
      <c r="K66" s="9" t="n"/>
    </row>
    <row r="67">
      <c r="A67" s="4" t="n"/>
      <c r="B67" s="9">
        <f>IF(A67="","",INT((DAY(A67)-1)/7)+1)</f>
        <v/>
      </c>
      <c r="C67" s="9" t="n"/>
      <c r="D67" s="9" t="n"/>
      <c r="E67" s="9" t="n"/>
      <c r="F67" s="9" t="n"/>
      <c r="G67" s="9" t="n"/>
      <c r="H67" s="9" t="n"/>
      <c r="I67" s="9" t="n"/>
      <c r="J67" s="3" t="n"/>
      <c r="K67" s="9" t="n"/>
    </row>
    <row r="68">
      <c r="A68" s="4" t="n"/>
      <c r="B68" s="9">
        <f>IF(A68="","",INT((DAY(A68)-1)/7)+1)</f>
        <v/>
      </c>
      <c r="C68" s="9" t="n"/>
      <c r="D68" s="9" t="n"/>
      <c r="E68" s="9" t="n"/>
      <c r="F68" s="9" t="n"/>
      <c r="G68" s="9" t="n"/>
      <c r="H68" s="9" t="n"/>
      <c r="I68" s="9" t="n"/>
      <c r="J68" s="3" t="n"/>
      <c r="K68" s="9" t="n"/>
    </row>
    <row r="69">
      <c r="A69" s="4" t="n"/>
      <c r="B69" s="9">
        <f>IF(A69="","",INT((DAY(A69)-1)/7)+1)</f>
        <v/>
      </c>
      <c r="C69" s="9" t="n"/>
      <c r="D69" s="9" t="n"/>
      <c r="E69" s="9" t="n"/>
      <c r="F69" s="9" t="n"/>
      <c r="G69" s="9" t="n"/>
      <c r="H69" s="9" t="n"/>
      <c r="I69" s="9" t="n"/>
      <c r="J69" s="3" t="n"/>
      <c r="K69" s="9" t="n"/>
    </row>
    <row r="70">
      <c r="A70" s="4" t="n"/>
      <c r="B70" s="9">
        <f>IF(A70="","",INT((DAY(A70)-1)/7)+1)</f>
        <v/>
      </c>
      <c r="C70" s="9" t="n"/>
      <c r="D70" s="9" t="n"/>
      <c r="E70" s="9" t="n"/>
      <c r="F70" s="9" t="n"/>
      <c r="G70" s="9" t="n"/>
      <c r="H70" s="9" t="n"/>
      <c r="I70" s="9" t="n"/>
      <c r="J70" s="3" t="n"/>
      <c r="K70" s="9" t="n"/>
    </row>
    <row r="71">
      <c r="A71" s="4" t="n"/>
      <c r="B71" s="9">
        <f>IF(A71="","",INT((DAY(A71)-1)/7)+1)</f>
        <v/>
      </c>
      <c r="C71" s="9" t="n"/>
      <c r="D71" s="9" t="n"/>
      <c r="E71" s="9" t="n"/>
      <c r="F71" s="9" t="n"/>
      <c r="G71" s="9" t="n"/>
      <c r="H71" s="9" t="n"/>
      <c r="I71" s="9" t="n"/>
      <c r="J71" s="3" t="n"/>
      <c r="K71" s="9" t="n"/>
    </row>
    <row r="72">
      <c r="A72" s="4" t="n"/>
      <c r="B72" s="9">
        <f>IF(A72="","",INT((DAY(A72)-1)/7)+1)</f>
        <v/>
      </c>
      <c r="C72" s="9" t="n"/>
      <c r="D72" s="9" t="n"/>
      <c r="E72" s="9" t="n"/>
      <c r="F72" s="9" t="n"/>
      <c r="G72" s="9" t="n"/>
      <c r="H72" s="9" t="n"/>
      <c r="I72" s="9" t="n"/>
      <c r="J72" s="3" t="n"/>
      <c r="K72" s="9" t="n"/>
    </row>
    <row r="73">
      <c r="A73" s="4" t="n"/>
      <c r="B73" s="9">
        <f>IF(A73="","",INT((DAY(A73)-1)/7)+1)</f>
        <v/>
      </c>
      <c r="C73" s="9" t="n"/>
      <c r="D73" s="9" t="n"/>
      <c r="E73" s="9" t="n"/>
      <c r="F73" s="9" t="n"/>
      <c r="G73" s="9" t="n"/>
      <c r="H73" s="9" t="n"/>
      <c r="I73" s="9" t="n"/>
      <c r="J73" s="3" t="n"/>
      <c r="K73" s="9" t="n"/>
    </row>
    <row r="74">
      <c r="A74" s="4" t="n"/>
      <c r="B74" s="9">
        <f>IF(A74="","",INT((DAY(A74)-1)/7)+1)</f>
        <v/>
      </c>
      <c r="C74" s="9" t="n"/>
      <c r="D74" s="9" t="n"/>
      <c r="E74" s="9" t="n"/>
      <c r="F74" s="9" t="n"/>
      <c r="G74" s="9" t="n"/>
      <c r="H74" s="9" t="n"/>
      <c r="I74" s="9" t="n"/>
      <c r="J74" s="3" t="n"/>
      <c r="K74" s="9" t="n"/>
    </row>
    <row r="75">
      <c r="A75" s="4" t="n"/>
      <c r="B75" s="9">
        <f>IF(A75="","",INT((DAY(A75)-1)/7)+1)</f>
        <v/>
      </c>
      <c r="C75" s="9" t="n"/>
      <c r="D75" s="9" t="n"/>
      <c r="E75" s="9" t="n"/>
      <c r="F75" s="9" t="n"/>
      <c r="G75" s="9" t="n"/>
      <c r="H75" s="9" t="n"/>
      <c r="I75" s="9" t="n"/>
      <c r="J75" s="3" t="n"/>
      <c r="K75" s="9" t="n"/>
    </row>
    <row r="76">
      <c r="A76" s="4" t="n"/>
      <c r="B76" s="9">
        <f>IF(A76="","",INT((DAY(A76)-1)/7)+1)</f>
        <v/>
      </c>
      <c r="C76" s="9" t="n"/>
      <c r="D76" s="9" t="n"/>
      <c r="E76" s="9" t="n"/>
      <c r="F76" s="9" t="n"/>
      <c r="G76" s="9" t="n"/>
      <c r="H76" s="9" t="n"/>
      <c r="I76" s="9" t="n"/>
      <c r="J76" s="3" t="n"/>
      <c r="K76" s="9" t="n"/>
    </row>
    <row r="77">
      <c r="A77" s="4" t="n"/>
      <c r="B77" s="9">
        <f>IF(A77="","",INT((DAY(A77)-1)/7)+1)</f>
        <v/>
      </c>
      <c r="C77" s="9" t="n"/>
      <c r="D77" s="9" t="n"/>
      <c r="E77" s="9" t="n"/>
      <c r="F77" s="9" t="n"/>
      <c r="G77" s="9" t="n"/>
      <c r="H77" s="9" t="n"/>
      <c r="I77" s="9" t="n"/>
      <c r="J77" s="3" t="n"/>
      <c r="K77" s="9" t="n"/>
    </row>
    <row r="78">
      <c r="A78" s="4" t="n"/>
      <c r="B78" s="9">
        <f>IF(A78="","",INT((DAY(A78)-1)/7)+1)</f>
        <v/>
      </c>
      <c r="C78" s="9" t="n"/>
      <c r="D78" s="9" t="n"/>
      <c r="E78" s="9" t="n"/>
      <c r="F78" s="9" t="n"/>
      <c r="G78" s="9" t="n"/>
      <c r="H78" s="9" t="n"/>
      <c r="I78" s="9" t="n"/>
      <c r="J78" s="3" t="n"/>
      <c r="K78" s="9" t="n"/>
    </row>
    <row r="79">
      <c r="A79" s="4" t="n"/>
      <c r="B79" s="9">
        <f>IF(A79="","",INT((DAY(A79)-1)/7)+1)</f>
        <v/>
      </c>
      <c r="C79" s="9" t="n"/>
      <c r="D79" s="9" t="n"/>
      <c r="E79" s="9" t="n"/>
      <c r="F79" s="9" t="n"/>
      <c r="G79" s="9" t="n"/>
      <c r="H79" s="9" t="n"/>
      <c r="I79" s="9" t="n"/>
      <c r="J79" s="3" t="n"/>
      <c r="K79" s="9" t="n"/>
    </row>
    <row r="80">
      <c r="A80" s="4" t="n"/>
      <c r="B80" s="9">
        <f>IF(A80="","",INT((DAY(A80)-1)/7)+1)</f>
        <v/>
      </c>
      <c r="C80" s="9" t="n"/>
      <c r="D80" s="9" t="n"/>
      <c r="E80" s="9" t="n"/>
      <c r="F80" s="9" t="n"/>
      <c r="G80" s="9" t="n"/>
      <c r="H80" s="9" t="n"/>
      <c r="I80" s="9" t="n"/>
      <c r="J80" s="3" t="n"/>
      <c r="K80" s="9" t="n"/>
    </row>
    <row r="81">
      <c r="A81" s="4" t="n"/>
      <c r="B81" s="9">
        <f>IF(A81="","",INT((DAY(A81)-1)/7)+1)</f>
        <v/>
      </c>
      <c r="C81" s="9" t="n"/>
      <c r="D81" s="9" t="n"/>
      <c r="E81" s="9" t="n"/>
      <c r="F81" s="9" t="n"/>
      <c r="G81" s="9" t="n"/>
      <c r="H81" s="9" t="n"/>
      <c r="I81" s="9" t="n"/>
      <c r="J81" s="3" t="n"/>
      <c r="K81" s="9" t="n"/>
    </row>
    <row r="82">
      <c r="A82" s="4" t="n"/>
      <c r="B82" s="9">
        <f>IF(A82="","",INT((DAY(A82)-1)/7)+1)</f>
        <v/>
      </c>
      <c r="C82" s="9" t="n"/>
      <c r="D82" s="9" t="n"/>
      <c r="E82" s="9" t="n"/>
      <c r="F82" s="9" t="n"/>
      <c r="G82" s="9" t="n"/>
      <c r="H82" s="9" t="n"/>
      <c r="I82" s="9" t="n"/>
      <c r="J82" s="3" t="n"/>
      <c r="K82" s="9" t="n"/>
    </row>
    <row r="83">
      <c r="A83" s="4" t="n"/>
      <c r="B83" s="9">
        <f>IF(A83="","",INT((DAY(A83)-1)/7)+1)</f>
        <v/>
      </c>
      <c r="C83" s="9" t="n"/>
      <c r="D83" s="9" t="n"/>
      <c r="E83" s="9" t="n"/>
      <c r="F83" s="9" t="n"/>
      <c r="G83" s="9" t="n"/>
      <c r="H83" s="9" t="n"/>
      <c r="I83" s="9" t="n"/>
      <c r="J83" s="3" t="n"/>
      <c r="K83" s="9" t="n"/>
    </row>
    <row r="84">
      <c r="A84" s="4" t="n"/>
      <c r="B84" s="9">
        <f>IF(A84="","",INT((DAY(A84)-1)/7)+1)</f>
        <v/>
      </c>
      <c r="C84" s="9" t="n"/>
      <c r="D84" s="9" t="n"/>
      <c r="E84" s="9" t="n"/>
      <c r="F84" s="9" t="n"/>
      <c r="G84" s="9" t="n"/>
      <c r="H84" s="9" t="n"/>
      <c r="I84" s="9" t="n"/>
      <c r="J84" s="3" t="n"/>
      <c r="K84" s="9" t="n"/>
    </row>
    <row r="85">
      <c r="A85" s="4" t="n"/>
      <c r="B85" s="9">
        <f>IF(A85="","",INT((DAY(A85)-1)/7)+1)</f>
        <v/>
      </c>
      <c r="C85" s="9" t="n"/>
      <c r="D85" s="9" t="n"/>
      <c r="E85" s="9" t="n"/>
      <c r="F85" s="9" t="n"/>
      <c r="G85" s="9" t="n"/>
      <c r="H85" s="9" t="n"/>
      <c r="I85" s="9" t="n"/>
      <c r="J85" s="3" t="n"/>
      <c r="K85" s="9" t="n"/>
    </row>
    <row r="86">
      <c r="A86" s="4" t="n"/>
      <c r="B86" s="9">
        <f>IF(A86="","",INT((DAY(A86)-1)/7)+1)</f>
        <v/>
      </c>
      <c r="C86" s="9" t="n"/>
      <c r="D86" s="9" t="n"/>
      <c r="E86" s="9" t="n"/>
      <c r="F86" s="9" t="n"/>
      <c r="G86" s="9" t="n"/>
      <c r="H86" s="9" t="n"/>
      <c r="I86" s="9" t="n"/>
      <c r="J86" s="3" t="n"/>
      <c r="K86" s="9" t="n"/>
    </row>
    <row r="87">
      <c r="A87" s="4" t="n"/>
      <c r="B87" s="9">
        <f>IF(A87="","",INT((DAY(A87)-1)/7)+1)</f>
        <v/>
      </c>
      <c r="C87" s="9" t="n"/>
      <c r="D87" s="9" t="n"/>
      <c r="E87" s="9" t="n"/>
      <c r="F87" s="9" t="n"/>
      <c r="G87" s="9" t="n"/>
      <c r="H87" s="9" t="n"/>
      <c r="I87" s="9" t="n"/>
      <c r="J87" s="3" t="n"/>
      <c r="K87" s="9" t="n"/>
    </row>
    <row r="88">
      <c r="A88" s="4" t="n"/>
      <c r="B88" s="9">
        <f>IF(A88="","",INT((DAY(A88)-1)/7)+1)</f>
        <v/>
      </c>
      <c r="C88" s="9" t="n"/>
      <c r="D88" s="9" t="n"/>
      <c r="E88" s="9" t="n"/>
      <c r="F88" s="9" t="n"/>
      <c r="G88" s="9" t="n"/>
      <c r="H88" s="9" t="n"/>
      <c r="I88" s="9" t="n"/>
      <c r="J88" s="3" t="n"/>
      <c r="K88" s="9" t="n"/>
    </row>
    <row r="89">
      <c r="A89" s="4" t="n"/>
      <c r="B89" s="9">
        <f>IF(A89="","",INT((DAY(A89)-1)/7)+1)</f>
        <v/>
      </c>
      <c r="C89" s="9" t="n"/>
      <c r="D89" s="9" t="n"/>
      <c r="E89" s="9" t="n"/>
      <c r="F89" s="9" t="n"/>
      <c r="G89" s="9" t="n"/>
      <c r="H89" s="9" t="n"/>
      <c r="I89" s="9" t="n"/>
      <c r="J89" s="3" t="n"/>
      <c r="K89" s="9" t="n"/>
    </row>
    <row r="90">
      <c r="A90" s="4" t="n"/>
      <c r="B90" s="9">
        <f>IF(A90="","",INT((DAY(A90)-1)/7)+1)</f>
        <v/>
      </c>
      <c r="C90" s="9" t="n"/>
      <c r="D90" s="9" t="n"/>
      <c r="E90" s="9" t="n"/>
      <c r="F90" s="9" t="n"/>
      <c r="G90" s="9" t="n"/>
      <c r="H90" s="9" t="n"/>
      <c r="I90" s="9" t="n"/>
      <c r="J90" s="3" t="n"/>
      <c r="K90" s="9" t="n"/>
    </row>
    <row r="91">
      <c r="A91" s="4" t="n"/>
      <c r="B91" s="9">
        <f>IF(A91="","",INT((DAY(A91)-1)/7)+1)</f>
        <v/>
      </c>
      <c r="C91" s="9" t="n"/>
      <c r="D91" s="9" t="n"/>
      <c r="E91" s="9" t="n"/>
      <c r="F91" s="9" t="n"/>
      <c r="G91" s="9" t="n"/>
      <c r="H91" s="9" t="n"/>
      <c r="I91" s="9" t="n"/>
      <c r="J91" s="3" t="n"/>
      <c r="K91" s="9" t="n"/>
    </row>
    <row r="92">
      <c r="A92" s="4" t="n"/>
      <c r="B92" s="9">
        <f>IF(A92="","",INT((DAY(A92)-1)/7)+1)</f>
        <v/>
      </c>
      <c r="C92" s="9" t="n"/>
      <c r="D92" s="9" t="n"/>
      <c r="E92" s="9" t="n"/>
      <c r="F92" s="9" t="n"/>
      <c r="G92" s="9" t="n"/>
      <c r="H92" s="9" t="n"/>
      <c r="I92" s="9" t="n"/>
      <c r="J92" s="3" t="n"/>
      <c r="K92" s="9" t="n"/>
    </row>
    <row r="93">
      <c r="A93" s="4" t="n"/>
      <c r="B93" s="9">
        <f>IF(A93="","",INT((DAY(A93)-1)/7)+1)</f>
        <v/>
      </c>
      <c r="C93" s="9" t="n"/>
      <c r="D93" s="9" t="n"/>
      <c r="E93" s="9" t="n"/>
      <c r="F93" s="9" t="n"/>
      <c r="G93" s="9" t="n"/>
      <c r="H93" s="9" t="n"/>
      <c r="I93" s="9" t="n"/>
      <c r="J93" s="3" t="n"/>
      <c r="K93" s="9" t="n"/>
    </row>
    <row r="94">
      <c r="A94" s="4" t="n"/>
      <c r="B94" s="9">
        <f>IF(A94="","",INT((DAY(A94)-1)/7)+1)</f>
        <v/>
      </c>
      <c r="C94" s="9" t="n"/>
      <c r="D94" s="9" t="n"/>
      <c r="E94" s="9" t="n"/>
      <c r="F94" s="9" t="n"/>
      <c r="G94" s="9" t="n"/>
      <c r="H94" s="9" t="n"/>
      <c r="I94" s="9" t="n"/>
      <c r="J94" s="3" t="n"/>
      <c r="K94" s="9" t="n"/>
    </row>
    <row r="95">
      <c r="A95" s="4" t="n"/>
      <c r="B95" s="9">
        <f>IF(A95="","",INT((DAY(A95)-1)/7)+1)</f>
        <v/>
      </c>
      <c r="C95" s="9" t="n"/>
      <c r="D95" s="9" t="n"/>
      <c r="E95" s="9" t="n"/>
      <c r="F95" s="9" t="n"/>
      <c r="G95" s="9" t="n"/>
      <c r="H95" s="9" t="n"/>
      <c r="I95" s="9" t="n"/>
      <c r="J95" s="3" t="n"/>
      <c r="K95" s="9" t="n"/>
    </row>
    <row r="96">
      <c r="A96" s="4" t="n"/>
      <c r="B96" s="9">
        <f>IF(A96="","",INT((DAY(A96)-1)/7)+1)</f>
        <v/>
      </c>
      <c r="C96" s="9" t="n"/>
      <c r="D96" s="9" t="n"/>
      <c r="E96" s="9" t="n"/>
      <c r="F96" s="9" t="n"/>
      <c r="G96" s="9" t="n"/>
      <c r="H96" s="9" t="n"/>
      <c r="I96" s="9" t="n"/>
      <c r="J96" s="3" t="n"/>
      <c r="K96" s="9" t="n"/>
    </row>
    <row r="97">
      <c r="A97" s="4" t="n"/>
      <c r="B97" s="9">
        <f>IF(A97="","",INT((DAY(A97)-1)/7)+1)</f>
        <v/>
      </c>
      <c r="C97" s="9" t="n"/>
      <c r="D97" s="9" t="n"/>
      <c r="E97" s="9" t="n"/>
      <c r="F97" s="9" t="n"/>
      <c r="G97" s="9" t="n"/>
      <c r="H97" s="9" t="n"/>
      <c r="I97" s="9" t="n"/>
      <c r="J97" s="3" t="n"/>
      <c r="K97" s="9" t="n"/>
    </row>
    <row r="98">
      <c r="A98" s="4" t="n"/>
      <c r="B98" s="9">
        <f>IF(A98="","",INT((DAY(A98)-1)/7)+1)</f>
        <v/>
      </c>
      <c r="C98" s="9" t="n"/>
      <c r="D98" s="9" t="n"/>
      <c r="E98" s="9" t="n"/>
      <c r="F98" s="9" t="n"/>
      <c r="G98" s="9" t="n"/>
      <c r="H98" s="9" t="n"/>
      <c r="I98" s="9" t="n"/>
      <c r="J98" s="3" t="n"/>
      <c r="K98" s="9" t="n"/>
    </row>
    <row r="99">
      <c r="A99" s="4" t="n"/>
      <c r="B99" s="9">
        <f>IF(A99="","",INT((DAY(A99)-1)/7)+1)</f>
        <v/>
      </c>
      <c r="C99" s="9" t="n"/>
      <c r="D99" s="9" t="n"/>
      <c r="E99" s="9" t="n"/>
      <c r="F99" s="9" t="n"/>
      <c r="G99" s="9" t="n"/>
      <c r="H99" s="9" t="n"/>
      <c r="I99" s="9" t="n"/>
      <c r="J99" s="3" t="n"/>
      <c r="K99" s="9" t="n"/>
    </row>
    <row r="100">
      <c r="A100" s="4" t="n"/>
      <c r="B100" s="9">
        <f>IF(A100="","",INT((DAY(A100)-1)/7)+1)</f>
        <v/>
      </c>
      <c r="C100" s="9" t="n"/>
      <c r="D100" s="9" t="n"/>
      <c r="E100" s="9" t="n"/>
      <c r="F100" s="9" t="n"/>
      <c r="G100" s="9" t="n"/>
      <c r="H100" s="9" t="n"/>
      <c r="I100" s="9" t="n"/>
      <c r="J100" s="3" t="n"/>
      <c r="K100" s="9" t="n"/>
    </row>
    <row r="101">
      <c r="A101" s="4" t="n"/>
      <c r="B101" s="9">
        <f>IF(A101="","",INT((DAY(A101)-1)/7)+1)</f>
        <v/>
      </c>
      <c r="C101" s="9" t="n"/>
      <c r="D101" s="9" t="n"/>
      <c r="E101" s="9" t="n"/>
      <c r="F101" s="9" t="n"/>
      <c r="G101" s="9" t="n"/>
      <c r="H101" s="9" t="n"/>
      <c r="I101" s="9" t="n"/>
      <c r="J101" s="3" t="n"/>
      <c r="K101" s="9" t="n"/>
    </row>
    <row r="102">
      <c r="A102" s="4" t="n"/>
      <c r="B102" s="9">
        <f>IF(A102="","",INT((DAY(A102)-1)/7)+1)</f>
        <v/>
      </c>
      <c r="C102" s="9" t="n"/>
      <c r="D102" s="9" t="n"/>
      <c r="E102" s="9" t="n"/>
      <c r="F102" s="9" t="n"/>
      <c r="G102" s="9" t="n"/>
      <c r="H102" s="9" t="n"/>
      <c r="I102" s="9" t="n"/>
      <c r="J102" s="3" t="n"/>
      <c r="K102" s="9" t="n"/>
    </row>
    <row r="103">
      <c r="A103" s="4" t="n"/>
      <c r="B103" s="9">
        <f>IF(A103="","",INT((DAY(A103)-1)/7)+1)</f>
        <v/>
      </c>
      <c r="C103" s="9" t="n"/>
      <c r="D103" s="9" t="n"/>
      <c r="E103" s="9" t="n"/>
      <c r="F103" s="9" t="n"/>
      <c r="G103" s="9" t="n"/>
      <c r="H103" s="9" t="n"/>
      <c r="I103" s="9" t="n"/>
      <c r="J103" s="3" t="n"/>
      <c r="K103" s="9" t="n"/>
    </row>
    <row r="104">
      <c r="A104" s="4" t="n"/>
      <c r="B104" s="9">
        <f>IF(A104="","",INT((DAY(A104)-1)/7)+1)</f>
        <v/>
      </c>
      <c r="C104" s="9" t="n"/>
      <c r="D104" s="9" t="n"/>
      <c r="E104" s="9" t="n"/>
      <c r="F104" s="9" t="n"/>
      <c r="G104" s="9" t="n"/>
      <c r="H104" s="9" t="n"/>
      <c r="I104" s="9" t="n"/>
      <c r="J104" s="3" t="n"/>
      <c r="K104" s="9" t="n"/>
    </row>
    <row r="105">
      <c r="A105" s="4" t="n"/>
      <c r="B105" s="9">
        <f>IF(A105="","",INT((DAY(A105)-1)/7)+1)</f>
        <v/>
      </c>
      <c r="C105" s="9" t="n"/>
      <c r="D105" s="9" t="n"/>
      <c r="E105" s="9" t="n"/>
      <c r="F105" s="9" t="n"/>
      <c r="G105" s="9" t="n"/>
      <c r="H105" s="9" t="n"/>
      <c r="I105" s="9" t="n"/>
      <c r="J105" s="3" t="n"/>
      <c r="K105" s="9" t="n"/>
    </row>
    <row r="106">
      <c r="A106" s="4" t="n"/>
      <c r="B106" s="9">
        <f>IF(A106="","",INT((DAY(A106)-1)/7)+1)</f>
        <v/>
      </c>
      <c r="C106" s="9" t="n"/>
      <c r="D106" s="9" t="n"/>
      <c r="E106" s="9" t="n"/>
      <c r="F106" s="9" t="n"/>
      <c r="G106" s="9" t="n"/>
      <c r="H106" s="9" t="n"/>
      <c r="I106" s="9" t="n"/>
      <c r="J106" s="3" t="n"/>
      <c r="K106" s="9" t="n"/>
    </row>
    <row r="107">
      <c r="A107" s="4" t="n"/>
      <c r="B107" s="9">
        <f>IF(A107="","",INT((DAY(A107)-1)/7)+1)</f>
        <v/>
      </c>
      <c r="C107" s="9" t="n"/>
      <c r="D107" s="9" t="n"/>
      <c r="E107" s="9" t="n"/>
      <c r="F107" s="9" t="n"/>
      <c r="G107" s="9" t="n"/>
      <c r="H107" s="9" t="n"/>
      <c r="I107" s="9" t="n"/>
      <c r="J107" s="3" t="n"/>
      <c r="K107" s="9" t="n"/>
    </row>
    <row r="108">
      <c r="A108" s="4" t="n"/>
      <c r="B108" s="9">
        <f>IF(A108="","",INT((DAY(A108)-1)/7)+1)</f>
        <v/>
      </c>
      <c r="C108" s="9" t="n"/>
      <c r="D108" s="9" t="n"/>
      <c r="E108" s="9" t="n"/>
      <c r="F108" s="9" t="n"/>
      <c r="G108" s="9" t="n"/>
      <c r="H108" s="9" t="n"/>
      <c r="I108" s="9" t="n"/>
      <c r="J108" s="3" t="n"/>
      <c r="K108" s="9" t="n"/>
    </row>
    <row r="109">
      <c r="A109" s="4" t="n"/>
      <c r="B109" s="9">
        <f>IF(A109="","",INT((DAY(A109)-1)/7)+1)</f>
        <v/>
      </c>
      <c r="C109" s="9" t="n"/>
      <c r="D109" s="9" t="n"/>
      <c r="E109" s="9" t="n"/>
      <c r="F109" s="9" t="n"/>
      <c r="G109" s="9" t="n"/>
      <c r="H109" s="9" t="n"/>
      <c r="I109" s="9" t="n"/>
      <c r="J109" s="3" t="n"/>
      <c r="K109" s="9" t="n"/>
    </row>
    <row r="110">
      <c r="A110" s="4" t="n"/>
      <c r="B110" s="9">
        <f>IF(A110="","",INT((DAY(A110)-1)/7)+1)</f>
        <v/>
      </c>
      <c r="C110" s="9" t="n"/>
      <c r="D110" s="9" t="n"/>
      <c r="E110" s="9" t="n"/>
      <c r="F110" s="9" t="n"/>
      <c r="G110" s="9" t="n"/>
      <c r="H110" s="9" t="n"/>
      <c r="I110" s="9" t="n"/>
      <c r="J110" s="3" t="n"/>
      <c r="K110" s="9" t="n"/>
    </row>
    <row r="111">
      <c r="A111" s="4" t="n"/>
      <c r="B111" s="9">
        <f>IF(A111="","",INT((DAY(A111)-1)/7)+1)</f>
        <v/>
      </c>
      <c r="C111" s="9" t="n"/>
      <c r="D111" s="9" t="n"/>
      <c r="E111" s="9" t="n"/>
      <c r="F111" s="9" t="n"/>
      <c r="G111" s="9" t="n"/>
      <c r="H111" s="9" t="n"/>
      <c r="I111" s="9" t="n"/>
      <c r="J111" s="3" t="n"/>
      <c r="K111" s="9" t="n"/>
    </row>
    <row r="112">
      <c r="A112" s="4" t="n"/>
      <c r="B112" s="9">
        <f>IF(A112="","",INT((DAY(A112)-1)/7)+1)</f>
        <v/>
      </c>
      <c r="C112" s="9" t="n"/>
      <c r="D112" s="9" t="n"/>
      <c r="E112" s="9" t="n"/>
      <c r="F112" s="9" t="n"/>
      <c r="G112" s="9" t="n"/>
      <c r="H112" s="9" t="n"/>
      <c r="I112" s="9" t="n"/>
      <c r="J112" s="3" t="n"/>
      <c r="K112" s="9" t="n"/>
    </row>
    <row r="113">
      <c r="A113" s="4" t="n"/>
      <c r="B113" s="9">
        <f>IF(A113="","",INT((DAY(A113)-1)/7)+1)</f>
        <v/>
      </c>
      <c r="C113" s="9" t="n"/>
      <c r="D113" s="9" t="n"/>
      <c r="E113" s="9" t="n"/>
      <c r="F113" s="9" t="n"/>
      <c r="G113" s="9" t="n"/>
      <c r="H113" s="9" t="n"/>
      <c r="I113" s="9" t="n"/>
      <c r="J113" s="3" t="n"/>
      <c r="K113" s="9" t="n"/>
    </row>
    <row r="114">
      <c r="A114" s="4" t="n"/>
      <c r="B114" s="9">
        <f>IF(A114="","",INT((DAY(A114)-1)/7)+1)</f>
        <v/>
      </c>
      <c r="C114" s="9" t="n"/>
      <c r="D114" s="9" t="n"/>
      <c r="E114" s="9" t="n"/>
      <c r="F114" s="9" t="n"/>
      <c r="G114" s="9" t="n"/>
      <c r="H114" s="9" t="n"/>
      <c r="I114" s="9" t="n"/>
      <c r="J114" s="3" t="n"/>
      <c r="K114" s="9" t="n"/>
    </row>
    <row r="115">
      <c r="A115" s="4" t="n"/>
      <c r="B115" s="9">
        <f>IF(A115="","",INT((DAY(A115)-1)/7)+1)</f>
        <v/>
      </c>
      <c r="C115" s="9" t="n"/>
      <c r="D115" s="9" t="n"/>
      <c r="E115" s="9" t="n"/>
      <c r="F115" s="9" t="n"/>
      <c r="G115" s="9" t="n"/>
      <c r="H115" s="9" t="n"/>
      <c r="I115" s="9" t="n"/>
      <c r="J115" s="3" t="n"/>
      <c r="K115" s="9" t="n"/>
    </row>
    <row r="116">
      <c r="A116" s="4" t="n"/>
      <c r="B116" s="9">
        <f>IF(A116="","",INT((DAY(A116)-1)/7)+1)</f>
        <v/>
      </c>
      <c r="C116" s="9" t="n"/>
      <c r="D116" s="9" t="n"/>
      <c r="E116" s="9" t="n"/>
      <c r="F116" s="9" t="n"/>
      <c r="G116" s="9" t="n"/>
      <c r="H116" s="9" t="n"/>
      <c r="I116" s="9" t="n"/>
      <c r="J116" s="3" t="n"/>
      <c r="K116" s="9" t="n"/>
    </row>
    <row r="117">
      <c r="A117" s="4" t="n"/>
      <c r="B117" s="9">
        <f>IF(A117="","",INT((DAY(A117)-1)/7)+1)</f>
        <v/>
      </c>
      <c r="C117" s="9" t="n"/>
      <c r="D117" s="9" t="n"/>
      <c r="E117" s="9" t="n"/>
      <c r="F117" s="9" t="n"/>
      <c r="G117" s="9" t="n"/>
      <c r="H117" s="9" t="n"/>
      <c r="I117" s="9" t="n"/>
      <c r="J117" s="3" t="n"/>
      <c r="K117" s="9" t="n"/>
    </row>
    <row r="118">
      <c r="A118" s="4" t="n"/>
      <c r="B118" s="9">
        <f>IF(A118="","",INT((DAY(A118)-1)/7)+1)</f>
        <v/>
      </c>
      <c r="C118" s="9" t="n"/>
      <c r="D118" s="9" t="n"/>
      <c r="E118" s="9" t="n"/>
      <c r="F118" s="9" t="n"/>
      <c r="G118" s="9" t="n"/>
      <c r="H118" s="9" t="n"/>
      <c r="I118" s="9" t="n"/>
      <c r="J118" s="3" t="n"/>
      <c r="K118" s="9" t="n"/>
    </row>
    <row r="119">
      <c r="A119" s="4" t="n"/>
      <c r="B119" s="9">
        <f>IF(A119="","",INT((DAY(A119)-1)/7)+1)</f>
        <v/>
      </c>
      <c r="C119" s="9" t="n"/>
      <c r="D119" s="9" t="n"/>
      <c r="E119" s="9" t="n"/>
      <c r="F119" s="9" t="n"/>
      <c r="G119" s="9" t="n"/>
      <c r="H119" s="9" t="n"/>
      <c r="I119" s="9" t="n"/>
      <c r="J119" s="3" t="n"/>
      <c r="K119" s="9" t="n"/>
    </row>
    <row r="120">
      <c r="A120" s="4" t="n"/>
      <c r="B120" s="9">
        <f>IF(A120="","",INT((DAY(A120)-1)/7)+1)</f>
        <v/>
      </c>
      <c r="C120" s="9" t="n"/>
      <c r="D120" s="9" t="n"/>
      <c r="E120" s="9" t="n"/>
      <c r="F120" s="9" t="n"/>
      <c r="G120" s="9" t="n"/>
      <c r="H120" s="9" t="n"/>
      <c r="I120" s="9" t="n"/>
      <c r="J120" s="3" t="n"/>
      <c r="K120" s="9" t="n"/>
    </row>
    <row r="121">
      <c r="A121" s="4" t="n"/>
      <c r="B121" s="9">
        <f>IF(A121="","",INT((DAY(A121)-1)/7)+1)</f>
        <v/>
      </c>
      <c r="C121" s="9" t="n"/>
      <c r="D121" s="9" t="n"/>
      <c r="E121" s="9" t="n"/>
      <c r="F121" s="9" t="n"/>
      <c r="G121" s="9" t="n"/>
      <c r="H121" s="9" t="n"/>
      <c r="I121" s="9" t="n"/>
      <c r="J121" s="3" t="n"/>
      <c r="K121" s="9" t="n"/>
    </row>
    <row r="122">
      <c r="A122" s="4" t="n"/>
      <c r="B122" s="9">
        <f>IF(A122="","",INT((DAY(A122)-1)/7)+1)</f>
        <v/>
      </c>
      <c r="C122" s="9" t="n"/>
      <c r="D122" s="9" t="n"/>
      <c r="E122" s="9" t="n"/>
      <c r="F122" s="9" t="n"/>
      <c r="G122" s="9" t="n"/>
      <c r="H122" s="9" t="n"/>
      <c r="I122" s="9" t="n"/>
      <c r="J122" s="3" t="n"/>
      <c r="K122" s="9" t="n"/>
    </row>
    <row r="123">
      <c r="A123" s="4" t="n"/>
      <c r="B123" s="9">
        <f>IF(A123="","",INT((DAY(A123)-1)/7)+1)</f>
        <v/>
      </c>
      <c r="C123" s="9" t="n"/>
      <c r="D123" s="9" t="n"/>
      <c r="E123" s="9" t="n"/>
      <c r="F123" s="9" t="n"/>
      <c r="G123" s="9" t="n"/>
      <c r="H123" s="9" t="n"/>
      <c r="I123" s="9" t="n"/>
      <c r="J123" s="3" t="n"/>
      <c r="K123" s="9" t="n"/>
    </row>
    <row r="124">
      <c r="A124" s="4" t="n"/>
      <c r="B124" s="9">
        <f>IF(A124="","",INT((DAY(A124)-1)/7)+1)</f>
        <v/>
      </c>
      <c r="C124" s="9" t="n"/>
      <c r="D124" s="9" t="n"/>
      <c r="E124" s="9" t="n"/>
      <c r="F124" s="9" t="n"/>
      <c r="G124" s="9" t="n"/>
      <c r="H124" s="9" t="n"/>
      <c r="I124" s="9" t="n"/>
      <c r="J124" s="3" t="n"/>
      <c r="K124" s="9" t="n"/>
    </row>
    <row r="125">
      <c r="A125" s="4" t="n"/>
      <c r="B125" s="9">
        <f>IF(A125="","",INT((DAY(A125)-1)/7)+1)</f>
        <v/>
      </c>
      <c r="C125" s="9" t="n"/>
      <c r="D125" s="9" t="n"/>
      <c r="E125" s="9" t="n"/>
      <c r="F125" s="9" t="n"/>
      <c r="G125" s="9" t="n"/>
      <c r="H125" s="9" t="n"/>
      <c r="I125" s="9" t="n"/>
      <c r="J125" s="3" t="n"/>
      <c r="K125" s="9" t="n"/>
    </row>
    <row r="126">
      <c r="A126" s="4" t="n"/>
      <c r="B126" s="9">
        <f>IF(A126="","",INT((DAY(A126)-1)/7)+1)</f>
        <v/>
      </c>
      <c r="C126" s="9" t="n"/>
      <c r="D126" s="9" t="n"/>
      <c r="E126" s="9" t="n"/>
      <c r="F126" s="9" t="n"/>
      <c r="G126" s="9" t="n"/>
      <c r="H126" s="9" t="n"/>
      <c r="I126" s="9" t="n"/>
      <c r="J126" s="3" t="n"/>
      <c r="K126" s="9" t="n"/>
    </row>
    <row r="127">
      <c r="A127" s="4" t="n"/>
      <c r="B127" s="9">
        <f>IF(A127="","",INT((DAY(A127)-1)/7)+1)</f>
        <v/>
      </c>
      <c r="C127" s="9" t="n"/>
      <c r="D127" s="9" t="n"/>
      <c r="E127" s="9" t="n"/>
      <c r="F127" s="9" t="n"/>
      <c r="G127" s="9" t="n"/>
      <c r="H127" s="9" t="n"/>
      <c r="I127" s="9" t="n"/>
      <c r="J127" s="3" t="n"/>
      <c r="K127" s="9" t="n"/>
    </row>
    <row r="128">
      <c r="A128" s="4" t="n"/>
      <c r="B128" s="9">
        <f>IF(A128="","",INT((DAY(A128)-1)/7)+1)</f>
        <v/>
      </c>
      <c r="C128" s="9" t="n"/>
      <c r="D128" s="9" t="n"/>
      <c r="E128" s="9" t="n"/>
      <c r="F128" s="9" t="n"/>
      <c r="G128" s="9" t="n"/>
      <c r="H128" s="9" t="n"/>
      <c r="I128" s="9" t="n"/>
      <c r="J128" s="3" t="n"/>
      <c r="K128" s="9" t="n"/>
    </row>
    <row r="129">
      <c r="A129" s="4" t="n"/>
      <c r="B129" s="9">
        <f>IF(A129="","",INT((DAY(A129)-1)/7)+1)</f>
        <v/>
      </c>
      <c r="C129" s="9" t="n"/>
      <c r="D129" s="9" t="n"/>
      <c r="E129" s="9" t="n"/>
      <c r="F129" s="9" t="n"/>
      <c r="G129" s="9" t="n"/>
      <c r="H129" s="9" t="n"/>
      <c r="I129" s="9" t="n"/>
      <c r="J129" s="3" t="n"/>
      <c r="K129" s="9" t="n"/>
    </row>
    <row r="130">
      <c r="A130" s="4" t="n"/>
      <c r="B130" s="9">
        <f>IF(A130="","",INT((DAY(A130)-1)/7)+1)</f>
        <v/>
      </c>
      <c r="C130" s="9" t="n"/>
      <c r="D130" s="9" t="n"/>
      <c r="E130" s="9" t="n"/>
      <c r="F130" s="9" t="n"/>
      <c r="G130" s="9" t="n"/>
      <c r="H130" s="9" t="n"/>
      <c r="I130" s="9" t="n"/>
      <c r="J130" s="3" t="n"/>
      <c r="K130" s="9" t="n"/>
    </row>
    <row r="131">
      <c r="A131" s="4" t="n"/>
      <c r="B131" s="9">
        <f>IF(A131="","",INT((DAY(A131)-1)/7)+1)</f>
        <v/>
      </c>
      <c r="C131" s="9" t="n"/>
      <c r="D131" s="9" t="n"/>
      <c r="E131" s="9" t="n"/>
      <c r="F131" s="9" t="n"/>
      <c r="G131" s="9" t="n"/>
      <c r="H131" s="9" t="n"/>
      <c r="I131" s="9" t="n"/>
      <c r="J131" s="3" t="n"/>
      <c r="K131" s="9" t="n"/>
    </row>
    <row r="132">
      <c r="A132" s="4" t="n"/>
      <c r="B132" s="9">
        <f>IF(A132="","",INT((DAY(A132)-1)/7)+1)</f>
        <v/>
      </c>
      <c r="C132" s="9" t="n"/>
      <c r="D132" s="9" t="n"/>
      <c r="E132" s="9" t="n"/>
      <c r="F132" s="9" t="n"/>
      <c r="G132" s="9" t="n"/>
      <c r="H132" s="9" t="n"/>
      <c r="I132" s="9" t="n"/>
      <c r="J132" s="3" t="n"/>
      <c r="K132" s="9" t="n"/>
    </row>
    <row r="133">
      <c r="A133" s="4" t="n"/>
      <c r="B133" s="9">
        <f>IF(A133="","",INT((DAY(A133)-1)/7)+1)</f>
        <v/>
      </c>
      <c r="C133" s="9" t="n"/>
      <c r="D133" s="9" t="n"/>
      <c r="E133" s="9" t="n"/>
      <c r="F133" s="9" t="n"/>
      <c r="G133" s="9" t="n"/>
      <c r="H133" s="9" t="n"/>
      <c r="I133" s="9" t="n"/>
      <c r="J133" s="3" t="n"/>
      <c r="K133" s="9" t="n"/>
    </row>
    <row r="134">
      <c r="A134" s="4" t="n"/>
      <c r="B134" s="9">
        <f>IF(A134="","",INT((DAY(A134)-1)/7)+1)</f>
        <v/>
      </c>
      <c r="C134" s="9" t="n"/>
      <c r="D134" s="9" t="n"/>
      <c r="E134" s="9" t="n"/>
      <c r="F134" s="9" t="n"/>
      <c r="G134" s="9" t="n"/>
      <c r="H134" s="9" t="n"/>
      <c r="I134" s="9" t="n"/>
      <c r="J134" s="3" t="n"/>
      <c r="K134" s="9" t="n"/>
    </row>
    <row r="135">
      <c r="A135" s="4" t="n"/>
      <c r="B135" s="9">
        <f>IF(A135="","",INT((DAY(A135)-1)/7)+1)</f>
        <v/>
      </c>
      <c r="C135" s="9" t="n"/>
      <c r="D135" s="9" t="n"/>
      <c r="E135" s="9" t="n"/>
      <c r="F135" s="9" t="n"/>
      <c r="G135" s="9" t="n"/>
      <c r="H135" s="9" t="n"/>
      <c r="I135" s="9" t="n"/>
      <c r="J135" s="3" t="n"/>
      <c r="K135" s="9" t="n"/>
    </row>
    <row r="136">
      <c r="A136" s="4" t="n"/>
      <c r="B136" s="9">
        <f>IF(A136="","",INT((DAY(A136)-1)/7)+1)</f>
        <v/>
      </c>
      <c r="C136" s="9" t="n"/>
      <c r="D136" s="9" t="n"/>
      <c r="E136" s="9" t="n"/>
      <c r="F136" s="9" t="n"/>
      <c r="G136" s="9" t="n"/>
      <c r="H136" s="9" t="n"/>
      <c r="I136" s="9" t="n"/>
      <c r="J136" s="3" t="n"/>
      <c r="K136" s="9" t="n"/>
    </row>
    <row r="137">
      <c r="A137" s="4" t="n"/>
      <c r="B137" s="9">
        <f>IF(A137="","",INT((DAY(A137)-1)/7)+1)</f>
        <v/>
      </c>
      <c r="C137" s="9" t="n"/>
      <c r="D137" s="9" t="n"/>
      <c r="E137" s="9" t="n"/>
      <c r="F137" s="9" t="n"/>
      <c r="G137" s="9" t="n"/>
      <c r="H137" s="9" t="n"/>
      <c r="I137" s="9" t="n"/>
      <c r="J137" s="3" t="n"/>
      <c r="K137" s="9" t="n"/>
    </row>
    <row r="138">
      <c r="A138" s="4" t="n"/>
      <c r="B138" s="9">
        <f>IF(A138="","",INT((DAY(A138)-1)/7)+1)</f>
        <v/>
      </c>
      <c r="C138" s="9" t="n"/>
      <c r="D138" s="9" t="n"/>
      <c r="E138" s="9" t="n"/>
      <c r="F138" s="9" t="n"/>
      <c r="G138" s="9" t="n"/>
      <c r="H138" s="9" t="n"/>
      <c r="I138" s="9" t="n"/>
      <c r="J138" s="3" t="n"/>
      <c r="K138" s="9" t="n"/>
    </row>
    <row r="139">
      <c r="A139" s="4" t="n"/>
      <c r="B139" s="9">
        <f>IF(A139="","",INT((DAY(A139)-1)/7)+1)</f>
        <v/>
      </c>
      <c r="C139" s="9" t="n"/>
      <c r="D139" s="9" t="n"/>
      <c r="E139" s="9" t="n"/>
      <c r="F139" s="9" t="n"/>
      <c r="G139" s="9" t="n"/>
      <c r="H139" s="9" t="n"/>
      <c r="I139" s="9" t="n"/>
      <c r="J139" s="3" t="n"/>
      <c r="K139" s="9" t="n"/>
    </row>
    <row r="140">
      <c r="A140" s="4" t="n"/>
      <c r="B140" s="9">
        <f>IF(A140="","",INT((DAY(A140)-1)/7)+1)</f>
        <v/>
      </c>
      <c r="C140" s="9" t="n"/>
      <c r="D140" s="9" t="n"/>
      <c r="E140" s="9" t="n"/>
      <c r="F140" s="9" t="n"/>
      <c r="G140" s="9" t="n"/>
      <c r="H140" s="9" t="n"/>
      <c r="I140" s="9" t="n"/>
      <c r="J140" s="3" t="n"/>
      <c r="K140" s="9" t="n"/>
    </row>
    <row r="141">
      <c r="A141" s="4" t="n"/>
      <c r="B141" s="9">
        <f>IF(A141="","",INT((DAY(A141)-1)/7)+1)</f>
        <v/>
      </c>
      <c r="C141" s="9" t="n"/>
      <c r="D141" s="9" t="n"/>
      <c r="E141" s="9" t="n"/>
      <c r="F141" s="9" t="n"/>
      <c r="G141" s="9" t="n"/>
      <c r="H141" s="9" t="n"/>
      <c r="I141" s="9" t="n"/>
      <c r="J141" s="3" t="n"/>
      <c r="K141" s="9" t="n"/>
    </row>
    <row r="142">
      <c r="A142" s="4" t="n"/>
      <c r="B142" s="9">
        <f>IF(A142="","",INT((DAY(A142)-1)/7)+1)</f>
        <v/>
      </c>
      <c r="C142" s="9" t="n"/>
      <c r="D142" s="9" t="n"/>
      <c r="E142" s="9" t="n"/>
      <c r="F142" s="9" t="n"/>
      <c r="G142" s="9" t="n"/>
      <c r="H142" s="9" t="n"/>
      <c r="I142" s="9" t="n"/>
      <c r="J142" s="3" t="n"/>
      <c r="K142" s="9" t="n"/>
    </row>
    <row r="143">
      <c r="A143" s="4" t="n"/>
      <c r="B143" s="9">
        <f>IF(A143="","",INT((DAY(A143)-1)/7)+1)</f>
        <v/>
      </c>
      <c r="C143" s="9" t="n"/>
      <c r="D143" s="9" t="n"/>
      <c r="E143" s="9" t="n"/>
      <c r="F143" s="9" t="n"/>
      <c r="G143" s="9" t="n"/>
      <c r="H143" s="9" t="n"/>
      <c r="I143" s="9" t="n"/>
      <c r="J143" s="3" t="n"/>
      <c r="K143" s="9" t="n"/>
    </row>
    <row r="144">
      <c r="A144" s="4" t="n"/>
      <c r="B144" s="9">
        <f>IF(A144="","",INT((DAY(A144)-1)/7)+1)</f>
        <v/>
      </c>
      <c r="C144" s="9" t="n"/>
      <c r="D144" s="9" t="n"/>
      <c r="E144" s="9" t="n"/>
      <c r="F144" s="9" t="n"/>
      <c r="G144" s="9" t="n"/>
      <c r="H144" s="9" t="n"/>
      <c r="I144" s="9" t="n"/>
      <c r="J144" s="3" t="n"/>
      <c r="K144" s="9" t="n"/>
    </row>
    <row r="145">
      <c r="A145" s="4" t="n"/>
      <c r="B145" s="9">
        <f>IF(A145="","",INT((DAY(A145)-1)/7)+1)</f>
        <v/>
      </c>
      <c r="C145" s="9" t="n"/>
      <c r="D145" s="9" t="n"/>
      <c r="E145" s="9" t="n"/>
      <c r="F145" s="9" t="n"/>
      <c r="G145" s="9" t="n"/>
      <c r="H145" s="9" t="n"/>
      <c r="I145" s="9" t="n"/>
      <c r="J145" s="3" t="n"/>
      <c r="K145" s="9" t="n"/>
    </row>
    <row r="146">
      <c r="A146" s="4" t="n"/>
      <c r="B146" s="9">
        <f>IF(A146="","",INT((DAY(A146)-1)/7)+1)</f>
        <v/>
      </c>
      <c r="C146" s="9" t="n"/>
      <c r="D146" s="9" t="n"/>
      <c r="E146" s="9" t="n"/>
      <c r="F146" s="9" t="n"/>
      <c r="G146" s="9" t="n"/>
      <c r="H146" s="9" t="n"/>
      <c r="I146" s="9" t="n"/>
      <c r="J146" s="3" t="n"/>
      <c r="K146" s="9" t="n"/>
    </row>
    <row r="147">
      <c r="A147" s="4" t="n"/>
      <c r="B147" s="9">
        <f>IF(A147="","",INT((DAY(A147)-1)/7)+1)</f>
        <v/>
      </c>
      <c r="C147" s="9" t="n"/>
      <c r="D147" s="9" t="n"/>
      <c r="E147" s="9" t="n"/>
      <c r="F147" s="9" t="n"/>
      <c r="G147" s="9" t="n"/>
      <c r="H147" s="9" t="n"/>
      <c r="I147" s="9" t="n"/>
      <c r="J147" s="3" t="n"/>
      <c r="K147" s="9" t="n"/>
    </row>
    <row r="148">
      <c r="A148" s="4" t="n"/>
      <c r="B148" s="9">
        <f>IF(A148="","",INT((DAY(A148)-1)/7)+1)</f>
        <v/>
      </c>
      <c r="C148" s="9" t="n"/>
      <c r="D148" s="9" t="n"/>
      <c r="E148" s="9" t="n"/>
      <c r="F148" s="9" t="n"/>
      <c r="G148" s="9" t="n"/>
      <c r="H148" s="9" t="n"/>
      <c r="I148" s="9" t="n"/>
      <c r="J148" s="3" t="n"/>
      <c r="K148" s="9" t="n"/>
    </row>
    <row r="149">
      <c r="A149" s="4" t="n"/>
      <c r="B149" s="9">
        <f>IF(A149="","",INT((DAY(A149)-1)/7)+1)</f>
        <v/>
      </c>
      <c r="C149" s="9" t="n"/>
      <c r="D149" s="9" t="n"/>
      <c r="E149" s="9" t="n"/>
      <c r="F149" s="9" t="n"/>
      <c r="G149" s="9" t="n"/>
      <c r="H149" s="9" t="n"/>
      <c r="I149" s="9" t="n"/>
      <c r="J149" s="3" t="n"/>
      <c r="K149" s="9" t="n"/>
    </row>
    <row r="150">
      <c r="A150" s="4" t="n"/>
      <c r="B150" s="9">
        <f>IF(A150="","",INT((DAY(A150)-1)/7)+1)</f>
        <v/>
      </c>
      <c r="C150" s="9" t="n"/>
      <c r="D150" s="9" t="n"/>
      <c r="E150" s="9" t="n"/>
      <c r="F150" s="9" t="n"/>
      <c r="G150" s="9" t="n"/>
      <c r="H150" s="9" t="n"/>
      <c r="I150" s="9" t="n"/>
      <c r="J150" s="3" t="n"/>
      <c r="K150" s="9" t="n"/>
    </row>
    <row r="151">
      <c r="A151" s="4" t="n"/>
      <c r="B151" s="9">
        <f>IF(A151="","",INT((DAY(A151)-1)/7)+1)</f>
        <v/>
      </c>
      <c r="C151" s="9" t="n"/>
      <c r="D151" s="9" t="n"/>
      <c r="E151" s="9" t="n"/>
      <c r="F151" s="9" t="n"/>
      <c r="G151" s="9" t="n"/>
      <c r="H151" s="9" t="n"/>
      <c r="I151" s="9" t="n"/>
      <c r="J151" s="3" t="n"/>
      <c r="K151" s="9" t="n"/>
    </row>
    <row r="152">
      <c r="A152" s="4" t="n"/>
      <c r="B152" s="9">
        <f>IF(A152="","",INT((DAY(A152)-1)/7)+1)</f>
        <v/>
      </c>
      <c r="C152" s="9" t="n"/>
      <c r="D152" s="9" t="n"/>
      <c r="E152" s="9" t="n"/>
      <c r="F152" s="9" t="n"/>
      <c r="G152" s="9" t="n"/>
      <c r="H152" s="9" t="n"/>
      <c r="I152" s="9" t="n"/>
      <c r="J152" s="3" t="n"/>
      <c r="K152" s="9" t="n"/>
    </row>
    <row r="153">
      <c r="A153" s="4" t="n"/>
      <c r="B153" s="9">
        <f>IF(A153="","",INT((DAY(A153)-1)/7)+1)</f>
        <v/>
      </c>
      <c r="C153" s="9" t="n"/>
      <c r="D153" s="9" t="n"/>
      <c r="E153" s="9" t="n"/>
      <c r="F153" s="9" t="n"/>
      <c r="G153" s="9" t="n"/>
      <c r="H153" s="9" t="n"/>
      <c r="I153" s="9" t="n"/>
      <c r="J153" s="3" t="n"/>
      <c r="K153" s="9" t="n"/>
    </row>
    <row r="154">
      <c r="A154" s="4" t="n"/>
      <c r="B154" s="9">
        <f>IF(A154="","",INT((DAY(A154)-1)/7)+1)</f>
        <v/>
      </c>
      <c r="C154" s="9" t="n"/>
      <c r="D154" s="9" t="n"/>
      <c r="E154" s="9" t="n"/>
      <c r="F154" s="9" t="n"/>
      <c r="G154" s="9" t="n"/>
      <c r="H154" s="9" t="n"/>
      <c r="I154" s="9" t="n"/>
      <c r="J154" s="3" t="n"/>
      <c r="K154" s="9" t="n"/>
    </row>
    <row r="155">
      <c r="A155" s="4" t="n"/>
      <c r="B155" s="9">
        <f>IF(A155="","",INT((DAY(A155)-1)/7)+1)</f>
        <v/>
      </c>
      <c r="C155" s="9" t="n"/>
      <c r="D155" s="9" t="n"/>
      <c r="E155" s="9" t="n"/>
      <c r="F155" s="9" t="n"/>
      <c r="G155" s="9" t="n"/>
      <c r="H155" s="9" t="n"/>
      <c r="I155" s="9" t="n"/>
      <c r="J155" s="3" t="n"/>
      <c r="K155" s="9" t="n"/>
    </row>
    <row r="156">
      <c r="A156" s="4" t="n"/>
      <c r="B156" s="9">
        <f>IF(A156="","",INT((DAY(A156)-1)/7)+1)</f>
        <v/>
      </c>
      <c r="C156" s="9" t="n"/>
      <c r="D156" s="9" t="n"/>
      <c r="E156" s="9" t="n"/>
      <c r="F156" s="9" t="n"/>
      <c r="G156" s="9" t="n"/>
      <c r="H156" s="9" t="n"/>
      <c r="I156" s="9" t="n"/>
      <c r="J156" s="3" t="n"/>
      <c r="K156" s="9" t="n"/>
    </row>
    <row r="157">
      <c r="A157" s="4" t="n"/>
      <c r="B157" s="9">
        <f>IF(A157="","",INT((DAY(A157)-1)/7)+1)</f>
        <v/>
      </c>
      <c r="C157" s="9" t="n"/>
      <c r="D157" s="9" t="n"/>
      <c r="E157" s="9" t="n"/>
      <c r="F157" s="9" t="n"/>
      <c r="G157" s="9" t="n"/>
      <c r="H157" s="9" t="n"/>
      <c r="I157" s="9" t="n"/>
      <c r="J157" s="3" t="n"/>
      <c r="K157" s="9" t="n"/>
    </row>
    <row r="158">
      <c r="A158" s="4" t="n"/>
      <c r="B158" s="9">
        <f>IF(A158="","",INT((DAY(A158)-1)/7)+1)</f>
        <v/>
      </c>
      <c r="C158" s="9" t="n"/>
      <c r="D158" s="9" t="n"/>
      <c r="E158" s="9" t="n"/>
      <c r="F158" s="9" t="n"/>
      <c r="G158" s="9" t="n"/>
      <c r="H158" s="9" t="n"/>
      <c r="I158" s="9" t="n"/>
      <c r="J158" s="3" t="n"/>
      <c r="K158" s="9" t="n"/>
    </row>
    <row r="159">
      <c r="A159" s="4" t="n"/>
      <c r="B159" s="9">
        <f>IF(A159="","",INT((DAY(A159)-1)/7)+1)</f>
        <v/>
      </c>
      <c r="C159" s="9" t="n"/>
      <c r="D159" s="9" t="n"/>
      <c r="E159" s="9" t="n"/>
      <c r="F159" s="9" t="n"/>
      <c r="G159" s="9" t="n"/>
      <c r="H159" s="9" t="n"/>
      <c r="I159" s="9" t="n"/>
      <c r="J159" s="3" t="n"/>
      <c r="K159" s="9" t="n"/>
    </row>
    <row r="160">
      <c r="A160" s="4" t="n"/>
      <c r="B160" s="9">
        <f>IF(A160="","",INT((DAY(A160)-1)/7)+1)</f>
        <v/>
      </c>
      <c r="C160" s="9" t="n"/>
      <c r="D160" s="9" t="n"/>
      <c r="E160" s="9" t="n"/>
      <c r="F160" s="9" t="n"/>
      <c r="G160" s="9" t="n"/>
      <c r="H160" s="9" t="n"/>
      <c r="I160" s="9" t="n"/>
      <c r="J160" s="3" t="n"/>
      <c r="K160" s="9" t="n"/>
    </row>
    <row r="161">
      <c r="A161" s="4" t="n"/>
      <c r="B161" s="9">
        <f>IF(A161="","",INT((DAY(A161)-1)/7)+1)</f>
        <v/>
      </c>
      <c r="C161" s="9" t="n"/>
      <c r="D161" s="9" t="n"/>
      <c r="E161" s="9" t="n"/>
      <c r="F161" s="9" t="n"/>
      <c r="G161" s="9" t="n"/>
      <c r="H161" s="9" t="n"/>
      <c r="I161" s="9" t="n"/>
      <c r="J161" s="3" t="n"/>
      <c r="K161" s="9" t="n"/>
    </row>
    <row r="162">
      <c r="A162" s="4" t="n"/>
      <c r="B162" s="9">
        <f>IF(A162="","",INT((DAY(A162)-1)/7)+1)</f>
        <v/>
      </c>
      <c r="C162" s="9" t="n"/>
      <c r="D162" s="9" t="n"/>
      <c r="E162" s="9" t="n"/>
      <c r="F162" s="9" t="n"/>
      <c r="G162" s="9" t="n"/>
      <c r="H162" s="9" t="n"/>
      <c r="I162" s="9" t="n"/>
      <c r="J162" s="3" t="n"/>
      <c r="K162" s="9" t="n"/>
    </row>
    <row r="163">
      <c r="A163" s="4" t="n"/>
      <c r="B163" s="9">
        <f>IF(A163="","",INT((DAY(A163)-1)/7)+1)</f>
        <v/>
      </c>
      <c r="C163" s="9" t="n"/>
      <c r="D163" s="9" t="n"/>
      <c r="E163" s="9" t="n"/>
      <c r="F163" s="9" t="n"/>
      <c r="G163" s="9" t="n"/>
      <c r="H163" s="9" t="n"/>
      <c r="I163" s="9" t="n"/>
      <c r="J163" s="3" t="n"/>
      <c r="K163" s="9" t="n"/>
    </row>
    <row r="164">
      <c r="A164" s="4" t="n"/>
      <c r="B164" s="9">
        <f>IF(A164="","",INT((DAY(A164)-1)/7)+1)</f>
        <v/>
      </c>
      <c r="C164" s="9" t="n"/>
      <c r="D164" s="9" t="n"/>
      <c r="E164" s="9" t="n"/>
      <c r="F164" s="9" t="n"/>
      <c r="G164" s="9" t="n"/>
      <c r="H164" s="9" t="n"/>
      <c r="I164" s="9" t="n"/>
      <c r="J164" s="3" t="n"/>
      <c r="K164" s="9" t="n"/>
    </row>
    <row r="165">
      <c r="A165" s="4" t="n"/>
      <c r="B165" s="9">
        <f>IF(A165="","",INT((DAY(A165)-1)/7)+1)</f>
        <v/>
      </c>
      <c r="C165" s="9" t="n"/>
      <c r="D165" s="9" t="n"/>
      <c r="E165" s="9" t="n"/>
      <c r="F165" s="9" t="n"/>
      <c r="G165" s="9" t="n"/>
      <c r="H165" s="9" t="n"/>
      <c r="I165" s="9" t="n"/>
      <c r="J165" s="3" t="n"/>
      <c r="K165" s="9" t="n"/>
    </row>
    <row r="166">
      <c r="A166" s="4" t="n"/>
      <c r="B166" s="9">
        <f>IF(A166="","",INT((DAY(A166)-1)/7)+1)</f>
        <v/>
      </c>
      <c r="C166" s="9" t="n"/>
      <c r="D166" s="9" t="n"/>
      <c r="E166" s="9" t="n"/>
      <c r="F166" s="9" t="n"/>
      <c r="G166" s="9" t="n"/>
      <c r="H166" s="9" t="n"/>
      <c r="I166" s="9" t="n"/>
      <c r="J166" s="3" t="n"/>
      <c r="K166" s="9" t="n"/>
    </row>
    <row r="167">
      <c r="A167" s="4" t="n"/>
      <c r="B167" s="9">
        <f>IF(A167="","",INT((DAY(A167)-1)/7)+1)</f>
        <v/>
      </c>
      <c r="C167" s="9" t="n"/>
      <c r="D167" s="9" t="n"/>
      <c r="E167" s="9" t="n"/>
      <c r="F167" s="9" t="n"/>
      <c r="G167" s="9" t="n"/>
      <c r="H167" s="9" t="n"/>
      <c r="I167" s="9" t="n"/>
      <c r="J167" s="3" t="n"/>
      <c r="K167" s="9" t="n"/>
    </row>
    <row r="168">
      <c r="A168" s="4" t="n"/>
      <c r="B168" s="9">
        <f>IF(A168="","",INT((DAY(A168)-1)/7)+1)</f>
        <v/>
      </c>
      <c r="C168" s="9" t="n"/>
      <c r="D168" s="9" t="n"/>
      <c r="E168" s="9" t="n"/>
      <c r="F168" s="9" t="n"/>
      <c r="G168" s="9" t="n"/>
      <c r="H168" s="9" t="n"/>
      <c r="I168" s="9" t="n"/>
      <c r="J168" s="3" t="n"/>
      <c r="K168" s="9" t="n"/>
    </row>
    <row r="169">
      <c r="A169" s="4" t="n"/>
      <c r="B169" s="9">
        <f>IF(A169="","",INT((DAY(A169)-1)/7)+1)</f>
        <v/>
      </c>
      <c r="C169" s="9" t="n"/>
      <c r="D169" s="9" t="n"/>
      <c r="E169" s="9" t="n"/>
      <c r="F169" s="9" t="n"/>
      <c r="G169" s="9" t="n"/>
      <c r="H169" s="9" t="n"/>
      <c r="I169" s="9" t="n"/>
      <c r="J169" s="3" t="n"/>
      <c r="K169" s="9" t="n"/>
    </row>
    <row r="170">
      <c r="A170" s="4" t="n"/>
      <c r="B170" s="9">
        <f>IF(A170="","",INT((DAY(A170)-1)/7)+1)</f>
        <v/>
      </c>
      <c r="C170" s="9" t="n"/>
      <c r="D170" s="9" t="n"/>
      <c r="E170" s="9" t="n"/>
      <c r="F170" s="9" t="n"/>
      <c r="G170" s="9" t="n"/>
      <c r="H170" s="9" t="n"/>
      <c r="I170" s="9" t="n"/>
      <c r="J170" s="3" t="n"/>
      <c r="K170" s="9" t="n"/>
    </row>
    <row r="171">
      <c r="A171" s="4" t="n"/>
      <c r="B171" s="9">
        <f>IF(A171="","",INT((DAY(A171)-1)/7)+1)</f>
        <v/>
      </c>
      <c r="C171" s="9" t="n"/>
      <c r="D171" s="9" t="n"/>
      <c r="E171" s="9" t="n"/>
      <c r="F171" s="9" t="n"/>
      <c r="G171" s="9" t="n"/>
      <c r="H171" s="9" t="n"/>
      <c r="I171" s="9" t="n"/>
      <c r="J171" s="3" t="n"/>
      <c r="K171" s="9" t="n"/>
    </row>
    <row r="172">
      <c r="A172" s="4" t="n"/>
      <c r="B172" s="9">
        <f>IF(A172="","",INT((DAY(A172)-1)/7)+1)</f>
        <v/>
      </c>
      <c r="C172" s="9" t="n"/>
      <c r="D172" s="9" t="n"/>
      <c r="E172" s="9" t="n"/>
      <c r="F172" s="9" t="n"/>
      <c r="G172" s="9" t="n"/>
      <c r="H172" s="9" t="n"/>
      <c r="I172" s="9" t="n"/>
      <c r="J172" s="3" t="n"/>
      <c r="K172" s="9" t="n"/>
    </row>
    <row r="173">
      <c r="A173" s="4" t="n"/>
      <c r="B173" s="9">
        <f>IF(A173="","",INT((DAY(A173)-1)/7)+1)</f>
        <v/>
      </c>
      <c r="C173" s="9" t="n"/>
      <c r="D173" s="9" t="n"/>
      <c r="E173" s="9" t="n"/>
      <c r="F173" s="9" t="n"/>
      <c r="G173" s="9" t="n"/>
      <c r="H173" s="9" t="n"/>
      <c r="I173" s="9" t="n"/>
      <c r="J173" s="3" t="n"/>
      <c r="K173" s="9" t="n"/>
    </row>
    <row r="174">
      <c r="A174" s="4" t="n"/>
      <c r="B174" s="9">
        <f>IF(A174="","",INT((DAY(A174)-1)/7)+1)</f>
        <v/>
      </c>
      <c r="C174" s="9" t="n"/>
      <c r="D174" s="9" t="n"/>
      <c r="E174" s="9" t="n"/>
      <c r="F174" s="9" t="n"/>
      <c r="G174" s="9" t="n"/>
      <c r="H174" s="9" t="n"/>
      <c r="I174" s="9" t="n"/>
      <c r="J174" s="3" t="n"/>
      <c r="K174" s="9" t="n"/>
    </row>
    <row r="175">
      <c r="A175" s="4" t="n"/>
      <c r="B175" s="9">
        <f>IF(A175="","",INT((DAY(A175)-1)/7)+1)</f>
        <v/>
      </c>
      <c r="C175" s="9" t="n"/>
      <c r="D175" s="9" t="n"/>
      <c r="E175" s="9" t="n"/>
      <c r="F175" s="9" t="n"/>
      <c r="G175" s="9" t="n"/>
      <c r="H175" s="9" t="n"/>
      <c r="I175" s="9" t="n"/>
      <c r="J175" s="3" t="n"/>
      <c r="K175" s="9" t="n"/>
    </row>
    <row r="176">
      <c r="A176" s="4" t="n"/>
      <c r="B176" s="9">
        <f>IF(A176="","",INT((DAY(A176)-1)/7)+1)</f>
        <v/>
      </c>
      <c r="C176" s="9" t="n"/>
      <c r="D176" s="9" t="n"/>
      <c r="E176" s="9" t="n"/>
      <c r="F176" s="9" t="n"/>
      <c r="G176" s="9" t="n"/>
      <c r="H176" s="9" t="n"/>
      <c r="I176" s="9" t="n"/>
      <c r="J176" s="3" t="n"/>
      <c r="K176" s="9" t="n"/>
    </row>
    <row r="177">
      <c r="A177" s="4" t="n"/>
      <c r="B177" s="9">
        <f>IF(A177="","",INT((DAY(A177)-1)/7)+1)</f>
        <v/>
      </c>
      <c r="C177" s="9" t="n"/>
      <c r="D177" s="9" t="n"/>
      <c r="E177" s="9" t="n"/>
      <c r="F177" s="9" t="n"/>
      <c r="G177" s="9" t="n"/>
      <c r="H177" s="9" t="n"/>
      <c r="I177" s="9" t="n"/>
      <c r="J177" s="3" t="n"/>
      <c r="K177" s="9" t="n"/>
    </row>
    <row r="178">
      <c r="A178" s="4" t="n"/>
      <c r="B178" s="9">
        <f>IF(A178="","",INT((DAY(A178)-1)/7)+1)</f>
        <v/>
      </c>
      <c r="C178" s="9" t="n"/>
      <c r="D178" s="9" t="n"/>
      <c r="E178" s="9" t="n"/>
      <c r="F178" s="9" t="n"/>
      <c r="G178" s="9" t="n"/>
      <c r="H178" s="9" t="n"/>
      <c r="I178" s="9" t="n"/>
      <c r="J178" s="3" t="n"/>
      <c r="K178" s="9" t="n"/>
    </row>
    <row r="179">
      <c r="A179" s="4" t="n"/>
      <c r="B179" s="9">
        <f>IF(A179="","",INT((DAY(A179)-1)/7)+1)</f>
        <v/>
      </c>
      <c r="C179" s="9" t="n"/>
      <c r="D179" s="9" t="n"/>
      <c r="E179" s="9" t="n"/>
      <c r="F179" s="9" t="n"/>
      <c r="G179" s="9" t="n"/>
      <c r="H179" s="9" t="n"/>
      <c r="I179" s="9" t="n"/>
      <c r="J179" s="3" t="n"/>
      <c r="K179" s="9" t="n"/>
    </row>
    <row r="180">
      <c r="A180" s="4" t="n"/>
      <c r="B180" s="9">
        <f>IF(A180="","",INT((DAY(A180)-1)/7)+1)</f>
        <v/>
      </c>
      <c r="C180" s="9" t="n"/>
      <c r="D180" s="9" t="n"/>
      <c r="E180" s="9" t="n"/>
      <c r="F180" s="9" t="n"/>
      <c r="G180" s="9" t="n"/>
      <c r="H180" s="9" t="n"/>
      <c r="I180" s="9" t="n"/>
      <c r="J180" s="3" t="n"/>
      <c r="K180" s="9" t="n"/>
    </row>
    <row r="181">
      <c r="A181" s="4" t="n"/>
      <c r="B181" s="9">
        <f>IF(A181="","",INT((DAY(A181)-1)/7)+1)</f>
        <v/>
      </c>
      <c r="C181" s="9" t="n"/>
      <c r="D181" s="9" t="n"/>
      <c r="E181" s="9" t="n"/>
      <c r="F181" s="9" t="n"/>
      <c r="G181" s="9" t="n"/>
      <c r="H181" s="9" t="n"/>
      <c r="I181" s="9" t="n"/>
      <c r="J181" s="3" t="n"/>
      <c r="K181" s="9" t="n"/>
    </row>
    <row r="182">
      <c r="A182" s="4" t="n"/>
      <c r="B182" s="9">
        <f>IF(A182="","",INT((DAY(A182)-1)/7)+1)</f>
        <v/>
      </c>
      <c r="C182" s="9" t="n"/>
      <c r="D182" s="9" t="n"/>
      <c r="E182" s="9" t="n"/>
      <c r="F182" s="9" t="n"/>
      <c r="G182" s="9" t="n"/>
      <c r="H182" s="9" t="n"/>
      <c r="I182" s="9" t="n"/>
      <c r="J182" s="3" t="n"/>
      <c r="K182" s="9" t="n"/>
    </row>
    <row r="183">
      <c r="A183" s="4" t="n"/>
      <c r="B183" s="9">
        <f>IF(A183="","",INT((DAY(A183)-1)/7)+1)</f>
        <v/>
      </c>
      <c r="C183" s="9" t="n"/>
      <c r="D183" s="9" t="n"/>
      <c r="E183" s="9" t="n"/>
      <c r="F183" s="9" t="n"/>
      <c r="G183" s="9" t="n"/>
      <c r="H183" s="9" t="n"/>
      <c r="I183" s="9" t="n"/>
      <c r="J183" s="3" t="n"/>
      <c r="K183" s="9" t="n"/>
    </row>
    <row r="184">
      <c r="A184" s="4" t="n"/>
      <c r="B184" s="9">
        <f>IF(A184="","",INT((DAY(A184)-1)/7)+1)</f>
        <v/>
      </c>
      <c r="C184" s="9" t="n"/>
      <c r="D184" s="9" t="n"/>
      <c r="E184" s="9" t="n"/>
      <c r="F184" s="9" t="n"/>
      <c r="G184" s="9" t="n"/>
      <c r="H184" s="9" t="n"/>
      <c r="I184" s="9" t="n"/>
      <c r="J184" s="3" t="n"/>
      <c r="K184" s="9" t="n"/>
    </row>
    <row r="185">
      <c r="A185" s="4" t="n"/>
      <c r="B185" s="9">
        <f>IF(A185="","",INT((DAY(A185)-1)/7)+1)</f>
        <v/>
      </c>
      <c r="C185" s="9" t="n"/>
      <c r="D185" s="9" t="n"/>
      <c r="E185" s="9" t="n"/>
      <c r="F185" s="9" t="n"/>
      <c r="G185" s="9" t="n"/>
      <c r="H185" s="9" t="n"/>
      <c r="I185" s="9" t="n"/>
      <c r="J185" s="3" t="n"/>
      <c r="K185" s="9" t="n"/>
    </row>
    <row r="186">
      <c r="A186" s="4" t="n"/>
      <c r="B186" s="9">
        <f>IF(A186="","",INT((DAY(A186)-1)/7)+1)</f>
        <v/>
      </c>
      <c r="C186" s="9" t="n"/>
      <c r="D186" s="9" t="n"/>
      <c r="E186" s="9" t="n"/>
      <c r="F186" s="9" t="n"/>
      <c r="G186" s="9" t="n"/>
      <c r="H186" s="9" t="n"/>
      <c r="I186" s="9" t="n"/>
      <c r="J186" s="3" t="n"/>
      <c r="K186" s="9" t="n"/>
    </row>
    <row r="187">
      <c r="A187" s="4" t="n"/>
      <c r="B187" s="9">
        <f>IF(A187="","",INT((DAY(A187)-1)/7)+1)</f>
        <v/>
      </c>
      <c r="C187" s="9" t="n"/>
      <c r="D187" s="9" t="n"/>
      <c r="E187" s="9" t="n"/>
      <c r="F187" s="9" t="n"/>
      <c r="G187" s="9" t="n"/>
      <c r="H187" s="9" t="n"/>
      <c r="I187" s="9" t="n"/>
      <c r="J187" s="3" t="n"/>
      <c r="K187" s="9" t="n"/>
    </row>
    <row r="188">
      <c r="A188" s="4" t="n"/>
      <c r="B188" s="9">
        <f>IF(A188="","",INT((DAY(A188)-1)/7)+1)</f>
        <v/>
      </c>
      <c r="C188" s="9" t="n"/>
      <c r="D188" s="9" t="n"/>
      <c r="E188" s="9" t="n"/>
      <c r="F188" s="9" t="n"/>
      <c r="G188" s="9" t="n"/>
      <c r="H188" s="9" t="n"/>
      <c r="I188" s="9" t="n"/>
      <c r="J188" s="3" t="n"/>
      <c r="K188" s="9" t="n"/>
    </row>
    <row r="189">
      <c r="A189" s="4" t="n"/>
      <c r="B189" s="9">
        <f>IF(A189="","",INT((DAY(A189)-1)/7)+1)</f>
        <v/>
      </c>
      <c r="C189" s="9" t="n"/>
      <c r="D189" s="9" t="n"/>
      <c r="E189" s="9" t="n"/>
      <c r="F189" s="9" t="n"/>
      <c r="G189" s="9" t="n"/>
      <c r="H189" s="9" t="n"/>
      <c r="I189" s="9" t="n"/>
      <c r="J189" s="3" t="n"/>
      <c r="K189" s="9" t="n"/>
    </row>
    <row r="190">
      <c r="A190" s="4" t="n"/>
      <c r="B190" s="9">
        <f>IF(A190="","",INT((DAY(A190)-1)/7)+1)</f>
        <v/>
      </c>
      <c r="C190" s="9" t="n"/>
      <c r="D190" s="9" t="n"/>
      <c r="E190" s="9" t="n"/>
      <c r="F190" s="9" t="n"/>
      <c r="G190" s="9" t="n"/>
      <c r="H190" s="9" t="n"/>
      <c r="I190" s="9" t="n"/>
      <c r="J190" s="3" t="n"/>
      <c r="K190" s="9" t="n"/>
    </row>
    <row r="191">
      <c r="A191" s="4" t="n"/>
      <c r="B191" s="9">
        <f>IF(A191="","",INT((DAY(A191)-1)/7)+1)</f>
        <v/>
      </c>
      <c r="C191" s="9" t="n"/>
      <c r="D191" s="9" t="n"/>
      <c r="E191" s="9" t="n"/>
      <c r="F191" s="9" t="n"/>
      <c r="G191" s="9" t="n"/>
      <c r="H191" s="9" t="n"/>
      <c r="I191" s="9" t="n"/>
      <c r="J191" s="3" t="n"/>
      <c r="K191" s="9" t="n"/>
    </row>
    <row r="192">
      <c r="A192" s="4" t="n"/>
      <c r="B192" s="9">
        <f>IF(A192="","",INT((DAY(A192)-1)/7)+1)</f>
        <v/>
      </c>
      <c r="C192" s="9" t="n"/>
      <c r="D192" s="9" t="n"/>
      <c r="E192" s="9" t="n"/>
      <c r="F192" s="9" t="n"/>
      <c r="G192" s="9" t="n"/>
      <c r="H192" s="9" t="n"/>
      <c r="I192" s="9" t="n"/>
      <c r="J192" s="3" t="n"/>
      <c r="K192" s="9" t="n"/>
    </row>
    <row r="193">
      <c r="A193" s="4" t="n"/>
      <c r="B193" s="9">
        <f>IF(A193="","",INT((DAY(A193)-1)/7)+1)</f>
        <v/>
      </c>
      <c r="C193" s="9" t="n"/>
      <c r="D193" s="9" t="n"/>
      <c r="E193" s="9" t="n"/>
      <c r="F193" s="9" t="n"/>
      <c r="G193" s="9" t="n"/>
      <c r="H193" s="9" t="n"/>
      <c r="I193" s="9" t="n"/>
      <c r="J193" s="3" t="n"/>
      <c r="K193" s="9" t="n"/>
    </row>
    <row r="194">
      <c r="A194" s="4" t="n"/>
      <c r="B194" s="9">
        <f>IF(A194="","",INT((DAY(A194)-1)/7)+1)</f>
        <v/>
      </c>
      <c r="C194" s="9" t="n"/>
      <c r="D194" s="9" t="n"/>
      <c r="E194" s="9" t="n"/>
      <c r="F194" s="9" t="n"/>
      <c r="G194" s="9" t="n"/>
      <c r="H194" s="9" t="n"/>
      <c r="I194" s="9" t="n"/>
      <c r="J194" s="3" t="n"/>
      <c r="K194" s="9" t="n"/>
    </row>
    <row r="195">
      <c r="A195" s="4" t="n"/>
      <c r="B195" s="9">
        <f>IF(A195="","",INT((DAY(A195)-1)/7)+1)</f>
        <v/>
      </c>
      <c r="C195" s="9" t="n"/>
      <c r="D195" s="9" t="n"/>
      <c r="E195" s="9" t="n"/>
      <c r="F195" s="9" t="n"/>
      <c r="G195" s="9" t="n"/>
      <c r="H195" s="9" t="n"/>
      <c r="I195" s="9" t="n"/>
      <c r="J195" s="3" t="n"/>
      <c r="K195" s="9" t="n"/>
    </row>
    <row r="196">
      <c r="A196" s="4" t="n"/>
      <c r="B196" s="9">
        <f>IF(A196="","",INT((DAY(A196)-1)/7)+1)</f>
        <v/>
      </c>
      <c r="C196" s="9" t="n"/>
      <c r="D196" s="9" t="n"/>
      <c r="E196" s="9" t="n"/>
      <c r="F196" s="9" t="n"/>
      <c r="G196" s="9" t="n"/>
      <c r="H196" s="9" t="n"/>
      <c r="I196" s="9" t="n"/>
      <c r="J196" s="3" t="n"/>
      <c r="K196" s="9" t="n"/>
    </row>
    <row r="197">
      <c r="A197" s="4" t="n"/>
      <c r="B197" s="9">
        <f>IF(A197="","",INT((DAY(A197)-1)/7)+1)</f>
        <v/>
      </c>
      <c r="C197" s="9" t="n"/>
      <c r="D197" s="9" t="n"/>
      <c r="E197" s="9" t="n"/>
      <c r="F197" s="9" t="n"/>
      <c r="G197" s="9" t="n"/>
      <c r="H197" s="9" t="n"/>
      <c r="I197" s="9" t="n"/>
      <c r="J197" s="3" t="n"/>
      <c r="K197" s="9" t="n"/>
    </row>
    <row r="198">
      <c r="A198" s="4" t="n"/>
      <c r="B198" s="9">
        <f>IF(A198="","",INT((DAY(A198)-1)/7)+1)</f>
        <v/>
      </c>
      <c r="C198" s="9" t="n"/>
      <c r="D198" s="9" t="n"/>
      <c r="E198" s="9" t="n"/>
      <c r="F198" s="9" t="n"/>
      <c r="G198" s="9" t="n"/>
      <c r="H198" s="9" t="n"/>
      <c r="I198" s="9" t="n"/>
      <c r="J198" s="3" t="n"/>
      <c r="K198" s="9" t="n"/>
    </row>
    <row r="199">
      <c r="A199" s="4" t="n"/>
      <c r="B199" s="9">
        <f>IF(A199="","",INT((DAY(A199)-1)/7)+1)</f>
        <v/>
      </c>
      <c r="C199" s="9" t="n"/>
      <c r="D199" s="9" t="n"/>
      <c r="E199" s="9" t="n"/>
      <c r="F199" s="9" t="n"/>
      <c r="G199" s="9" t="n"/>
      <c r="H199" s="9" t="n"/>
      <c r="I199" s="9" t="n"/>
      <c r="J199" s="3" t="n"/>
      <c r="K199" s="9" t="n"/>
    </row>
    <row r="200">
      <c r="A200" s="4" t="n"/>
      <c r="B200" s="9">
        <f>IF(A200="","",INT((DAY(A200)-1)/7)+1)</f>
        <v/>
      </c>
      <c r="C200" s="9" t="n"/>
      <c r="D200" s="9" t="n"/>
      <c r="E200" s="9" t="n"/>
      <c r="F200" s="9" t="n"/>
      <c r="G200" s="9" t="n"/>
      <c r="H200" s="9" t="n"/>
      <c r="I200" s="9" t="n"/>
      <c r="J200" s="3" t="n"/>
      <c r="K200" s="9" t="n"/>
    </row>
    <row r="201">
      <c r="A201" s="4" t="n"/>
      <c r="B201" s="9">
        <f>IF(A201="","",INT((DAY(A201)-1)/7)+1)</f>
        <v/>
      </c>
      <c r="C201" s="9" t="n"/>
      <c r="D201" s="9" t="n"/>
      <c r="E201" s="9" t="n"/>
      <c r="F201" s="9" t="n"/>
      <c r="G201" s="9" t="n"/>
      <c r="H201" s="9" t="n"/>
      <c r="I201" s="9" t="n"/>
      <c r="J201" s="3" t="n"/>
      <c r="K201" s="9" t="n"/>
    </row>
    <row r="202">
      <c r="A202" s="4" t="n"/>
      <c r="B202" s="9">
        <f>IF(A202="","",INT((DAY(A202)-1)/7)+1)</f>
        <v/>
      </c>
      <c r="C202" s="9" t="n"/>
      <c r="D202" s="9" t="n"/>
      <c r="E202" s="9" t="n"/>
      <c r="F202" s="9" t="n"/>
      <c r="G202" s="9" t="n"/>
      <c r="H202" s="9" t="n"/>
      <c r="I202" s="9" t="n"/>
      <c r="J202" s="3" t="n"/>
      <c r="K202" s="9" t="n"/>
    </row>
    <row r="203">
      <c r="A203" s="4" t="n"/>
      <c r="B203" s="9">
        <f>IF(A203="","",INT((DAY(A203)-1)/7)+1)</f>
        <v/>
      </c>
      <c r="C203" s="9" t="n"/>
      <c r="D203" s="9" t="n"/>
      <c r="E203" s="9" t="n"/>
      <c r="F203" s="9" t="n"/>
      <c r="G203" s="9" t="n"/>
      <c r="H203" s="9" t="n"/>
      <c r="I203" s="9" t="n"/>
      <c r="J203" s="3" t="n"/>
      <c r="K203" s="9" t="n"/>
    </row>
    <row r="204">
      <c r="A204" s="4" t="n"/>
      <c r="B204" s="9">
        <f>IF(A204="","",INT((DAY(A204)-1)/7)+1)</f>
        <v/>
      </c>
      <c r="C204" s="9" t="n"/>
      <c r="D204" s="9" t="n"/>
      <c r="E204" s="9" t="n"/>
      <c r="F204" s="9" t="n"/>
      <c r="G204" s="9" t="n"/>
      <c r="H204" s="9" t="n"/>
      <c r="I204" s="9" t="n"/>
      <c r="J204" s="3" t="n"/>
      <c r="K204" s="9" t="n"/>
    </row>
    <row r="205">
      <c r="A205" s="4" t="n"/>
      <c r="B205" s="9">
        <f>IF(A205="","",INT((DAY(A205)-1)/7)+1)</f>
        <v/>
      </c>
      <c r="C205" s="9" t="n"/>
      <c r="D205" s="9" t="n"/>
      <c r="E205" s="9" t="n"/>
      <c r="F205" s="9" t="n"/>
      <c r="G205" s="9" t="n"/>
      <c r="H205" s="9" t="n"/>
      <c r="I205" s="9" t="n"/>
      <c r="J205" s="3" t="n"/>
      <c r="K205" s="9" t="n"/>
    </row>
    <row r="206">
      <c r="A206" s="4" t="n"/>
      <c r="B206" s="9">
        <f>IF(A206="","",INT((DAY(A206)-1)/7)+1)</f>
        <v/>
      </c>
      <c r="C206" s="9" t="n"/>
      <c r="D206" s="9" t="n"/>
      <c r="E206" s="9" t="n"/>
      <c r="F206" s="9" t="n"/>
      <c r="G206" s="9" t="n"/>
      <c r="H206" s="9" t="n"/>
      <c r="I206" s="9" t="n"/>
      <c r="J206" s="3" t="n"/>
      <c r="K206" s="9" t="n"/>
    </row>
    <row r="207">
      <c r="A207" s="4" t="n"/>
      <c r="B207" s="9">
        <f>IF(A207="","",INT((DAY(A207)-1)/7)+1)</f>
        <v/>
      </c>
      <c r="C207" s="9" t="n"/>
      <c r="D207" s="9" t="n"/>
      <c r="E207" s="9" t="n"/>
      <c r="F207" s="9" t="n"/>
      <c r="G207" s="9" t="n"/>
      <c r="H207" s="9" t="n"/>
      <c r="I207" s="9" t="n"/>
      <c r="J207" s="3" t="n"/>
      <c r="K207" s="9" t="n"/>
    </row>
    <row r="208">
      <c r="A208" s="4" t="n"/>
      <c r="B208" s="9">
        <f>IF(A208="","",INT((DAY(A208)-1)/7)+1)</f>
        <v/>
      </c>
      <c r="C208" s="9" t="n"/>
      <c r="D208" s="9" t="n"/>
      <c r="E208" s="9" t="n"/>
      <c r="F208" s="9" t="n"/>
      <c r="G208" s="9" t="n"/>
      <c r="H208" s="9" t="n"/>
      <c r="I208" s="9" t="n"/>
      <c r="J208" s="3" t="n"/>
      <c r="K208" s="9" t="n"/>
    </row>
    <row r="209">
      <c r="A209" s="4" t="n"/>
      <c r="B209" s="9">
        <f>IF(A209="","",INT((DAY(A209)-1)/7)+1)</f>
        <v/>
      </c>
      <c r="C209" s="9" t="n"/>
      <c r="D209" s="9" t="n"/>
      <c r="E209" s="9" t="n"/>
      <c r="F209" s="9" t="n"/>
      <c r="G209" s="9" t="n"/>
      <c r="H209" s="9" t="n"/>
      <c r="I209" s="9" t="n"/>
      <c r="J209" s="3" t="n"/>
      <c r="K209" s="9" t="n"/>
    </row>
    <row r="210">
      <c r="A210" s="4" t="n"/>
      <c r="B210" s="9">
        <f>IF(A210="","",INT((DAY(A210)-1)/7)+1)</f>
        <v/>
      </c>
      <c r="C210" s="9" t="n"/>
      <c r="D210" s="9" t="n"/>
      <c r="E210" s="9" t="n"/>
      <c r="F210" s="9" t="n"/>
      <c r="G210" s="9" t="n"/>
      <c r="H210" s="9" t="n"/>
      <c r="I210" s="9" t="n"/>
      <c r="J210" s="3" t="n"/>
      <c r="K210" s="9" t="n"/>
    </row>
    <row r="211">
      <c r="A211" s="4" t="n"/>
      <c r="B211" s="9">
        <f>IF(A211="","",INT((DAY(A211)-1)/7)+1)</f>
        <v/>
      </c>
      <c r="C211" s="9" t="n"/>
      <c r="D211" s="9" t="n"/>
      <c r="E211" s="9" t="n"/>
      <c r="F211" s="9" t="n"/>
      <c r="G211" s="9" t="n"/>
      <c r="H211" s="9" t="n"/>
      <c r="I211" s="9" t="n"/>
      <c r="J211" s="3" t="n"/>
      <c r="K211" s="9" t="n"/>
    </row>
    <row r="212">
      <c r="A212" s="4" t="n"/>
      <c r="B212" s="9">
        <f>IF(A212="","",INT((DAY(A212)-1)/7)+1)</f>
        <v/>
      </c>
      <c r="C212" s="9" t="n"/>
      <c r="D212" s="9" t="n"/>
      <c r="E212" s="9" t="n"/>
      <c r="F212" s="9" t="n"/>
      <c r="G212" s="9" t="n"/>
      <c r="H212" s="9" t="n"/>
      <c r="I212" s="9" t="n"/>
      <c r="J212" s="3" t="n"/>
      <c r="K212" s="9" t="n"/>
    </row>
    <row r="213">
      <c r="A213" s="4" t="n"/>
      <c r="B213" s="9">
        <f>IF(A213="","",INT((DAY(A213)-1)/7)+1)</f>
        <v/>
      </c>
      <c r="C213" s="9" t="n"/>
      <c r="D213" s="9" t="n"/>
      <c r="E213" s="9" t="n"/>
      <c r="F213" s="9" t="n"/>
      <c r="G213" s="9" t="n"/>
      <c r="H213" s="9" t="n"/>
      <c r="I213" s="9" t="n"/>
      <c r="J213" s="3" t="n"/>
      <c r="K213" s="9" t="n"/>
    </row>
    <row r="214">
      <c r="A214" s="4" t="n"/>
      <c r="B214" s="9">
        <f>IF(A214="","",INT((DAY(A214)-1)/7)+1)</f>
        <v/>
      </c>
      <c r="C214" s="9" t="n"/>
      <c r="D214" s="9" t="n"/>
      <c r="E214" s="9" t="n"/>
      <c r="F214" s="9" t="n"/>
      <c r="G214" s="9" t="n"/>
      <c r="H214" s="9" t="n"/>
      <c r="I214" s="9" t="n"/>
      <c r="J214" s="3" t="n"/>
      <c r="K214" s="9" t="n"/>
    </row>
    <row r="215">
      <c r="A215" s="4" t="n"/>
      <c r="B215" s="9">
        <f>IF(A215="","",INT((DAY(A215)-1)/7)+1)</f>
        <v/>
      </c>
      <c r="C215" s="9" t="n"/>
      <c r="D215" s="9" t="n"/>
      <c r="E215" s="9" t="n"/>
      <c r="F215" s="9" t="n"/>
      <c r="G215" s="9" t="n"/>
      <c r="H215" s="9" t="n"/>
      <c r="I215" s="9" t="n"/>
      <c r="J215" s="3" t="n"/>
      <c r="K215" s="9" t="n"/>
    </row>
    <row r="216">
      <c r="A216" s="4" t="n"/>
      <c r="B216" s="9">
        <f>IF(A216="","",INT((DAY(A216)-1)/7)+1)</f>
        <v/>
      </c>
      <c r="C216" s="9" t="n"/>
      <c r="D216" s="9" t="n"/>
      <c r="E216" s="9" t="n"/>
      <c r="F216" s="9" t="n"/>
      <c r="G216" s="9" t="n"/>
      <c r="H216" s="9" t="n"/>
      <c r="I216" s="9" t="n"/>
      <c r="J216" s="3" t="n"/>
      <c r="K216" s="9" t="n"/>
    </row>
    <row r="217">
      <c r="A217" s="4" t="n"/>
      <c r="B217" s="9">
        <f>IF(A217="","",INT((DAY(A217)-1)/7)+1)</f>
        <v/>
      </c>
      <c r="C217" s="9" t="n"/>
      <c r="D217" s="9" t="n"/>
      <c r="E217" s="9" t="n"/>
      <c r="F217" s="9" t="n"/>
      <c r="G217" s="9" t="n"/>
      <c r="H217" s="9" t="n"/>
      <c r="I217" s="9" t="n"/>
      <c r="J217" s="3" t="n"/>
      <c r="K217" s="9" t="n"/>
    </row>
    <row r="218">
      <c r="A218" s="4" t="n"/>
      <c r="B218" s="9">
        <f>IF(A218="","",INT((DAY(A218)-1)/7)+1)</f>
        <v/>
      </c>
      <c r="C218" s="9" t="n"/>
      <c r="D218" s="9" t="n"/>
      <c r="E218" s="9" t="n"/>
      <c r="F218" s="9" t="n"/>
      <c r="G218" s="9" t="n"/>
      <c r="H218" s="9" t="n"/>
      <c r="I218" s="9" t="n"/>
      <c r="J218" s="3" t="n"/>
      <c r="K218" s="9" t="n"/>
    </row>
    <row r="219">
      <c r="A219" s="4" t="n"/>
      <c r="B219" s="9">
        <f>IF(A219="","",INT((DAY(A219)-1)/7)+1)</f>
        <v/>
      </c>
      <c r="C219" s="9" t="n"/>
      <c r="D219" s="9" t="n"/>
      <c r="E219" s="9" t="n"/>
      <c r="F219" s="9" t="n"/>
      <c r="G219" s="9" t="n"/>
      <c r="H219" s="9" t="n"/>
      <c r="I219" s="9" t="n"/>
      <c r="J219" s="3" t="n"/>
      <c r="K219" s="9" t="n"/>
    </row>
    <row r="220">
      <c r="A220" s="4" t="n"/>
      <c r="B220" s="9">
        <f>IF(A220="","",INT((DAY(A220)-1)/7)+1)</f>
        <v/>
      </c>
      <c r="C220" s="9" t="n"/>
      <c r="D220" s="9" t="n"/>
      <c r="E220" s="9" t="n"/>
      <c r="F220" s="9" t="n"/>
      <c r="G220" s="9" t="n"/>
      <c r="H220" s="9" t="n"/>
      <c r="I220" s="9" t="n"/>
      <c r="J220" s="3" t="n"/>
      <c r="K220" s="9" t="n"/>
    </row>
    <row r="221">
      <c r="A221" s="4" t="n"/>
      <c r="B221" s="9">
        <f>IF(A221="","",INT((DAY(A221)-1)/7)+1)</f>
        <v/>
      </c>
      <c r="C221" s="9" t="n"/>
      <c r="D221" s="9" t="n"/>
      <c r="E221" s="9" t="n"/>
      <c r="F221" s="9" t="n"/>
      <c r="G221" s="9" t="n"/>
      <c r="H221" s="9" t="n"/>
      <c r="I221" s="9" t="n"/>
      <c r="J221" s="3" t="n"/>
      <c r="K221" s="9" t="n"/>
    </row>
    <row r="222">
      <c r="A222" s="4" t="n"/>
      <c r="B222" s="9">
        <f>IF(A222="","",INT((DAY(A222)-1)/7)+1)</f>
        <v/>
      </c>
      <c r="C222" s="9" t="n"/>
      <c r="D222" s="9" t="n"/>
      <c r="E222" s="9" t="n"/>
      <c r="F222" s="9" t="n"/>
      <c r="G222" s="9" t="n"/>
      <c r="H222" s="9" t="n"/>
      <c r="I222" s="9" t="n"/>
      <c r="J222" s="3" t="n"/>
      <c r="K222" s="9" t="n"/>
    </row>
    <row r="223">
      <c r="A223" s="4" t="n"/>
      <c r="B223" s="9">
        <f>IF(A223="","",INT((DAY(A223)-1)/7)+1)</f>
        <v/>
      </c>
      <c r="C223" s="9" t="n"/>
      <c r="D223" s="9" t="n"/>
      <c r="E223" s="9" t="n"/>
      <c r="F223" s="9" t="n"/>
      <c r="G223" s="9" t="n"/>
      <c r="H223" s="9" t="n"/>
      <c r="I223" s="9" t="n"/>
      <c r="J223" s="3" t="n"/>
      <c r="K223" s="9" t="n"/>
    </row>
    <row r="224">
      <c r="A224" s="4" t="n"/>
      <c r="B224" s="9">
        <f>IF(A224="","",INT((DAY(A224)-1)/7)+1)</f>
        <v/>
      </c>
      <c r="C224" s="9" t="n"/>
      <c r="D224" s="9" t="n"/>
      <c r="E224" s="9" t="n"/>
      <c r="F224" s="9" t="n"/>
      <c r="G224" s="9" t="n"/>
      <c r="H224" s="9" t="n"/>
      <c r="I224" s="9" t="n"/>
      <c r="J224" s="3" t="n"/>
      <c r="K224" s="9" t="n"/>
    </row>
    <row r="225">
      <c r="A225" s="4" t="n"/>
      <c r="B225" s="9">
        <f>IF(A225="","",INT((DAY(A225)-1)/7)+1)</f>
        <v/>
      </c>
      <c r="C225" s="9" t="n"/>
      <c r="D225" s="9" t="n"/>
      <c r="E225" s="9" t="n"/>
      <c r="F225" s="9" t="n"/>
      <c r="G225" s="9" t="n"/>
      <c r="H225" s="9" t="n"/>
      <c r="I225" s="9" t="n"/>
      <c r="J225" s="3" t="n"/>
      <c r="K225" s="9" t="n"/>
    </row>
    <row r="226">
      <c r="A226" s="4" t="n"/>
      <c r="B226" s="9">
        <f>IF(A226="","",INT((DAY(A226)-1)/7)+1)</f>
        <v/>
      </c>
      <c r="C226" s="9" t="n"/>
      <c r="D226" s="9" t="n"/>
      <c r="E226" s="9" t="n"/>
      <c r="F226" s="9" t="n"/>
      <c r="G226" s="9" t="n"/>
      <c r="H226" s="9" t="n"/>
      <c r="I226" s="9" t="n"/>
      <c r="J226" s="3" t="n"/>
      <c r="K226" s="9" t="n"/>
    </row>
    <row r="227">
      <c r="A227" s="4" t="n"/>
      <c r="B227" s="9">
        <f>IF(A227="","",INT((DAY(A227)-1)/7)+1)</f>
        <v/>
      </c>
      <c r="C227" s="9" t="n"/>
      <c r="D227" s="9" t="n"/>
      <c r="E227" s="9" t="n"/>
      <c r="F227" s="9" t="n"/>
      <c r="G227" s="9" t="n"/>
      <c r="H227" s="9" t="n"/>
      <c r="I227" s="9" t="n"/>
      <c r="J227" s="3" t="n"/>
      <c r="K227" s="9" t="n"/>
    </row>
    <row r="228">
      <c r="A228" s="4" t="n"/>
      <c r="B228" s="9">
        <f>IF(A228="","",INT((DAY(A228)-1)/7)+1)</f>
        <v/>
      </c>
      <c r="C228" s="9" t="n"/>
      <c r="D228" s="9" t="n"/>
      <c r="E228" s="9" t="n"/>
      <c r="F228" s="9" t="n"/>
      <c r="G228" s="9" t="n"/>
      <c r="H228" s="9" t="n"/>
      <c r="I228" s="9" t="n"/>
      <c r="J228" s="3" t="n"/>
      <c r="K228" s="9" t="n"/>
    </row>
    <row r="229">
      <c r="A229" s="4" t="n"/>
      <c r="B229" s="9">
        <f>IF(A229="","",INT((DAY(A229)-1)/7)+1)</f>
        <v/>
      </c>
      <c r="C229" s="9" t="n"/>
      <c r="D229" s="9" t="n"/>
      <c r="E229" s="9" t="n"/>
      <c r="F229" s="9" t="n"/>
      <c r="G229" s="9" t="n"/>
      <c r="H229" s="9" t="n"/>
      <c r="I229" s="9" t="n"/>
      <c r="J229" s="3" t="n"/>
      <c r="K229" s="9" t="n"/>
    </row>
    <row r="230">
      <c r="A230" s="4" t="n"/>
      <c r="B230" s="9">
        <f>IF(A230="","",INT((DAY(A230)-1)/7)+1)</f>
        <v/>
      </c>
      <c r="C230" s="9" t="n"/>
      <c r="D230" s="9" t="n"/>
      <c r="E230" s="9" t="n"/>
      <c r="F230" s="9" t="n"/>
      <c r="G230" s="9" t="n"/>
      <c r="H230" s="9" t="n"/>
      <c r="I230" s="9" t="n"/>
      <c r="J230" s="3" t="n"/>
      <c r="K230" s="9" t="n"/>
    </row>
    <row r="231">
      <c r="A231" s="4" t="n"/>
      <c r="B231" s="9">
        <f>IF(A231="","",INT((DAY(A231)-1)/7)+1)</f>
        <v/>
      </c>
      <c r="C231" s="9" t="n"/>
      <c r="D231" s="9" t="n"/>
      <c r="E231" s="9" t="n"/>
      <c r="F231" s="9" t="n"/>
      <c r="G231" s="9" t="n"/>
      <c r="H231" s="9" t="n"/>
      <c r="I231" s="9" t="n"/>
      <c r="J231" s="3" t="n"/>
      <c r="K231" s="9" t="n"/>
    </row>
    <row r="232">
      <c r="A232" s="4" t="n"/>
      <c r="B232" s="9">
        <f>IF(A232="","",INT((DAY(A232)-1)/7)+1)</f>
        <v/>
      </c>
      <c r="C232" s="9" t="n"/>
      <c r="D232" s="9" t="n"/>
      <c r="E232" s="9" t="n"/>
      <c r="F232" s="9" t="n"/>
      <c r="G232" s="9" t="n"/>
      <c r="H232" s="9" t="n"/>
      <c r="I232" s="9" t="n"/>
      <c r="J232" s="3" t="n"/>
      <c r="K232" s="9" t="n"/>
    </row>
    <row r="233">
      <c r="A233" s="4" t="n"/>
      <c r="B233" s="9">
        <f>IF(A233="","",INT((DAY(A233)-1)/7)+1)</f>
        <v/>
      </c>
      <c r="C233" s="9" t="n"/>
      <c r="D233" s="9" t="n"/>
      <c r="E233" s="9" t="n"/>
      <c r="F233" s="9" t="n"/>
      <c r="G233" s="9" t="n"/>
      <c r="H233" s="9" t="n"/>
      <c r="I233" s="9" t="n"/>
      <c r="J233" s="3" t="n"/>
      <c r="K233" s="9" t="n"/>
    </row>
    <row r="234">
      <c r="A234" s="4" t="n"/>
      <c r="B234" s="9">
        <f>IF(A234="","",INT((DAY(A234)-1)/7)+1)</f>
        <v/>
      </c>
      <c r="C234" s="9" t="n"/>
      <c r="D234" s="9" t="n"/>
      <c r="E234" s="9" t="n"/>
      <c r="F234" s="9" t="n"/>
      <c r="G234" s="9" t="n"/>
      <c r="H234" s="9" t="n"/>
      <c r="I234" s="9" t="n"/>
      <c r="J234" s="3" t="n"/>
      <c r="K234" s="9" t="n"/>
    </row>
    <row r="235">
      <c r="A235" s="4" t="n"/>
      <c r="B235" s="9">
        <f>IF(A235="","",INT((DAY(A235)-1)/7)+1)</f>
        <v/>
      </c>
      <c r="C235" s="9" t="n"/>
      <c r="D235" s="9" t="n"/>
      <c r="E235" s="9" t="n"/>
      <c r="F235" s="9" t="n"/>
      <c r="G235" s="9" t="n"/>
      <c r="H235" s="9" t="n"/>
      <c r="I235" s="9" t="n"/>
      <c r="J235" s="3" t="n"/>
      <c r="K235" s="9" t="n"/>
    </row>
    <row r="236">
      <c r="A236" s="4" t="n"/>
      <c r="B236" s="9">
        <f>IF(A236="","",INT((DAY(A236)-1)/7)+1)</f>
        <v/>
      </c>
      <c r="C236" s="9" t="n"/>
      <c r="D236" s="9" t="n"/>
      <c r="E236" s="9" t="n"/>
      <c r="F236" s="9" t="n"/>
      <c r="G236" s="9" t="n"/>
      <c r="H236" s="9" t="n"/>
      <c r="I236" s="9" t="n"/>
      <c r="J236" s="3" t="n"/>
      <c r="K236" s="9" t="n"/>
    </row>
    <row r="237">
      <c r="A237" s="4" t="n"/>
      <c r="B237" s="9">
        <f>IF(A237="","",INT((DAY(A237)-1)/7)+1)</f>
        <v/>
      </c>
      <c r="C237" s="9" t="n"/>
      <c r="D237" s="9" t="n"/>
      <c r="E237" s="9" t="n"/>
      <c r="F237" s="9" t="n"/>
      <c r="G237" s="9" t="n"/>
      <c r="H237" s="9" t="n"/>
      <c r="I237" s="9" t="n"/>
      <c r="J237" s="3" t="n"/>
      <c r="K237" s="9" t="n"/>
    </row>
    <row r="238">
      <c r="A238" s="4" t="n"/>
      <c r="B238" s="9">
        <f>IF(A238="","",INT((DAY(A238)-1)/7)+1)</f>
        <v/>
      </c>
      <c r="C238" s="9" t="n"/>
      <c r="D238" s="9" t="n"/>
      <c r="E238" s="9" t="n"/>
      <c r="F238" s="9" t="n"/>
      <c r="G238" s="9" t="n"/>
      <c r="H238" s="9" t="n"/>
      <c r="I238" s="9" t="n"/>
      <c r="J238" s="3" t="n"/>
      <c r="K238" s="9" t="n"/>
    </row>
    <row r="239">
      <c r="A239" s="4" t="n"/>
      <c r="B239" s="9">
        <f>IF(A239="","",INT((DAY(A239)-1)/7)+1)</f>
        <v/>
      </c>
      <c r="C239" s="9" t="n"/>
      <c r="D239" s="9" t="n"/>
      <c r="E239" s="9" t="n"/>
      <c r="F239" s="9" t="n"/>
      <c r="G239" s="9" t="n"/>
      <c r="H239" s="9" t="n"/>
      <c r="I239" s="9" t="n"/>
      <c r="J239" s="3" t="n"/>
      <c r="K239" s="9" t="n"/>
    </row>
    <row r="240">
      <c r="A240" s="4" t="n"/>
      <c r="B240" s="9">
        <f>IF(A240="","",INT((DAY(A240)-1)/7)+1)</f>
        <v/>
      </c>
      <c r="C240" s="9" t="n"/>
      <c r="D240" s="9" t="n"/>
      <c r="E240" s="9" t="n"/>
      <c r="F240" s="9" t="n"/>
      <c r="G240" s="9" t="n"/>
      <c r="H240" s="9" t="n"/>
      <c r="I240" s="9" t="n"/>
      <c r="J240" s="3" t="n"/>
      <c r="K240" s="9" t="n"/>
    </row>
    <row r="241">
      <c r="A241" s="4" t="n"/>
      <c r="B241" s="9">
        <f>IF(A241="","",INT((DAY(A241)-1)/7)+1)</f>
        <v/>
      </c>
      <c r="C241" s="9" t="n"/>
      <c r="D241" s="9" t="n"/>
      <c r="E241" s="9" t="n"/>
      <c r="F241" s="9" t="n"/>
      <c r="G241" s="9" t="n"/>
      <c r="H241" s="9" t="n"/>
      <c r="I241" s="9" t="n"/>
      <c r="J241" s="3" t="n"/>
      <c r="K241" s="9" t="n"/>
    </row>
    <row r="242">
      <c r="A242" s="4" t="n"/>
      <c r="B242" s="9">
        <f>IF(A242="","",INT((DAY(A242)-1)/7)+1)</f>
        <v/>
      </c>
      <c r="C242" s="9" t="n"/>
      <c r="D242" s="9" t="n"/>
      <c r="E242" s="9" t="n"/>
      <c r="F242" s="9" t="n"/>
      <c r="G242" s="9" t="n"/>
      <c r="H242" s="9" t="n"/>
      <c r="I242" s="9" t="n"/>
      <c r="J242" s="3" t="n"/>
      <c r="K242" s="9" t="n"/>
    </row>
    <row r="243">
      <c r="A243" s="4" t="n"/>
      <c r="B243" s="9">
        <f>IF(A243="","",INT((DAY(A243)-1)/7)+1)</f>
        <v/>
      </c>
      <c r="C243" s="9" t="n"/>
      <c r="D243" s="9" t="n"/>
      <c r="E243" s="9" t="n"/>
      <c r="F243" s="9" t="n"/>
      <c r="G243" s="9" t="n"/>
      <c r="H243" s="9" t="n"/>
      <c r="I243" s="9" t="n"/>
      <c r="J243" s="3" t="n"/>
      <c r="K243" s="9" t="n"/>
    </row>
    <row r="244">
      <c r="A244" s="4" t="n"/>
      <c r="B244" s="9">
        <f>IF(A244="","",INT((DAY(A244)-1)/7)+1)</f>
        <v/>
      </c>
      <c r="C244" s="9" t="n"/>
      <c r="D244" s="9" t="n"/>
      <c r="E244" s="9" t="n"/>
      <c r="F244" s="9" t="n"/>
      <c r="G244" s="9" t="n"/>
      <c r="H244" s="9" t="n"/>
      <c r="I244" s="9" t="n"/>
      <c r="J244" s="3" t="n"/>
      <c r="K244" s="9" t="n"/>
    </row>
    <row r="245">
      <c r="A245" s="4" t="n"/>
      <c r="B245" s="9">
        <f>IF(A245="","",INT((DAY(A245)-1)/7)+1)</f>
        <v/>
      </c>
      <c r="C245" s="9" t="n"/>
      <c r="D245" s="9" t="n"/>
      <c r="E245" s="9" t="n"/>
      <c r="F245" s="9" t="n"/>
      <c r="G245" s="9" t="n"/>
      <c r="H245" s="9" t="n"/>
      <c r="I245" s="9" t="n"/>
      <c r="J245" s="3" t="n"/>
      <c r="K245" s="9" t="n"/>
    </row>
    <row r="246">
      <c r="A246" s="4" t="n"/>
      <c r="B246" s="9">
        <f>IF(A246="","",INT((DAY(A246)-1)/7)+1)</f>
        <v/>
      </c>
      <c r="C246" s="9" t="n"/>
      <c r="D246" s="9" t="n"/>
      <c r="E246" s="9" t="n"/>
      <c r="F246" s="9" t="n"/>
      <c r="G246" s="9" t="n"/>
      <c r="H246" s="9" t="n"/>
      <c r="I246" s="9" t="n"/>
      <c r="J246" s="3" t="n"/>
      <c r="K246" s="9" t="n"/>
    </row>
    <row r="247">
      <c r="A247" s="4" t="n"/>
      <c r="B247" s="9">
        <f>IF(A247="","",INT((DAY(A247)-1)/7)+1)</f>
        <v/>
      </c>
      <c r="C247" s="9" t="n"/>
      <c r="D247" s="9" t="n"/>
      <c r="E247" s="9" t="n"/>
      <c r="F247" s="9" t="n"/>
      <c r="G247" s="9" t="n"/>
      <c r="H247" s="9" t="n"/>
      <c r="I247" s="9" t="n"/>
      <c r="J247" s="3" t="n"/>
      <c r="K247" s="9" t="n"/>
    </row>
    <row r="248">
      <c r="A248" s="4" t="n"/>
      <c r="B248" s="9">
        <f>IF(A248="","",INT((DAY(A248)-1)/7)+1)</f>
        <v/>
      </c>
      <c r="C248" s="9" t="n"/>
      <c r="D248" s="9" t="n"/>
      <c r="E248" s="9" t="n"/>
      <c r="F248" s="9" t="n"/>
      <c r="G248" s="9" t="n"/>
      <c r="H248" s="9" t="n"/>
      <c r="I248" s="9" t="n"/>
      <c r="J248" s="3" t="n"/>
      <c r="K248" s="9" t="n"/>
    </row>
    <row r="249">
      <c r="A249" s="4" t="n"/>
      <c r="B249" s="9">
        <f>IF(A249="","",INT((DAY(A249)-1)/7)+1)</f>
        <v/>
      </c>
      <c r="C249" s="9" t="n"/>
      <c r="D249" s="9" t="n"/>
      <c r="E249" s="9" t="n"/>
      <c r="F249" s="9" t="n"/>
      <c r="G249" s="9" t="n"/>
      <c r="H249" s="9" t="n"/>
      <c r="I249" s="9" t="n"/>
      <c r="J249" s="3" t="n"/>
      <c r="K249" s="9" t="n"/>
    </row>
    <row r="250">
      <c r="A250" s="4" t="n"/>
      <c r="B250" s="9">
        <f>IF(A250="","",INT((DAY(A250)-1)/7)+1)</f>
        <v/>
      </c>
      <c r="C250" s="9" t="n"/>
      <c r="D250" s="9" t="n"/>
      <c r="E250" s="9" t="n"/>
      <c r="F250" s="9" t="n"/>
      <c r="G250" s="9" t="n"/>
      <c r="H250" s="9" t="n"/>
      <c r="I250" s="9" t="n"/>
      <c r="J250" s="3" t="n"/>
      <c r="K250" s="9" t="n"/>
    </row>
    <row r="251">
      <c r="A251" s="4" t="n"/>
      <c r="B251" s="9">
        <f>IF(A251="","",INT((DAY(A251)-1)/7)+1)</f>
        <v/>
      </c>
      <c r="C251" s="9" t="n"/>
      <c r="D251" s="9" t="n"/>
      <c r="E251" s="9" t="n"/>
      <c r="F251" s="9" t="n"/>
      <c r="G251" s="9" t="n"/>
      <c r="H251" s="9" t="n"/>
      <c r="I251" s="9" t="n"/>
      <c r="J251" s="3" t="n"/>
      <c r="K251" s="9" t="n"/>
    </row>
    <row r="252">
      <c r="A252" s="4" t="n"/>
      <c r="B252" s="9">
        <f>IF(A252="","",INT((DAY(A252)-1)/7)+1)</f>
        <v/>
      </c>
      <c r="C252" s="9" t="n"/>
      <c r="D252" s="9" t="n"/>
      <c r="E252" s="9" t="n"/>
      <c r="F252" s="9" t="n"/>
      <c r="G252" s="9" t="n"/>
      <c r="H252" s="9" t="n"/>
      <c r="I252" s="9" t="n"/>
      <c r="J252" s="3" t="n"/>
      <c r="K252" s="9" t="n"/>
    </row>
    <row r="253">
      <c r="A253" s="4" t="n"/>
      <c r="B253" s="9">
        <f>IF(A253="","",INT((DAY(A253)-1)/7)+1)</f>
        <v/>
      </c>
      <c r="C253" s="9" t="n"/>
      <c r="D253" s="9" t="n"/>
      <c r="E253" s="9" t="n"/>
      <c r="F253" s="9" t="n"/>
      <c r="G253" s="9" t="n"/>
      <c r="H253" s="9" t="n"/>
      <c r="I253" s="9" t="n"/>
      <c r="J253" s="3" t="n"/>
      <c r="K253" s="9" t="n"/>
    </row>
    <row r="254">
      <c r="A254" s="4" t="n"/>
      <c r="B254" s="9">
        <f>IF(A254="","",INT((DAY(A254)-1)/7)+1)</f>
        <v/>
      </c>
      <c r="C254" s="9" t="n"/>
      <c r="D254" s="9" t="n"/>
      <c r="E254" s="9" t="n"/>
      <c r="F254" s="9" t="n"/>
      <c r="G254" s="9" t="n"/>
      <c r="H254" s="9" t="n"/>
      <c r="I254" s="9" t="n"/>
      <c r="J254" s="3" t="n"/>
      <c r="K254" s="9" t="n"/>
    </row>
    <row r="255">
      <c r="A255" s="4" t="n"/>
      <c r="B255" s="9">
        <f>IF(A255="","",INT((DAY(A255)-1)/7)+1)</f>
        <v/>
      </c>
      <c r="C255" s="9" t="n"/>
      <c r="D255" s="9" t="n"/>
      <c r="E255" s="9" t="n"/>
      <c r="F255" s="9" t="n"/>
      <c r="G255" s="9" t="n"/>
      <c r="H255" s="9" t="n"/>
      <c r="I255" s="9" t="n"/>
      <c r="J255" s="3" t="n"/>
      <c r="K255" s="9" t="n"/>
    </row>
    <row r="256">
      <c r="A256" s="4" t="n"/>
      <c r="B256" s="9">
        <f>IF(A256="","",INT((DAY(A256)-1)/7)+1)</f>
        <v/>
      </c>
      <c r="C256" s="9" t="n"/>
      <c r="D256" s="9" t="n"/>
      <c r="E256" s="9" t="n"/>
      <c r="F256" s="9" t="n"/>
      <c r="G256" s="9" t="n"/>
      <c r="H256" s="9" t="n"/>
      <c r="I256" s="9" t="n"/>
      <c r="J256" s="3" t="n"/>
      <c r="K256" s="9" t="n"/>
    </row>
    <row r="257">
      <c r="A257" s="4" t="n"/>
      <c r="B257" s="9">
        <f>IF(A257="","",INT((DAY(A257)-1)/7)+1)</f>
        <v/>
      </c>
      <c r="C257" s="9" t="n"/>
      <c r="D257" s="9" t="n"/>
      <c r="E257" s="9" t="n"/>
      <c r="F257" s="9" t="n"/>
      <c r="G257" s="9" t="n"/>
      <c r="H257" s="9" t="n"/>
      <c r="I257" s="9" t="n"/>
      <c r="J257" s="3" t="n"/>
      <c r="K257" s="9" t="n"/>
    </row>
    <row r="258">
      <c r="A258" s="4" t="n"/>
      <c r="B258" s="9">
        <f>IF(A258="","",INT((DAY(A258)-1)/7)+1)</f>
        <v/>
      </c>
      <c r="C258" s="9" t="n"/>
      <c r="D258" s="9" t="n"/>
      <c r="E258" s="9" t="n"/>
      <c r="F258" s="9" t="n"/>
      <c r="G258" s="9" t="n"/>
      <c r="H258" s="9" t="n"/>
      <c r="I258" s="9" t="n"/>
      <c r="J258" s="3" t="n"/>
      <c r="K258" s="9" t="n"/>
    </row>
    <row r="259">
      <c r="A259" s="4" t="n"/>
      <c r="B259" s="9">
        <f>IF(A259="","",INT((DAY(A259)-1)/7)+1)</f>
        <v/>
      </c>
      <c r="C259" s="9" t="n"/>
      <c r="D259" s="9" t="n"/>
      <c r="E259" s="9" t="n"/>
      <c r="F259" s="9" t="n"/>
      <c r="G259" s="9" t="n"/>
      <c r="H259" s="9" t="n"/>
      <c r="I259" s="9" t="n"/>
      <c r="J259" s="3" t="n"/>
      <c r="K259" s="9" t="n"/>
    </row>
    <row r="260">
      <c r="A260" s="4" t="n"/>
      <c r="B260" s="9">
        <f>IF(A260="","",INT((DAY(A260)-1)/7)+1)</f>
        <v/>
      </c>
      <c r="C260" s="9" t="n"/>
      <c r="D260" s="9" t="n"/>
      <c r="E260" s="9" t="n"/>
      <c r="F260" s="9" t="n"/>
      <c r="G260" s="9" t="n"/>
      <c r="H260" s="9" t="n"/>
      <c r="I260" s="9" t="n"/>
      <c r="J260" s="3" t="n"/>
      <c r="K260" s="9" t="n"/>
    </row>
    <row r="261">
      <c r="A261" s="4" t="n"/>
      <c r="B261" s="9">
        <f>IF(A261="","",INT((DAY(A261)-1)/7)+1)</f>
        <v/>
      </c>
      <c r="C261" s="9" t="n"/>
      <c r="D261" s="9" t="n"/>
      <c r="E261" s="9" t="n"/>
      <c r="F261" s="9" t="n"/>
      <c r="G261" s="9" t="n"/>
      <c r="H261" s="9" t="n"/>
      <c r="I261" s="9" t="n"/>
      <c r="J261" s="3" t="n"/>
      <c r="K261" s="9" t="n"/>
    </row>
    <row r="262">
      <c r="A262" s="4" t="n"/>
      <c r="B262" s="9">
        <f>IF(A262="","",INT((DAY(A262)-1)/7)+1)</f>
        <v/>
      </c>
      <c r="C262" s="9" t="n"/>
      <c r="D262" s="9" t="n"/>
      <c r="E262" s="9" t="n"/>
      <c r="F262" s="9" t="n"/>
      <c r="G262" s="9" t="n"/>
      <c r="H262" s="9" t="n"/>
      <c r="I262" s="9" t="n"/>
      <c r="J262" s="3" t="n"/>
      <c r="K262" s="9" t="n"/>
    </row>
    <row r="263">
      <c r="A263" s="4" t="n"/>
      <c r="B263" s="9">
        <f>IF(A263="","",INT((DAY(A263)-1)/7)+1)</f>
        <v/>
      </c>
      <c r="C263" s="9" t="n"/>
      <c r="D263" s="9" t="n"/>
      <c r="E263" s="9" t="n"/>
      <c r="F263" s="9" t="n"/>
      <c r="G263" s="9" t="n"/>
      <c r="H263" s="9" t="n"/>
      <c r="I263" s="9" t="n"/>
      <c r="J263" s="3" t="n"/>
      <c r="K263" s="9" t="n"/>
    </row>
    <row r="264">
      <c r="A264" s="4" t="n"/>
      <c r="B264" s="9">
        <f>IF(A264="","",INT((DAY(A264)-1)/7)+1)</f>
        <v/>
      </c>
      <c r="C264" s="9" t="n"/>
      <c r="D264" s="9" t="n"/>
      <c r="E264" s="9" t="n"/>
      <c r="F264" s="9" t="n"/>
      <c r="G264" s="9" t="n"/>
      <c r="H264" s="9" t="n"/>
      <c r="I264" s="9" t="n"/>
      <c r="J264" s="3" t="n"/>
      <c r="K264" s="9" t="n"/>
    </row>
    <row r="265">
      <c r="A265" s="4" t="n"/>
      <c r="B265" s="9">
        <f>IF(A265="","",INT((DAY(A265)-1)/7)+1)</f>
        <v/>
      </c>
      <c r="C265" s="9" t="n"/>
      <c r="D265" s="9" t="n"/>
      <c r="E265" s="9" t="n"/>
      <c r="F265" s="9" t="n"/>
      <c r="G265" s="9" t="n"/>
      <c r="H265" s="9" t="n"/>
      <c r="I265" s="9" t="n"/>
      <c r="J265" s="3" t="n"/>
      <c r="K265" s="9" t="n"/>
    </row>
    <row r="266">
      <c r="A266" s="4" t="n"/>
      <c r="B266" s="9">
        <f>IF(A266="","",INT((DAY(A266)-1)/7)+1)</f>
        <v/>
      </c>
      <c r="C266" s="9" t="n"/>
      <c r="D266" s="9" t="n"/>
      <c r="E266" s="9" t="n"/>
      <c r="F266" s="9" t="n"/>
      <c r="G266" s="9" t="n"/>
      <c r="H266" s="9" t="n"/>
      <c r="I266" s="9" t="n"/>
      <c r="J266" s="3" t="n"/>
      <c r="K266" s="9" t="n"/>
    </row>
    <row r="267">
      <c r="A267" s="4" t="n"/>
      <c r="B267" s="9">
        <f>IF(A267="","",INT((DAY(A267)-1)/7)+1)</f>
        <v/>
      </c>
      <c r="C267" s="9" t="n"/>
      <c r="D267" s="9" t="n"/>
      <c r="E267" s="9" t="n"/>
      <c r="F267" s="9" t="n"/>
      <c r="G267" s="9" t="n"/>
      <c r="H267" s="9" t="n"/>
      <c r="I267" s="9" t="n"/>
      <c r="J267" s="3" t="n"/>
      <c r="K267" s="9" t="n"/>
    </row>
    <row r="268">
      <c r="A268" s="4" t="n"/>
      <c r="B268" s="9">
        <f>IF(A268="","",INT((DAY(A268)-1)/7)+1)</f>
        <v/>
      </c>
      <c r="C268" s="9" t="n"/>
      <c r="D268" s="9" t="n"/>
      <c r="E268" s="9" t="n"/>
      <c r="F268" s="9" t="n"/>
      <c r="G268" s="9" t="n"/>
      <c r="H268" s="9" t="n"/>
      <c r="I268" s="9" t="n"/>
      <c r="J268" s="3" t="n"/>
      <c r="K268" s="9" t="n"/>
    </row>
    <row r="269">
      <c r="A269" s="4" t="n"/>
      <c r="B269" s="9">
        <f>IF(A269="","",INT((DAY(A269)-1)/7)+1)</f>
        <v/>
      </c>
      <c r="C269" s="9" t="n"/>
      <c r="D269" s="9" t="n"/>
      <c r="E269" s="9" t="n"/>
      <c r="F269" s="9" t="n"/>
      <c r="G269" s="9" t="n"/>
      <c r="H269" s="9" t="n"/>
      <c r="I269" s="9" t="n"/>
      <c r="J269" s="3" t="n"/>
      <c r="K269" s="9" t="n"/>
    </row>
    <row r="270">
      <c r="A270" s="4" t="n"/>
      <c r="B270" s="9">
        <f>IF(A270="","",INT((DAY(A270)-1)/7)+1)</f>
        <v/>
      </c>
      <c r="C270" s="9" t="n"/>
      <c r="D270" s="9" t="n"/>
      <c r="E270" s="9" t="n"/>
      <c r="F270" s="9" t="n"/>
      <c r="G270" s="9" t="n"/>
      <c r="H270" s="9" t="n"/>
      <c r="I270" s="9" t="n"/>
      <c r="J270" s="3" t="n"/>
      <c r="K270" s="9" t="n"/>
    </row>
    <row r="271">
      <c r="A271" s="4" t="n"/>
      <c r="B271" s="9">
        <f>IF(A271="","",INT((DAY(A271)-1)/7)+1)</f>
        <v/>
      </c>
      <c r="C271" s="9" t="n"/>
      <c r="D271" s="9" t="n"/>
      <c r="E271" s="9" t="n"/>
      <c r="F271" s="9" t="n"/>
      <c r="G271" s="9" t="n"/>
      <c r="H271" s="9" t="n"/>
      <c r="I271" s="9" t="n"/>
      <c r="J271" s="3" t="n"/>
      <c r="K271" s="9" t="n"/>
    </row>
    <row r="272">
      <c r="A272" s="4" t="n"/>
      <c r="B272" s="9">
        <f>IF(A272="","",INT((DAY(A272)-1)/7)+1)</f>
        <v/>
      </c>
      <c r="C272" s="9" t="n"/>
      <c r="D272" s="9" t="n"/>
      <c r="E272" s="9" t="n"/>
      <c r="F272" s="9" t="n"/>
      <c r="G272" s="9" t="n"/>
      <c r="H272" s="9" t="n"/>
      <c r="I272" s="9" t="n"/>
      <c r="J272" s="3" t="n"/>
      <c r="K272" s="9" t="n"/>
    </row>
    <row r="273">
      <c r="A273" s="4" t="n"/>
      <c r="B273" s="9">
        <f>IF(A273="","",INT((DAY(A273)-1)/7)+1)</f>
        <v/>
      </c>
      <c r="C273" s="9" t="n"/>
      <c r="D273" s="9" t="n"/>
      <c r="E273" s="9" t="n"/>
      <c r="F273" s="9" t="n"/>
      <c r="G273" s="9" t="n"/>
      <c r="H273" s="9" t="n"/>
      <c r="I273" s="9" t="n"/>
      <c r="J273" s="3" t="n"/>
      <c r="K273" s="9" t="n"/>
    </row>
    <row r="274">
      <c r="A274" s="4" t="n"/>
      <c r="B274" s="9">
        <f>IF(A274="","",INT((DAY(A274)-1)/7)+1)</f>
        <v/>
      </c>
      <c r="C274" s="9" t="n"/>
      <c r="D274" s="9" t="n"/>
      <c r="E274" s="9" t="n"/>
      <c r="F274" s="9" t="n"/>
      <c r="G274" s="9" t="n"/>
      <c r="H274" s="9" t="n"/>
      <c r="I274" s="9" t="n"/>
      <c r="J274" s="3" t="n"/>
      <c r="K274" s="9" t="n"/>
    </row>
    <row r="275">
      <c r="A275" s="4" t="n"/>
      <c r="B275" s="9">
        <f>IF(A275="","",INT((DAY(A275)-1)/7)+1)</f>
        <v/>
      </c>
      <c r="C275" s="9" t="n"/>
      <c r="D275" s="9" t="n"/>
      <c r="E275" s="9" t="n"/>
      <c r="F275" s="9" t="n"/>
      <c r="G275" s="9" t="n"/>
      <c r="H275" s="9" t="n"/>
      <c r="I275" s="9" t="n"/>
      <c r="J275" s="3" t="n"/>
      <c r="K275" s="9" t="n"/>
    </row>
    <row r="276">
      <c r="A276" s="4" t="n"/>
      <c r="B276" s="9">
        <f>IF(A276="","",INT((DAY(A276)-1)/7)+1)</f>
        <v/>
      </c>
      <c r="C276" s="9" t="n"/>
      <c r="D276" s="9" t="n"/>
      <c r="E276" s="9" t="n"/>
      <c r="F276" s="9" t="n"/>
      <c r="G276" s="9" t="n"/>
      <c r="H276" s="9" t="n"/>
      <c r="I276" s="9" t="n"/>
      <c r="J276" s="3" t="n"/>
      <c r="K276" s="9" t="n"/>
    </row>
    <row r="277">
      <c r="A277" s="4" t="n"/>
      <c r="B277" s="9">
        <f>IF(A277="","",INT((DAY(A277)-1)/7)+1)</f>
        <v/>
      </c>
      <c r="C277" s="9" t="n"/>
      <c r="D277" s="9" t="n"/>
      <c r="E277" s="9" t="n"/>
      <c r="F277" s="9" t="n"/>
      <c r="G277" s="9" t="n"/>
      <c r="H277" s="9" t="n"/>
      <c r="I277" s="9" t="n"/>
      <c r="J277" s="3" t="n"/>
      <c r="K277" s="9" t="n"/>
    </row>
    <row r="278">
      <c r="A278" s="4" t="n"/>
      <c r="B278" s="9">
        <f>IF(A278="","",INT((DAY(A278)-1)/7)+1)</f>
        <v/>
      </c>
      <c r="C278" s="9" t="n"/>
      <c r="D278" s="9" t="n"/>
      <c r="E278" s="9" t="n"/>
      <c r="F278" s="9" t="n"/>
      <c r="G278" s="9" t="n"/>
      <c r="H278" s="9" t="n"/>
      <c r="I278" s="9" t="n"/>
      <c r="J278" s="3" t="n"/>
      <c r="K278" s="9" t="n"/>
    </row>
    <row r="279">
      <c r="A279" s="4" t="n"/>
      <c r="B279" s="9">
        <f>IF(A279="","",INT((DAY(A279)-1)/7)+1)</f>
        <v/>
      </c>
      <c r="C279" s="9" t="n"/>
      <c r="D279" s="9" t="n"/>
      <c r="E279" s="9" t="n"/>
      <c r="F279" s="9" t="n"/>
      <c r="G279" s="9" t="n"/>
      <c r="H279" s="9" t="n"/>
      <c r="I279" s="9" t="n"/>
      <c r="J279" s="3" t="n"/>
      <c r="K279" s="9" t="n"/>
    </row>
    <row r="280">
      <c r="A280" s="4" t="n"/>
      <c r="B280" s="9">
        <f>IF(A280="","",INT((DAY(A280)-1)/7)+1)</f>
        <v/>
      </c>
      <c r="C280" s="9" t="n"/>
      <c r="D280" s="9" t="n"/>
      <c r="E280" s="9" t="n"/>
      <c r="F280" s="9" t="n"/>
      <c r="G280" s="9" t="n"/>
      <c r="H280" s="9" t="n"/>
      <c r="I280" s="9" t="n"/>
      <c r="J280" s="3" t="n"/>
      <c r="K280" s="9" t="n"/>
    </row>
    <row r="281">
      <c r="A281" s="4" t="n"/>
      <c r="B281" s="9">
        <f>IF(A281="","",INT((DAY(A281)-1)/7)+1)</f>
        <v/>
      </c>
      <c r="C281" s="9" t="n"/>
      <c r="D281" s="9" t="n"/>
      <c r="E281" s="9" t="n"/>
      <c r="F281" s="9" t="n"/>
      <c r="G281" s="9" t="n"/>
      <c r="H281" s="9" t="n"/>
      <c r="I281" s="9" t="n"/>
      <c r="J281" s="3" t="n"/>
      <c r="K281" s="9" t="n"/>
    </row>
    <row r="282">
      <c r="A282" s="4" t="n"/>
      <c r="B282" s="9">
        <f>IF(A282="","",INT((DAY(A282)-1)/7)+1)</f>
        <v/>
      </c>
      <c r="C282" s="9" t="n"/>
      <c r="D282" s="9" t="n"/>
      <c r="E282" s="9" t="n"/>
      <c r="F282" s="9" t="n"/>
      <c r="G282" s="9" t="n"/>
      <c r="H282" s="9" t="n"/>
      <c r="I282" s="9" t="n"/>
      <c r="J282" s="3" t="n"/>
      <c r="K282" s="9" t="n"/>
    </row>
    <row r="283">
      <c r="A283" s="4" t="n"/>
      <c r="B283" s="9">
        <f>IF(A283="","",INT((DAY(A283)-1)/7)+1)</f>
        <v/>
      </c>
      <c r="C283" s="9" t="n"/>
      <c r="D283" s="9" t="n"/>
      <c r="E283" s="9" t="n"/>
      <c r="F283" s="9" t="n"/>
      <c r="G283" s="9" t="n"/>
      <c r="H283" s="9" t="n"/>
      <c r="I283" s="9" t="n"/>
      <c r="J283" s="3" t="n"/>
      <c r="K283" s="9" t="n"/>
    </row>
    <row r="284">
      <c r="A284" s="4" t="n"/>
      <c r="B284" s="9">
        <f>IF(A284="","",INT((DAY(A284)-1)/7)+1)</f>
        <v/>
      </c>
      <c r="C284" s="9" t="n"/>
      <c r="D284" s="9" t="n"/>
      <c r="E284" s="9" t="n"/>
      <c r="F284" s="9" t="n"/>
      <c r="G284" s="9" t="n"/>
      <c r="H284" s="9" t="n"/>
      <c r="I284" s="9" t="n"/>
      <c r="J284" s="3" t="n"/>
      <c r="K284" s="9" t="n"/>
    </row>
    <row r="285">
      <c r="A285" s="4" t="n"/>
      <c r="B285" s="9">
        <f>IF(A285="","",INT((DAY(A285)-1)/7)+1)</f>
        <v/>
      </c>
      <c r="C285" s="9" t="n"/>
      <c r="D285" s="9" t="n"/>
      <c r="E285" s="9" t="n"/>
      <c r="F285" s="9" t="n"/>
      <c r="G285" s="9" t="n"/>
      <c r="H285" s="9" t="n"/>
      <c r="I285" s="9" t="n"/>
      <c r="J285" s="3" t="n"/>
      <c r="K285" s="9" t="n"/>
    </row>
    <row r="286">
      <c r="A286" s="4" t="n"/>
      <c r="B286" s="9">
        <f>IF(A286="","",INT((DAY(A286)-1)/7)+1)</f>
        <v/>
      </c>
      <c r="C286" s="9" t="n"/>
      <c r="D286" s="9" t="n"/>
      <c r="E286" s="9" t="n"/>
      <c r="F286" s="9" t="n"/>
      <c r="G286" s="9" t="n"/>
      <c r="H286" s="9" t="n"/>
      <c r="I286" s="9" t="n"/>
      <c r="J286" s="3" t="n"/>
      <c r="K286" s="9" t="n"/>
    </row>
    <row r="287">
      <c r="A287" s="4" t="n"/>
      <c r="B287" s="9">
        <f>IF(A287="","",INT((DAY(A287)-1)/7)+1)</f>
        <v/>
      </c>
      <c r="C287" s="9" t="n"/>
      <c r="D287" s="9" t="n"/>
      <c r="E287" s="9" t="n"/>
      <c r="F287" s="9" t="n"/>
      <c r="G287" s="9" t="n"/>
      <c r="H287" s="9" t="n"/>
      <c r="I287" s="9" t="n"/>
      <c r="J287" s="3" t="n"/>
      <c r="K287" s="9" t="n"/>
    </row>
    <row r="288">
      <c r="A288" s="4" t="n"/>
      <c r="B288" s="9">
        <f>IF(A288="","",INT((DAY(A288)-1)/7)+1)</f>
        <v/>
      </c>
      <c r="C288" s="9" t="n"/>
      <c r="D288" s="9" t="n"/>
      <c r="E288" s="9" t="n"/>
      <c r="F288" s="9" t="n"/>
      <c r="G288" s="9" t="n"/>
      <c r="H288" s="9" t="n"/>
      <c r="I288" s="9" t="n"/>
      <c r="J288" s="3" t="n"/>
      <c r="K288" s="9" t="n"/>
    </row>
    <row r="289">
      <c r="A289" s="4" t="n"/>
      <c r="B289" s="9">
        <f>IF(A289="","",INT((DAY(A289)-1)/7)+1)</f>
        <v/>
      </c>
      <c r="C289" s="9" t="n"/>
      <c r="D289" s="9" t="n"/>
      <c r="E289" s="9" t="n"/>
      <c r="F289" s="9" t="n"/>
      <c r="G289" s="9" t="n"/>
      <c r="H289" s="9" t="n"/>
      <c r="I289" s="9" t="n"/>
      <c r="J289" s="3" t="n"/>
      <c r="K289" s="9" t="n"/>
    </row>
    <row r="290">
      <c r="A290" s="4" t="n"/>
      <c r="B290" s="9">
        <f>IF(A290="","",INT((DAY(A290)-1)/7)+1)</f>
        <v/>
      </c>
      <c r="C290" s="9" t="n"/>
      <c r="D290" s="9" t="n"/>
      <c r="E290" s="9" t="n"/>
      <c r="F290" s="9" t="n"/>
      <c r="G290" s="9" t="n"/>
      <c r="H290" s="9" t="n"/>
      <c r="I290" s="9" t="n"/>
      <c r="J290" s="3" t="n"/>
      <c r="K290" s="9" t="n"/>
    </row>
    <row r="291">
      <c r="A291" s="4" t="n"/>
      <c r="B291" s="9">
        <f>IF(A291="","",INT((DAY(A291)-1)/7)+1)</f>
        <v/>
      </c>
      <c r="C291" s="9" t="n"/>
      <c r="D291" s="9" t="n"/>
      <c r="E291" s="9" t="n"/>
      <c r="F291" s="9" t="n"/>
      <c r="G291" s="9" t="n"/>
      <c r="H291" s="9" t="n"/>
      <c r="I291" s="9" t="n"/>
      <c r="J291" s="3" t="n"/>
      <c r="K291" s="9" t="n"/>
    </row>
    <row r="292">
      <c r="A292" s="4" t="n"/>
      <c r="B292" s="9">
        <f>IF(A292="","",INT((DAY(A292)-1)/7)+1)</f>
        <v/>
      </c>
      <c r="C292" s="9" t="n"/>
      <c r="D292" s="9" t="n"/>
      <c r="E292" s="9" t="n"/>
      <c r="F292" s="9" t="n"/>
      <c r="G292" s="9" t="n"/>
      <c r="H292" s="9" t="n"/>
      <c r="I292" s="9" t="n"/>
      <c r="J292" s="3" t="n"/>
      <c r="K292" s="9" t="n"/>
    </row>
    <row r="293">
      <c r="A293" s="4" t="n"/>
      <c r="B293" s="9">
        <f>IF(A293="","",INT((DAY(A293)-1)/7)+1)</f>
        <v/>
      </c>
      <c r="C293" s="9" t="n"/>
      <c r="D293" s="9" t="n"/>
      <c r="E293" s="9" t="n"/>
      <c r="F293" s="9" t="n"/>
      <c r="G293" s="9" t="n"/>
      <c r="H293" s="9" t="n"/>
      <c r="I293" s="9" t="n"/>
      <c r="J293" s="3" t="n"/>
      <c r="K293" s="9" t="n"/>
    </row>
    <row r="294">
      <c r="A294" s="4" t="n"/>
      <c r="B294" s="9">
        <f>IF(A294="","",INT((DAY(A294)-1)/7)+1)</f>
        <v/>
      </c>
      <c r="C294" s="9" t="n"/>
      <c r="D294" s="9" t="n"/>
      <c r="E294" s="9" t="n"/>
      <c r="F294" s="9" t="n"/>
      <c r="G294" s="9" t="n"/>
      <c r="H294" s="9" t="n"/>
      <c r="I294" s="9" t="n"/>
      <c r="J294" s="3" t="n"/>
      <c r="K294" s="9" t="n"/>
    </row>
    <row r="295">
      <c r="A295" s="4" t="n"/>
      <c r="B295" s="9">
        <f>IF(A295="","",INT((DAY(A295)-1)/7)+1)</f>
        <v/>
      </c>
      <c r="C295" s="9" t="n"/>
      <c r="D295" s="9" t="n"/>
      <c r="E295" s="9" t="n"/>
      <c r="F295" s="9" t="n"/>
      <c r="G295" s="9" t="n"/>
      <c r="H295" s="9" t="n"/>
      <c r="I295" s="9" t="n"/>
      <c r="J295" s="3" t="n"/>
      <c r="K295" s="9" t="n"/>
    </row>
    <row r="296">
      <c r="A296" s="4" t="n"/>
      <c r="B296" s="9">
        <f>IF(A296="","",INT((DAY(A296)-1)/7)+1)</f>
        <v/>
      </c>
      <c r="C296" s="9" t="n"/>
      <c r="D296" s="9" t="n"/>
      <c r="E296" s="9" t="n"/>
      <c r="F296" s="9" t="n"/>
      <c r="G296" s="9" t="n"/>
      <c r="H296" s="9" t="n"/>
      <c r="I296" s="9" t="n"/>
      <c r="J296" s="3" t="n"/>
      <c r="K296" s="9" t="n"/>
    </row>
    <row r="297">
      <c r="A297" s="4" t="n"/>
      <c r="B297" s="9">
        <f>IF(A297="","",INT((DAY(A297)-1)/7)+1)</f>
        <v/>
      </c>
      <c r="C297" s="9" t="n"/>
      <c r="D297" s="9" t="n"/>
      <c r="E297" s="9" t="n"/>
      <c r="F297" s="9" t="n"/>
      <c r="G297" s="9" t="n"/>
      <c r="H297" s="9" t="n"/>
      <c r="I297" s="9" t="n"/>
      <c r="J297" s="3" t="n"/>
      <c r="K297" s="9" t="n"/>
    </row>
    <row r="298">
      <c r="A298" s="4" t="n"/>
      <c r="B298" s="9">
        <f>IF(A298="","",INT((DAY(A298)-1)/7)+1)</f>
        <v/>
      </c>
      <c r="C298" s="9" t="n"/>
      <c r="D298" s="9" t="n"/>
      <c r="E298" s="9" t="n"/>
      <c r="F298" s="9" t="n"/>
      <c r="G298" s="9" t="n"/>
      <c r="H298" s="9" t="n"/>
      <c r="I298" s="9" t="n"/>
      <c r="J298" s="3" t="n"/>
      <c r="K298" s="9" t="n"/>
    </row>
    <row r="299">
      <c r="A299" s="4" t="n"/>
      <c r="B299" s="9">
        <f>IF(A299="","",INT((DAY(A299)-1)/7)+1)</f>
        <v/>
      </c>
      <c r="C299" s="9" t="n"/>
      <c r="D299" s="9" t="n"/>
      <c r="E299" s="9" t="n"/>
      <c r="F299" s="9" t="n"/>
      <c r="G299" s="9" t="n"/>
      <c r="H299" s="9" t="n"/>
      <c r="I299" s="9" t="n"/>
      <c r="J299" s="3" t="n"/>
      <c r="K299" s="9" t="n"/>
    </row>
    <row r="300">
      <c r="A300" s="4" t="n"/>
      <c r="B300" s="9">
        <f>IF(A300="","",INT((DAY(A300)-1)/7)+1)</f>
        <v/>
      </c>
      <c r="C300" s="9" t="n"/>
      <c r="D300" s="9" t="n"/>
      <c r="E300" s="9" t="n"/>
      <c r="F300" s="9" t="n"/>
      <c r="G300" s="9" t="n"/>
      <c r="H300" s="9" t="n"/>
      <c r="I300" s="9" t="n"/>
      <c r="J300" s="3" t="n"/>
      <c r="K300" s="9" t="n"/>
    </row>
    <row r="301">
      <c r="A301" s="4" t="n"/>
      <c r="B301" s="9">
        <f>IF(A301="","",INT((DAY(A301)-1)/7)+1)</f>
        <v/>
      </c>
      <c r="C301" s="9" t="n"/>
      <c r="D301" s="9" t="n"/>
      <c r="E301" s="9" t="n"/>
      <c r="F301" s="9" t="n"/>
      <c r="G301" s="9" t="n"/>
      <c r="H301" s="9" t="n"/>
      <c r="I301" s="9" t="n"/>
      <c r="J301" s="3" t="n"/>
      <c r="K301" s="9" t="n"/>
    </row>
    <row r="302">
      <c r="A302" s="4" t="n"/>
      <c r="B302" s="9">
        <f>IF(A302="","",INT((DAY(A302)-1)/7)+1)</f>
        <v/>
      </c>
      <c r="C302" s="9" t="n"/>
      <c r="D302" s="9" t="n"/>
      <c r="E302" s="9" t="n"/>
      <c r="F302" s="9" t="n"/>
      <c r="G302" s="9" t="n"/>
      <c r="H302" s="9" t="n"/>
      <c r="I302" s="9" t="n"/>
      <c r="J302" s="3" t="n"/>
      <c r="K302" s="9" t="n"/>
    </row>
    <row r="303">
      <c r="A303" s="4" t="n"/>
      <c r="B303" s="9">
        <f>IF(A303="","",INT((DAY(A303)-1)/7)+1)</f>
        <v/>
      </c>
      <c r="C303" s="9" t="n"/>
      <c r="D303" s="9" t="n"/>
      <c r="E303" s="9" t="n"/>
      <c r="F303" s="9" t="n"/>
      <c r="G303" s="9" t="n"/>
      <c r="H303" s="9" t="n"/>
      <c r="I303" s="9" t="n"/>
      <c r="J303" s="3" t="n"/>
      <c r="K303" s="9" t="n"/>
    </row>
    <row r="304">
      <c r="A304" s="4" t="n"/>
      <c r="B304" s="9">
        <f>IF(A304="","",INT((DAY(A304)-1)/7)+1)</f>
        <v/>
      </c>
      <c r="C304" s="9" t="n"/>
      <c r="D304" s="9" t="n"/>
      <c r="E304" s="9" t="n"/>
      <c r="F304" s="9" t="n"/>
      <c r="G304" s="9" t="n"/>
      <c r="H304" s="9" t="n"/>
      <c r="I304" s="9" t="n"/>
      <c r="J304" s="3" t="n"/>
      <c r="K304" s="9" t="n"/>
    </row>
    <row r="305">
      <c r="A305" s="4" t="n"/>
      <c r="B305" s="9">
        <f>IF(A305="","",INT((DAY(A305)-1)/7)+1)</f>
        <v/>
      </c>
      <c r="C305" s="9" t="n"/>
      <c r="D305" s="9" t="n"/>
      <c r="E305" s="9" t="n"/>
      <c r="F305" s="9" t="n"/>
      <c r="G305" s="9" t="n"/>
      <c r="H305" s="9" t="n"/>
      <c r="I305" s="9" t="n"/>
      <c r="J305" s="3" t="n"/>
      <c r="K305" s="9" t="n"/>
    </row>
    <row r="306">
      <c r="A306" s="4" t="n"/>
      <c r="B306" s="9">
        <f>IF(A306="","",INT((DAY(A306)-1)/7)+1)</f>
        <v/>
      </c>
      <c r="C306" s="9" t="n"/>
      <c r="D306" s="9" t="n"/>
      <c r="E306" s="9" t="n"/>
      <c r="F306" s="9" t="n"/>
      <c r="G306" s="9" t="n"/>
      <c r="H306" s="9" t="n"/>
      <c r="I306" s="9" t="n"/>
      <c r="J306" s="3" t="n"/>
      <c r="K306" s="9" t="n"/>
    </row>
    <row r="307">
      <c r="A307" s="4" t="n"/>
      <c r="B307" s="9">
        <f>IF(A307="","",INT((DAY(A307)-1)/7)+1)</f>
        <v/>
      </c>
      <c r="C307" s="9" t="n"/>
      <c r="D307" s="9" t="n"/>
      <c r="E307" s="9" t="n"/>
      <c r="F307" s="9" t="n"/>
      <c r="G307" s="9" t="n"/>
      <c r="H307" s="9" t="n"/>
      <c r="I307" s="9" t="n"/>
      <c r="J307" s="3" t="n"/>
      <c r="K307" s="9" t="n"/>
    </row>
    <row r="308">
      <c r="A308" s="4" t="n"/>
      <c r="B308" s="9">
        <f>IF(A308="","",INT((DAY(A308)-1)/7)+1)</f>
        <v/>
      </c>
      <c r="C308" s="9" t="n"/>
      <c r="D308" s="9" t="n"/>
      <c r="E308" s="9" t="n"/>
      <c r="F308" s="9" t="n"/>
      <c r="G308" s="9" t="n"/>
      <c r="H308" s="9" t="n"/>
      <c r="I308" s="9" t="n"/>
      <c r="J308" s="3" t="n"/>
      <c r="K308" s="9" t="n"/>
    </row>
    <row r="309">
      <c r="A309" s="4" t="n"/>
      <c r="B309" s="9">
        <f>IF(A309="","",INT((DAY(A309)-1)/7)+1)</f>
        <v/>
      </c>
      <c r="C309" s="9" t="n"/>
      <c r="D309" s="9" t="n"/>
      <c r="E309" s="9" t="n"/>
      <c r="F309" s="9" t="n"/>
      <c r="G309" s="9" t="n"/>
      <c r="H309" s="9" t="n"/>
      <c r="I309" s="9" t="n"/>
      <c r="J309" s="3" t="n"/>
      <c r="K309" s="9" t="n"/>
    </row>
    <row r="310">
      <c r="A310" s="4" t="n"/>
      <c r="B310" s="9">
        <f>IF(A310="","",INT((DAY(A310)-1)/7)+1)</f>
        <v/>
      </c>
      <c r="C310" s="9" t="n"/>
      <c r="D310" s="9" t="n"/>
      <c r="E310" s="9" t="n"/>
      <c r="F310" s="9" t="n"/>
      <c r="G310" s="9" t="n"/>
      <c r="H310" s="9" t="n"/>
      <c r="I310" s="9" t="n"/>
      <c r="J310" s="3" t="n"/>
      <c r="K310" s="9" t="n"/>
    </row>
    <row r="311">
      <c r="A311" s="4" t="n"/>
      <c r="B311" s="9">
        <f>IF(A311="","",INT((DAY(A311)-1)/7)+1)</f>
        <v/>
      </c>
      <c r="C311" s="9" t="n"/>
      <c r="D311" s="9" t="n"/>
      <c r="E311" s="9" t="n"/>
      <c r="F311" s="9" t="n"/>
      <c r="G311" s="9" t="n"/>
      <c r="H311" s="9" t="n"/>
      <c r="I311" s="9" t="n"/>
      <c r="J311" s="3" t="n"/>
      <c r="K311" s="9" t="n"/>
    </row>
    <row r="312">
      <c r="A312" s="4" t="n"/>
      <c r="B312" s="9">
        <f>IF(A312="","",INT((DAY(A312)-1)/7)+1)</f>
        <v/>
      </c>
      <c r="C312" s="9" t="n"/>
      <c r="D312" s="9" t="n"/>
      <c r="E312" s="9" t="n"/>
      <c r="F312" s="9" t="n"/>
      <c r="G312" s="9" t="n"/>
      <c r="H312" s="9" t="n"/>
      <c r="I312" s="9" t="n"/>
      <c r="J312" s="3" t="n"/>
      <c r="K312" s="9" t="n"/>
    </row>
    <row r="313">
      <c r="A313" s="4" t="n"/>
      <c r="B313" s="9">
        <f>IF(A313="","",INT((DAY(A313)-1)/7)+1)</f>
        <v/>
      </c>
      <c r="C313" s="9" t="n"/>
      <c r="D313" s="9" t="n"/>
      <c r="E313" s="9" t="n"/>
      <c r="F313" s="9" t="n"/>
      <c r="G313" s="9" t="n"/>
      <c r="H313" s="9" t="n"/>
      <c r="I313" s="9" t="n"/>
      <c r="J313" s="3" t="n"/>
      <c r="K313" s="9" t="n"/>
    </row>
    <row r="314">
      <c r="A314" s="4" t="n"/>
      <c r="B314" s="9">
        <f>IF(A314="","",INT((DAY(A314)-1)/7)+1)</f>
        <v/>
      </c>
      <c r="C314" s="9" t="n"/>
      <c r="D314" s="9" t="n"/>
      <c r="E314" s="9" t="n"/>
      <c r="F314" s="9" t="n"/>
      <c r="G314" s="9" t="n"/>
      <c r="H314" s="9" t="n"/>
      <c r="I314" s="9" t="n"/>
      <c r="J314" s="3" t="n"/>
      <c r="K314" s="9" t="n"/>
    </row>
    <row r="315">
      <c r="A315" s="4" t="n"/>
      <c r="B315" s="9">
        <f>IF(A315="","",INT((DAY(A315)-1)/7)+1)</f>
        <v/>
      </c>
      <c r="C315" s="9" t="n"/>
      <c r="D315" s="9" t="n"/>
      <c r="E315" s="9" t="n"/>
      <c r="F315" s="9" t="n"/>
      <c r="G315" s="9" t="n"/>
      <c r="H315" s="9" t="n"/>
      <c r="I315" s="9" t="n"/>
      <c r="J315" s="3" t="n"/>
      <c r="K315" s="9" t="n"/>
    </row>
    <row r="316">
      <c r="A316" s="4" t="n"/>
      <c r="B316" s="9">
        <f>IF(A316="","",INT((DAY(A316)-1)/7)+1)</f>
        <v/>
      </c>
      <c r="C316" s="9" t="n"/>
      <c r="D316" s="9" t="n"/>
      <c r="E316" s="9" t="n"/>
      <c r="F316" s="9" t="n"/>
      <c r="G316" s="9" t="n"/>
      <c r="H316" s="9" t="n"/>
      <c r="I316" s="9" t="n"/>
      <c r="J316" s="3" t="n"/>
      <c r="K316" s="9" t="n"/>
    </row>
    <row r="317">
      <c r="A317" s="4" t="n"/>
      <c r="B317" s="9">
        <f>IF(A317="","",INT((DAY(A317)-1)/7)+1)</f>
        <v/>
      </c>
      <c r="C317" s="9" t="n"/>
      <c r="D317" s="9" t="n"/>
      <c r="E317" s="9" t="n"/>
      <c r="F317" s="9" t="n"/>
      <c r="G317" s="9" t="n"/>
      <c r="H317" s="9" t="n"/>
      <c r="I317" s="9" t="n"/>
      <c r="J317" s="3" t="n"/>
      <c r="K317" s="9" t="n"/>
    </row>
    <row r="318">
      <c r="A318" s="4" t="n"/>
      <c r="B318" s="9">
        <f>IF(A318="","",INT((DAY(A318)-1)/7)+1)</f>
        <v/>
      </c>
      <c r="C318" s="9" t="n"/>
      <c r="D318" s="9" t="n"/>
      <c r="E318" s="9" t="n"/>
      <c r="F318" s="9" t="n"/>
      <c r="G318" s="9" t="n"/>
      <c r="H318" s="9" t="n"/>
      <c r="I318" s="9" t="n"/>
      <c r="J318" s="3" t="n"/>
      <c r="K318" s="9" t="n"/>
    </row>
    <row r="319">
      <c r="A319" s="4" t="n"/>
      <c r="B319" s="9">
        <f>IF(A319="","",INT((DAY(A319)-1)/7)+1)</f>
        <v/>
      </c>
      <c r="C319" s="9" t="n"/>
      <c r="D319" s="9" t="n"/>
      <c r="E319" s="9" t="n"/>
      <c r="F319" s="9" t="n"/>
      <c r="G319" s="9" t="n"/>
      <c r="H319" s="9" t="n"/>
      <c r="I319" s="9" t="n"/>
      <c r="J319" s="3" t="n"/>
      <c r="K319" s="9" t="n"/>
    </row>
    <row r="320">
      <c r="A320" s="4" t="n"/>
      <c r="B320" s="9">
        <f>IF(A320="","",INT((DAY(A320)-1)/7)+1)</f>
        <v/>
      </c>
      <c r="C320" s="9" t="n"/>
      <c r="D320" s="9" t="n"/>
      <c r="E320" s="9" t="n"/>
      <c r="F320" s="9" t="n"/>
      <c r="G320" s="9" t="n"/>
      <c r="H320" s="9" t="n"/>
      <c r="I320" s="9" t="n"/>
      <c r="J320" s="3" t="n"/>
      <c r="K320" s="9" t="n"/>
    </row>
    <row r="321">
      <c r="A321" s="4" t="n"/>
      <c r="B321" s="9">
        <f>IF(A321="","",INT((DAY(A321)-1)/7)+1)</f>
        <v/>
      </c>
      <c r="C321" s="9" t="n"/>
      <c r="D321" s="9" t="n"/>
      <c r="E321" s="9" t="n"/>
      <c r="F321" s="9" t="n"/>
      <c r="G321" s="9" t="n"/>
      <c r="H321" s="9" t="n"/>
      <c r="I321" s="9" t="n"/>
      <c r="J321" s="3" t="n"/>
      <c r="K321" s="9" t="n"/>
    </row>
    <row r="322">
      <c r="A322" s="4" t="n"/>
      <c r="B322" s="9">
        <f>IF(A322="","",INT((DAY(A322)-1)/7)+1)</f>
        <v/>
      </c>
      <c r="C322" s="9" t="n"/>
      <c r="D322" s="9" t="n"/>
      <c r="E322" s="9" t="n"/>
      <c r="F322" s="9" t="n"/>
      <c r="G322" s="9" t="n"/>
      <c r="H322" s="9" t="n"/>
      <c r="I322" s="9" t="n"/>
      <c r="J322" s="3" t="n"/>
      <c r="K322" s="9" t="n"/>
    </row>
    <row r="323">
      <c r="A323" s="4" t="n"/>
      <c r="B323" s="9">
        <f>IF(A323="","",INT((DAY(A323)-1)/7)+1)</f>
        <v/>
      </c>
      <c r="C323" s="9" t="n"/>
      <c r="D323" s="9" t="n"/>
      <c r="E323" s="9" t="n"/>
      <c r="F323" s="9" t="n"/>
      <c r="G323" s="9" t="n"/>
      <c r="H323" s="9" t="n"/>
      <c r="I323" s="9" t="n"/>
      <c r="J323" s="3" t="n"/>
      <c r="K323" s="9" t="n"/>
    </row>
    <row r="324">
      <c r="A324" s="4" t="n"/>
      <c r="B324" s="9">
        <f>IF(A324="","",INT((DAY(A324)-1)/7)+1)</f>
        <v/>
      </c>
      <c r="C324" s="9" t="n"/>
      <c r="D324" s="9" t="n"/>
      <c r="E324" s="9" t="n"/>
      <c r="F324" s="9" t="n"/>
      <c r="G324" s="9" t="n"/>
      <c r="H324" s="9" t="n"/>
      <c r="I324" s="9" t="n"/>
      <c r="J324" s="3" t="n"/>
      <c r="K324" s="9" t="n"/>
    </row>
    <row r="325">
      <c r="A325" s="4" t="n"/>
      <c r="B325" s="9">
        <f>IF(A325="","",INT((DAY(A325)-1)/7)+1)</f>
        <v/>
      </c>
      <c r="C325" s="9" t="n"/>
      <c r="D325" s="9" t="n"/>
      <c r="E325" s="9" t="n"/>
      <c r="F325" s="9" t="n"/>
      <c r="G325" s="9" t="n"/>
      <c r="H325" s="9" t="n"/>
      <c r="I325" s="9" t="n"/>
      <c r="J325" s="3" t="n"/>
      <c r="K325" s="9" t="n"/>
    </row>
    <row r="326">
      <c r="A326" s="4" t="n"/>
      <c r="B326" s="9">
        <f>IF(A326="","",INT((DAY(A326)-1)/7)+1)</f>
        <v/>
      </c>
      <c r="C326" s="9" t="n"/>
      <c r="D326" s="9" t="n"/>
      <c r="E326" s="9" t="n"/>
      <c r="F326" s="9" t="n"/>
      <c r="G326" s="9" t="n"/>
      <c r="H326" s="9" t="n"/>
      <c r="I326" s="9" t="n"/>
      <c r="J326" s="3" t="n"/>
      <c r="K326" s="9" t="n"/>
    </row>
    <row r="327">
      <c r="A327" s="4" t="n"/>
      <c r="B327" s="9">
        <f>IF(A327="","",INT((DAY(A327)-1)/7)+1)</f>
        <v/>
      </c>
      <c r="C327" s="9" t="n"/>
      <c r="D327" s="9" t="n"/>
      <c r="E327" s="9" t="n"/>
      <c r="F327" s="9" t="n"/>
      <c r="G327" s="9" t="n"/>
      <c r="H327" s="9" t="n"/>
      <c r="I327" s="9" t="n"/>
      <c r="J327" s="3" t="n"/>
      <c r="K327" s="9" t="n"/>
    </row>
    <row r="328">
      <c r="A328" s="4" t="n"/>
      <c r="B328" s="9">
        <f>IF(A328="","",INT((DAY(A328)-1)/7)+1)</f>
        <v/>
      </c>
      <c r="C328" s="9" t="n"/>
      <c r="D328" s="9" t="n"/>
      <c r="E328" s="9" t="n"/>
      <c r="F328" s="9" t="n"/>
      <c r="G328" s="9" t="n"/>
      <c r="H328" s="9" t="n"/>
      <c r="I328" s="9" t="n"/>
      <c r="J328" s="3" t="n"/>
      <c r="K328" s="9" t="n"/>
    </row>
    <row r="329">
      <c r="A329" s="4" t="n"/>
      <c r="B329" s="9">
        <f>IF(A329="","",INT((DAY(A329)-1)/7)+1)</f>
        <v/>
      </c>
      <c r="C329" s="9" t="n"/>
      <c r="D329" s="9" t="n"/>
      <c r="E329" s="9" t="n"/>
      <c r="F329" s="9" t="n"/>
      <c r="G329" s="9" t="n"/>
      <c r="H329" s="9" t="n"/>
      <c r="I329" s="9" t="n"/>
      <c r="J329" s="3" t="n"/>
      <c r="K329" s="9" t="n"/>
    </row>
    <row r="330">
      <c r="A330" s="4" t="n"/>
      <c r="B330" s="9">
        <f>IF(A330="","",INT((DAY(A330)-1)/7)+1)</f>
        <v/>
      </c>
      <c r="C330" s="9" t="n"/>
      <c r="D330" s="9" t="n"/>
      <c r="E330" s="9" t="n"/>
      <c r="F330" s="9" t="n"/>
      <c r="G330" s="9" t="n"/>
      <c r="H330" s="9" t="n"/>
      <c r="I330" s="9" t="n"/>
      <c r="J330" s="3" t="n"/>
      <c r="K330" s="9" t="n"/>
    </row>
    <row r="331">
      <c r="A331" s="4" t="n"/>
      <c r="B331" s="9">
        <f>IF(A331="","",INT((DAY(A331)-1)/7)+1)</f>
        <v/>
      </c>
      <c r="C331" s="9" t="n"/>
      <c r="D331" s="9" t="n"/>
      <c r="E331" s="9" t="n"/>
      <c r="F331" s="9" t="n"/>
      <c r="G331" s="9" t="n"/>
      <c r="H331" s="9" t="n"/>
      <c r="I331" s="9" t="n"/>
      <c r="J331" s="3" t="n"/>
      <c r="K331" s="9" t="n"/>
    </row>
    <row r="332">
      <c r="A332" s="4" t="n"/>
      <c r="B332" s="9">
        <f>IF(A332="","",INT((DAY(A332)-1)/7)+1)</f>
        <v/>
      </c>
      <c r="C332" s="9" t="n"/>
      <c r="D332" s="9" t="n"/>
      <c r="E332" s="9" t="n"/>
      <c r="F332" s="9" t="n"/>
      <c r="G332" s="9" t="n"/>
      <c r="H332" s="9" t="n"/>
      <c r="I332" s="9" t="n"/>
      <c r="J332" s="3" t="n"/>
      <c r="K332" s="9" t="n"/>
    </row>
    <row r="333">
      <c r="A333" s="4" t="n"/>
      <c r="B333" s="9">
        <f>IF(A333="","",INT((DAY(A333)-1)/7)+1)</f>
        <v/>
      </c>
      <c r="C333" s="9" t="n"/>
      <c r="D333" s="9" t="n"/>
      <c r="E333" s="9" t="n"/>
      <c r="F333" s="9" t="n"/>
      <c r="G333" s="9" t="n"/>
      <c r="H333" s="9" t="n"/>
      <c r="I333" s="9" t="n"/>
      <c r="J333" s="3" t="n"/>
      <c r="K333" s="9" t="n"/>
    </row>
    <row r="334">
      <c r="A334" s="4" t="n"/>
      <c r="B334" s="9">
        <f>IF(A334="","",INT((DAY(A334)-1)/7)+1)</f>
        <v/>
      </c>
      <c r="C334" s="9" t="n"/>
      <c r="D334" s="9" t="n"/>
      <c r="E334" s="9" t="n"/>
      <c r="F334" s="9" t="n"/>
      <c r="G334" s="9" t="n"/>
      <c r="H334" s="9" t="n"/>
      <c r="I334" s="9" t="n"/>
      <c r="J334" s="3" t="n"/>
      <c r="K334" s="9" t="n"/>
    </row>
    <row r="335">
      <c r="A335" s="4" t="n"/>
      <c r="B335" s="9">
        <f>IF(A335="","",INT((DAY(A335)-1)/7)+1)</f>
        <v/>
      </c>
      <c r="C335" s="9" t="n"/>
      <c r="D335" s="9" t="n"/>
      <c r="E335" s="9" t="n"/>
      <c r="F335" s="9" t="n"/>
      <c r="G335" s="9" t="n"/>
      <c r="H335" s="9" t="n"/>
      <c r="I335" s="9" t="n"/>
      <c r="J335" s="3" t="n"/>
      <c r="K335" s="9" t="n"/>
    </row>
    <row r="336">
      <c r="A336" s="4" t="n"/>
      <c r="B336" s="9">
        <f>IF(A336="","",INT((DAY(A336)-1)/7)+1)</f>
        <v/>
      </c>
      <c r="C336" s="9" t="n"/>
      <c r="D336" s="9" t="n"/>
      <c r="E336" s="9" t="n"/>
      <c r="F336" s="9" t="n"/>
      <c r="G336" s="9" t="n"/>
      <c r="H336" s="9" t="n"/>
      <c r="I336" s="9" t="n"/>
      <c r="J336" s="3" t="n"/>
      <c r="K336" s="9" t="n"/>
    </row>
    <row r="337">
      <c r="A337" s="4" t="n"/>
      <c r="B337" s="9">
        <f>IF(A337="","",INT((DAY(A337)-1)/7)+1)</f>
        <v/>
      </c>
      <c r="C337" s="9" t="n"/>
      <c r="D337" s="9" t="n"/>
      <c r="E337" s="9" t="n"/>
      <c r="F337" s="9" t="n"/>
      <c r="G337" s="9" t="n"/>
      <c r="H337" s="9" t="n"/>
      <c r="I337" s="9" t="n"/>
      <c r="J337" s="3" t="n"/>
      <c r="K337" s="9" t="n"/>
    </row>
    <row r="338">
      <c r="A338" s="4" t="n"/>
      <c r="B338" s="9">
        <f>IF(A338="","",INT((DAY(A338)-1)/7)+1)</f>
        <v/>
      </c>
      <c r="C338" s="9" t="n"/>
      <c r="D338" s="9" t="n"/>
      <c r="E338" s="9" t="n"/>
      <c r="F338" s="9" t="n"/>
      <c r="G338" s="9" t="n"/>
      <c r="H338" s="9" t="n"/>
      <c r="I338" s="9" t="n"/>
      <c r="J338" s="3" t="n"/>
      <c r="K338" s="9" t="n"/>
    </row>
    <row r="339">
      <c r="A339" s="4" t="n"/>
      <c r="B339" s="9">
        <f>IF(A339="","",INT((DAY(A339)-1)/7)+1)</f>
        <v/>
      </c>
      <c r="C339" s="9" t="n"/>
      <c r="D339" s="9" t="n"/>
      <c r="E339" s="9" t="n"/>
      <c r="F339" s="9" t="n"/>
      <c r="G339" s="9" t="n"/>
      <c r="H339" s="9" t="n"/>
      <c r="I339" s="9" t="n"/>
      <c r="J339" s="3" t="n"/>
      <c r="K339" s="9" t="n"/>
    </row>
    <row r="340">
      <c r="A340" s="4" t="n"/>
      <c r="B340" s="9">
        <f>IF(A340="","",INT((DAY(A340)-1)/7)+1)</f>
        <v/>
      </c>
      <c r="C340" s="9" t="n"/>
      <c r="D340" s="9" t="n"/>
      <c r="E340" s="9" t="n"/>
      <c r="F340" s="9" t="n"/>
      <c r="G340" s="9" t="n"/>
      <c r="H340" s="9" t="n"/>
      <c r="I340" s="9" t="n"/>
      <c r="J340" s="3" t="n"/>
      <c r="K340" s="9" t="n"/>
    </row>
    <row r="341">
      <c r="A341" s="4" t="n"/>
      <c r="B341" s="9">
        <f>IF(A341="","",INT((DAY(A341)-1)/7)+1)</f>
        <v/>
      </c>
      <c r="C341" s="9" t="n"/>
      <c r="D341" s="9" t="n"/>
      <c r="E341" s="9" t="n"/>
      <c r="F341" s="9" t="n"/>
      <c r="G341" s="9" t="n"/>
      <c r="H341" s="9" t="n"/>
      <c r="I341" s="9" t="n"/>
      <c r="J341" s="3" t="n"/>
      <c r="K341" s="9" t="n"/>
    </row>
    <row r="342">
      <c r="A342" s="4" t="n"/>
      <c r="B342" s="9">
        <f>IF(A342="","",INT((DAY(A342)-1)/7)+1)</f>
        <v/>
      </c>
      <c r="C342" s="9" t="n"/>
      <c r="D342" s="9" t="n"/>
      <c r="E342" s="9" t="n"/>
      <c r="F342" s="9" t="n"/>
      <c r="G342" s="9" t="n"/>
      <c r="H342" s="9" t="n"/>
      <c r="I342" s="9" t="n"/>
      <c r="J342" s="3" t="n"/>
      <c r="K342" s="9" t="n"/>
    </row>
    <row r="343">
      <c r="A343" s="4" t="n"/>
      <c r="B343" s="9">
        <f>IF(A343="","",INT((DAY(A343)-1)/7)+1)</f>
        <v/>
      </c>
      <c r="C343" s="9" t="n"/>
      <c r="D343" s="9" t="n"/>
      <c r="E343" s="9" t="n"/>
      <c r="F343" s="9" t="n"/>
      <c r="G343" s="9" t="n"/>
      <c r="H343" s="9" t="n"/>
      <c r="I343" s="9" t="n"/>
      <c r="J343" s="3" t="n"/>
      <c r="K343" s="9" t="n"/>
    </row>
    <row r="344">
      <c r="A344" s="4" t="n"/>
      <c r="B344" s="9">
        <f>IF(A344="","",INT((DAY(A344)-1)/7)+1)</f>
        <v/>
      </c>
      <c r="C344" s="9" t="n"/>
      <c r="D344" s="9" t="n"/>
      <c r="E344" s="9" t="n"/>
      <c r="F344" s="9" t="n"/>
      <c r="G344" s="9" t="n"/>
      <c r="H344" s="9" t="n"/>
      <c r="I344" s="9" t="n"/>
      <c r="J344" s="3" t="n"/>
      <c r="K344" s="9" t="n"/>
    </row>
    <row r="345">
      <c r="A345" s="4" t="n"/>
      <c r="B345" s="9">
        <f>IF(A345="","",INT((DAY(A345)-1)/7)+1)</f>
        <v/>
      </c>
      <c r="C345" s="9" t="n"/>
      <c r="D345" s="9" t="n"/>
      <c r="E345" s="9" t="n"/>
      <c r="F345" s="9" t="n"/>
      <c r="G345" s="9" t="n"/>
      <c r="H345" s="9" t="n"/>
      <c r="I345" s="9" t="n"/>
      <c r="J345" s="3" t="n"/>
      <c r="K345" s="9" t="n"/>
    </row>
    <row r="346">
      <c r="A346" s="4" t="n"/>
      <c r="B346" s="9">
        <f>IF(A346="","",INT((DAY(A346)-1)/7)+1)</f>
        <v/>
      </c>
      <c r="C346" s="9" t="n"/>
      <c r="D346" s="9" t="n"/>
      <c r="E346" s="9" t="n"/>
      <c r="F346" s="9" t="n"/>
      <c r="G346" s="9" t="n"/>
      <c r="H346" s="9" t="n"/>
      <c r="I346" s="9" t="n"/>
      <c r="J346" s="3" t="n"/>
      <c r="K346" s="9" t="n"/>
    </row>
    <row r="347">
      <c r="A347" s="4" t="n"/>
      <c r="B347" s="9">
        <f>IF(A347="","",INT((DAY(A347)-1)/7)+1)</f>
        <v/>
      </c>
      <c r="C347" s="9" t="n"/>
      <c r="D347" s="9" t="n"/>
      <c r="E347" s="9" t="n"/>
      <c r="F347" s="9" t="n"/>
      <c r="G347" s="9" t="n"/>
      <c r="H347" s="9" t="n"/>
      <c r="I347" s="9" t="n"/>
      <c r="J347" s="3" t="n"/>
      <c r="K347" s="9" t="n"/>
    </row>
    <row r="348">
      <c r="A348" s="4" t="n"/>
      <c r="B348" s="9">
        <f>IF(A348="","",INT((DAY(A348)-1)/7)+1)</f>
        <v/>
      </c>
      <c r="C348" s="9" t="n"/>
      <c r="D348" s="9" t="n"/>
      <c r="E348" s="9" t="n"/>
      <c r="F348" s="9" t="n"/>
      <c r="G348" s="9" t="n"/>
      <c r="H348" s="9" t="n"/>
      <c r="I348" s="9" t="n"/>
      <c r="J348" s="3" t="n"/>
      <c r="K348" s="9" t="n"/>
    </row>
    <row r="349">
      <c r="A349" s="4" t="n"/>
      <c r="B349" s="9">
        <f>IF(A349="","",INT((DAY(A349)-1)/7)+1)</f>
        <v/>
      </c>
      <c r="C349" s="9" t="n"/>
      <c r="D349" s="9" t="n"/>
      <c r="E349" s="9" t="n"/>
      <c r="F349" s="9" t="n"/>
      <c r="G349" s="9" t="n"/>
      <c r="H349" s="9" t="n"/>
      <c r="I349" s="9" t="n"/>
      <c r="J349" s="3" t="n"/>
      <c r="K349" s="9" t="n"/>
    </row>
    <row r="350">
      <c r="A350" s="4" t="n"/>
      <c r="B350" s="9">
        <f>IF(A350="","",INT((DAY(A350)-1)/7)+1)</f>
        <v/>
      </c>
      <c r="C350" s="9" t="n"/>
      <c r="D350" s="9" t="n"/>
      <c r="E350" s="9" t="n"/>
      <c r="F350" s="9" t="n"/>
      <c r="G350" s="9" t="n"/>
      <c r="H350" s="9" t="n"/>
      <c r="I350" s="9" t="n"/>
      <c r="J350" s="3" t="n"/>
      <c r="K350" s="9" t="n"/>
    </row>
    <row r="351">
      <c r="A351" s="4" t="n"/>
      <c r="B351" s="9">
        <f>IF(A351="","",INT((DAY(A351)-1)/7)+1)</f>
        <v/>
      </c>
      <c r="C351" s="9" t="n"/>
      <c r="D351" s="9" t="n"/>
      <c r="E351" s="9" t="n"/>
      <c r="F351" s="9" t="n"/>
      <c r="G351" s="9" t="n"/>
      <c r="H351" s="9" t="n"/>
      <c r="I351" s="9" t="n"/>
      <c r="J351" s="3" t="n"/>
      <c r="K351" s="9" t="n"/>
    </row>
    <row r="352">
      <c r="A352" s="4" t="n"/>
      <c r="B352" s="9">
        <f>IF(A352="","",INT((DAY(A352)-1)/7)+1)</f>
        <v/>
      </c>
      <c r="C352" s="9" t="n"/>
      <c r="D352" s="9" t="n"/>
      <c r="E352" s="9" t="n"/>
      <c r="F352" s="9" t="n"/>
      <c r="G352" s="9" t="n"/>
      <c r="H352" s="9" t="n"/>
      <c r="I352" s="9" t="n"/>
      <c r="J352" s="3" t="n"/>
      <c r="K352" s="9" t="n"/>
    </row>
    <row r="353">
      <c r="A353" s="4" t="n"/>
      <c r="B353" s="9">
        <f>IF(A353="","",INT((DAY(A353)-1)/7)+1)</f>
        <v/>
      </c>
      <c r="C353" s="9" t="n"/>
      <c r="D353" s="9" t="n"/>
      <c r="E353" s="9" t="n"/>
      <c r="F353" s="9" t="n"/>
      <c r="G353" s="9" t="n"/>
      <c r="H353" s="9" t="n"/>
      <c r="I353" s="9" t="n"/>
      <c r="J353" s="3" t="n"/>
      <c r="K353" s="9" t="n"/>
    </row>
    <row r="354">
      <c r="A354" s="4" t="n"/>
      <c r="B354" s="9">
        <f>IF(A354="","",INT((DAY(A354)-1)/7)+1)</f>
        <v/>
      </c>
      <c r="C354" s="9" t="n"/>
      <c r="D354" s="9" t="n"/>
      <c r="E354" s="9" t="n"/>
      <c r="F354" s="9" t="n"/>
      <c r="G354" s="9" t="n"/>
      <c r="H354" s="9" t="n"/>
      <c r="I354" s="9" t="n"/>
      <c r="J354" s="3" t="n"/>
      <c r="K354" s="9" t="n"/>
    </row>
    <row r="355">
      <c r="A355" s="4" t="n"/>
      <c r="B355" s="9">
        <f>IF(A355="","",INT((DAY(A355)-1)/7)+1)</f>
        <v/>
      </c>
      <c r="C355" s="9" t="n"/>
      <c r="D355" s="9" t="n"/>
      <c r="E355" s="9" t="n"/>
      <c r="F355" s="9" t="n"/>
      <c r="G355" s="9" t="n"/>
      <c r="H355" s="9" t="n"/>
      <c r="I355" s="9" t="n"/>
      <c r="J355" s="3" t="n"/>
      <c r="K355" s="9" t="n"/>
    </row>
    <row r="356">
      <c r="A356" s="4" t="n"/>
      <c r="B356" s="9">
        <f>IF(A356="","",INT((DAY(A356)-1)/7)+1)</f>
        <v/>
      </c>
      <c r="C356" s="9" t="n"/>
      <c r="D356" s="9" t="n"/>
      <c r="E356" s="9" t="n"/>
      <c r="F356" s="9" t="n"/>
      <c r="G356" s="9" t="n"/>
      <c r="H356" s="9" t="n"/>
      <c r="I356" s="9" t="n"/>
      <c r="J356" s="3" t="n"/>
      <c r="K356" s="9" t="n"/>
    </row>
    <row r="357">
      <c r="A357" s="4" t="n"/>
      <c r="B357" s="9">
        <f>IF(A357="","",INT((DAY(A357)-1)/7)+1)</f>
        <v/>
      </c>
      <c r="C357" s="9" t="n"/>
      <c r="D357" s="9" t="n"/>
      <c r="E357" s="9" t="n"/>
      <c r="F357" s="9" t="n"/>
      <c r="G357" s="9" t="n"/>
      <c r="H357" s="9" t="n"/>
      <c r="I357" s="9" t="n"/>
      <c r="J357" s="3" t="n"/>
      <c r="K357" s="9" t="n"/>
    </row>
    <row r="358">
      <c r="A358" s="4" t="n"/>
      <c r="B358" s="9">
        <f>IF(A358="","",INT((DAY(A358)-1)/7)+1)</f>
        <v/>
      </c>
      <c r="C358" s="9" t="n"/>
      <c r="D358" s="9" t="n"/>
      <c r="E358" s="9" t="n"/>
      <c r="F358" s="9" t="n"/>
      <c r="G358" s="9" t="n"/>
      <c r="H358" s="9" t="n"/>
      <c r="I358" s="9" t="n"/>
      <c r="J358" s="3" t="n"/>
      <c r="K358" s="9" t="n"/>
    </row>
    <row r="359">
      <c r="A359" s="4" t="n"/>
      <c r="B359" s="9">
        <f>IF(A359="","",INT((DAY(A359)-1)/7)+1)</f>
        <v/>
      </c>
      <c r="C359" s="9" t="n"/>
      <c r="D359" s="9" t="n"/>
      <c r="E359" s="9" t="n"/>
      <c r="F359" s="9" t="n"/>
      <c r="G359" s="9" t="n"/>
      <c r="H359" s="9" t="n"/>
      <c r="I359" s="9" t="n"/>
      <c r="J359" s="3" t="n"/>
      <c r="K359" s="9" t="n"/>
    </row>
    <row r="360">
      <c r="A360" s="4" t="n"/>
      <c r="B360" s="9">
        <f>IF(A360="","",INT((DAY(A360)-1)/7)+1)</f>
        <v/>
      </c>
      <c r="C360" s="9" t="n"/>
      <c r="D360" s="9" t="n"/>
      <c r="E360" s="9" t="n"/>
      <c r="F360" s="9" t="n"/>
      <c r="G360" s="9" t="n"/>
      <c r="H360" s="9" t="n"/>
      <c r="I360" s="9" t="n"/>
      <c r="J360" s="3" t="n"/>
      <c r="K360" s="9" t="n"/>
    </row>
    <row r="361">
      <c r="A361" s="4" t="n"/>
      <c r="B361" s="9">
        <f>IF(A361="","",INT((DAY(A361)-1)/7)+1)</f>
        <v/>
      </c>
      <c r="C361" s="9" t="n"/>
      <c r="D361" s="9" t="n"/>
      <c r="E361" s="9" t="n"/>
      <c r="F361" s="9" t="n"/>
      <c r="G361" s="9" t="n"/>
      <c r="H361" s="9" t="n"/>
      <c r="I361" s="9" t="n"/>
      <c r="J361" s="3" t="n"/>
      <c r="K361" s="9" t="n"/>
    </row>
    <row r="362">
      <c r="A362" s="4" t="n"/>
      <c r="B362" s="9">
        <f>IF(A362="","",INT((DAY(A362)-1)/7)+1)</f>
        <v/>
      </c>
      <c r="C362" s="9" t="n"/>
      <c r="D362" s="9" t="n"/>
      <c r="E362" s="9" t="n"/>
      <c r="F362" s="9" t="n"/>
      <c r="G362" s="9" t="n"/>
      <c r="H362" s="9" t="n"/>
      <c r="I362" s="9" t="n"/>
      <c r="J362" s="3" t="n"/>
      <c r="K362" s="9" t="n"/>
    </row>
    <row r="363">
      <c r="A363" s="4" t="n"/>
      <c r="B363" s="9">
        <f>IF(A363="","",INT((DAY(A363)-1)/7)+1)</f>
        <v/>
      </c>
      <c r="C363" s="9" t="n"/>
      <c r="D363" s="9" t="n"/>
      <c r="E363" s="9" t="n"/>
      <c r="F363" s="9" t="n"/>
      <c r="G363" s="9" t="n"/>
      <c r="H363" s="9" t="n"/>
      <c r="I363" s="9" t="n"/>
      <c r="J363" s="3" t="n"/>
      <c r="K363" s="9" t="n"/>
    </row>
    <row r="364">
      <c r="A364" s="4" t="n"/>
      <c r="B364" s="9">
        <f>IF(A364="","",INT((DAY(A364)-1)/7)+1)</f>
        <v/>
      </c>
      <c r="C364" s="9" t="n"/>
      <c r="D364" s="9" t="n"/>
      <c r="E364" s="9" t="n"/>
      <c r="F364" s="9" t="n"/>
      <c r="G364" s="9" t="n"/>
      <c r="H364" s="9" t="n"/>
      <c r="I364" s="9" t="n"/>
      <c r="J364" s="3" t="n"/>
      <c r="K364" s="9" t="n"/>
    </row>
    <row r="365">
      <c r="A365" s="4" t="n"/>
      <c r="B365" s="9">
        <f>IF(A365="","",INT((DAY(A365)-1)/7)+1)</f>
        <v/>
      </c>
      <c r="C365" s="9" t="n"/>
      <c r="D365" s="9" t="n"/>
      <c r="E365" s="9" t="n"/>
      <c r="F365" s="9" t="n"/>
      <c r="G365" s="9" t="n"/>
      <c r="H365" s="9" t="n"/>
      <c r="I365" s="9" t="n"/>
      <c r="J365" s="3" t="n"/>
      <c r="K365" s="9" t="n"/>
    </row>
    <row r="366">
      <c r="A366" s="4" t="n"/>
      <c r="B366" s="9">
        <f>IF(A366="","",INT((DAY(A366)-1)/7)+1)</f>
        <v/>
      </c>
      <c r="C366" s="9" t="n"/>
      <c r="D366" s="9" t="n"/>
      <c r="E366" s="9" t="n"/>
      <c r="F366" s="9" t="n"/>
      <c r="G366" s="9" t="n"/>
      <c r="H366" s="9" t="n"/>
      <c r="I366" s="9" t="n"/>
      <c r="J366" s="3" t="n"/>
      <c r="K366" s="9" t="n"/>
    </row>
    <row r="367">
      <c r="A367" s="4" t="n"/>
      <c r="B367" s="9">
        <f>IF(A367="","",INT((DAY(A367)-1)/7)+1)</f>
        <v/>
      </c>
      <c r="C367" s="9" t="n"/>
      <c r="D367" s="9" t="n"/>
      <c r="E367" s="9" t="n"/>
      <c r="F367" s="9" t="n"/>
      <c r="G367" s="9" t="n"/>
      <c r="H367" s="9" t="n"/>
      <c r="I367" s="9" t="n"/>
      <c r="J367" s="3" t="n"/>
      <c r="K367" s="9" t="n"/>
    </row>
    <row r="368">
      <c r="A368" s="4" t="n"/>
      <c r="B368" s="9">
        <f>IF(A368="","",INT((DAY(A368)-1)/7)+1)</f>
        <v/>
      </c>
      <c r="C368" s="9" t="n"/>
      <c r="D368" s="9" t="n"/>
      <c r="E368" s="9" t="n"/>
      <c r="F368" s="9" t="n"/>
      <c r="G368" s="9" t="n"/>
      <c r="H368" s="9" t="n"/>
      <c r="I368" s="9" t="n"/>
      <c r="J368" s="3" t="n"/>
      <c r="K368" s="9" t="n"/>
    </row>
    <row r="369">
      <c r="A369" s="4" t="n"/>
      <c r="B369" s="9">
        <f>IF(A369="","",INT((DAY(A369)-1)/7)+1)</f>
        <v/>
      </c>
      <c r="C369" s="9" t="n"/>
      <c r="D369" s="9" t="n"/>
      <c r="E369" s="9" t="n"/>
      <c r="F369" s="9" t="n"/>
      <c r="G369" s="9" t="n"/>
      <c r="H369" s="9" t="n"/>
      <c r="I369" s="9" t="n"/>
      <c r="J369" s="3" t="n"/>
      <c r="K369" s="9" t="n"/>
    </row>
    <row r="370">
      <c r="A370" s="4" t="n"/>
      <c r="B370" s="9">
        <f>IF(A370="","",INT((DAY(A370)-1)/7)+1)</f>
        <v/>
      </c>
      <c r="C370" s="9" t="n"/>
      <c r="D370" s="9" t="n"/>
      <c r="E370" s="9" t="n"/>
      <c r="F370" s="9" t="n"/>
      <c r="G370" s="9" t="n"/>
      <c r="H370" s="9" t="n"/>
      <c r="I370" s="9" t="n"/>
      <c r="J370" s="3" t="n"/>
      <c r="K370" s="9" t="n"/>
    </row>
    <row r="371">
      <c r="A371" s="4" t="n"/>
      <c r="B371" s="9">
        <f>IF(A371="","",INT((DAY(A371)-1)/7)+1)</f>
        <v/>
      </c>
      <c r="C371" s="9" t="n"/>
      <c r="D371" s="9" t="n"/>
      <c r="E371" s="9" t="n"/>
      <c r="F371" s="9" t="n"/>
      <c r="G371" s="9" t="n"/>
      <c r="H371" s="9" t="n"/>
      <c r="I371" s="9" t="n"/>
      <c r="J371" s="3" t="n"/>
      <c r="K371" s="9" t="n"/>
    </row>
    <row r="372">
      <c r="A372" s="4" t="n"/>
      <c r="B372" s="9">
        <f>IF(A372="","",INT((DAY(A372)-1)/7)+1)</f>
        <v/>
      </c>
      <c r="C372" s="9" t="n"/>
      <c r="D372" s="9" t="n"/>
      <c r="E372" s="9" t="n"/>
      <c r="F372" s="9" t="n"/>
      <c r="G372" s="9" t="n"/>
      <c r="H372" s="9" t="n"/>
      <c r="I372" s="9" t="n"/>
      <c r="J372" s="3" t="n"/>
      <c r="K372" s="9" t="n"/>
    </row>
    <row r="373">
      <c r="A373" s="4" t="n"/>
      <c r="B373" s="9">
        <f>IF(A373="","",INT((DAY(A373)-1)/7)+1)</f>
        <v/>
      </c>
      <c r="C373" s="9" t="n"/>
      <c r="D373" s="9" t="n"/>
      <c r="E373" s="9" t="n"/>
      <c r="F373" s="9" t="n"/>
      <c r="G373" s="9" t="n"/>
      <c r="H373" s="9" t="n"/>
      <c r="I373" s="9" t="n"/>
      <c r="J373" s="3" t="n"/>
      <c r="K373" s="9" t="n"/>
    </row>
    <row r="374">
      <c r="A374" s="4" t="n"/>
      <c r="B374" s="9">
        <f>IF(A374="","",INT((DAY(A374)-1)/7)+1)</f>
        <v/>
      </c>
      <c r="C374" s="9" t="n"/>
      <c r="D374" s="9" t="n"/>
      <c r="E374" s="9" t="n"/>
      <c r="F374" s="9" t="n"/>
      <c r="G374" s="9" t="n"/>
      <c r="H374" s="9" t="n"/>
      <c r="I374" s="9" t="n"/>
      <c r="J374" s="3" t="n"/>
      <c r="K374" s="9" t="n"/>
    </row>
    <row r="375">
      <c r="A375" s="4" t="n"/>
      <c r="B375" s="9">
        <f>IF(A375="","",INT((DAY(A375)-1)/7)+1)</f>
        <v/>
      </c>
      <c r="C375" s="9" t="n"/>
      <c r="D375" s="9" t="n"/>
      <c r="E375" s="9" t="n"/>
      <c r="F375" s="9" t="n"/>
      <c r="G375" s="9" t="n"/>
      <c r="H375" s="9" t="n"/>
      <c r="I375" s="9" t="n"/>
      <c r="J375" s="3" t="n"/>
      <c r="K375" s="9" t="n"/>
    </row>
    <row r="376">
      <c r="A376" s="4" t="n"/>
      <c r="B376" s="9">
        <f>IF(A376="","",INT((DAY(A376)-1)/7)+1)</f>
        <v/>
      </c>
      <c r="C376" s="9" t="n"/>
      <c r="D376" s="9" t="n"/>
      <c r="E376" s="9" t="n"/>
      <c r="F376" s="9" t="n"/>
      <c r="G376" s="9" t="n"/>
      <c r="H376" s="9" t="n"/>
      <c r="I376" s="9" t="n"/>
      <c r="J376" s="3" t="n"/>
      <c r="K376" s="9" t="n"/>
    </row>
    <row r="377">
      <c r="A377" s="4" t="n"/>
      <c r="B377" s="9">
        <f>IF(A377="","",INT((DAY(A377)-1)/7)+1)</f>
        <v/>
      </c>
      <c r="C377" s="9" t="n"/>
      <c r="D377" s="9" t="n"/>
      <c r="E377" s="9" t="n"/>
      <c r="F377" s="9" t="n"/>
      <c r="G377" s="9" t="n"/>
      <c r="H377" s="9" t="n"/>
      <c r="I377" s="9" t="n"/>
      <c r="J377" s="3" t="n"/>
      <c r="K377" s="9" t="n"/>
    </row>
    <row r="378">
      <c r="A378" s="4" t="n"/>
      <c r="B378" s="9">
        <f>IF(A378="","",INT((DAY(A378)-1)/7)+1)</f>
        <v/>
      </c>
      <c r="C378" s="9" t="n"/>
      <c r="D378" s="9" t="n"/>
      <c r="E378" s="9" t="n"/>
      <c r="F378" s="9" t="n"/>
      <c r="G378" s="9" t="n"/>
      <c r="H378" s="9" t="n"/>
      <c r="I378" s="9" t="n"/>
      <c r="J378" s="3" t="n"/>
      <c r="K378" s="9" t="n"/>
    </row>
    <row r="379">
      <c r="A379" s="4" t="n"/>
      <c r="B379" s="9">
        <f>IF(A379="","",INT((DAY(A379)-1)/7)+1)</f>
        <v/>
      </c>
      <c r="C379" s="9" t="n"/>
      <c r="D379" s="9" t="n"/>
      <c r="E379" s="9" t="n"/>
      <c r="F379" s="9" t="n"/>
      <c r="G379" s="9" t="n"/>
      <c r="H379" s="9" t="n"/>
      <c r="I379" s="9" t="n"/>
      <c r="J379" s="3" t="n"/>
      <c r="K379" s="9" t="n"/>
    </row>
    <row r="380">
      <c r="A380" s="4" t="n"/>
      <c r="B380" s="9">
        <f>IF(A380="","",INT((DAY(A380)-1)/7)+1)</f>
        <v/>
      </c>
      <c r="C380" s="9" t="n"/>
      <c r="D380" s="9" t="n"/>
      <c r="E380" s="9" t="n"/>
      <c r="F380" s="9" t="n"/>
      <c r="G380" s="9" t="n"/>
      <c r="H380" s="9" t="n"/>
      <c r="I380" s="9" t="n"/>
      <c r="J380" s="3" t="n"/>
      <c r="K380" s="9" t="n"/>
    </row>
    <row r="381">
      <c r="A381" s="4" t="n"/>
      <c r="B381" s="9">
        <f>IF(A381="","",INT((DAY(A381)-1)/7)+1)</f>
        <v/>
      </c>
      <c r="C381" s="9" t="n"/>
      <c r="D381" s="9" t="n"/>
      <c r="E381" s="9" t="n"/>
      <c r="F381" s="9" t="n"/>
      <c r="G381" s="9" t="n"/>
      <c r="H381" s="9" t="n"/>
      <c r="I381" s="9" t="n"/>
      <c r="J381" s="3" t="n"/>
      <c r="K381" s="9" t="n"/>
    </row>
    <row r="382">
      <c r="A382" s="4" t="n"/>
      <c r="B382" s="9">
        <f>IF(A382="","",INT((DAY(A382)-1)/7)+1)</f>
        <v/>
      </c>
      <c r="C382" s="9" t="n"/>
      <c r="D382" s="9" t="n"/>
      <c r="E382" s="9" t="n"/>
      <c r="F382" s="9" t="n"/>
      <c r="G382" s="9" t="n"/>
      <c r="H382" s="9" t="n"/>
      <c r="I382" s="9" t="n"/>
      <c r="J382" s="3" t="n"/>
      <c r="K382" s="9" t="n"/>
    </row>
    <row r="383">
      <c r="A383" s="4" t="n"/>
      <c r="B383" s="9">
        <f>IF(A383="","",INT((DAY(A383)-1)/7)+1)</f>
        <v/>
      </c>
      <c r="C383" s="9" t="n"/>
      <c r="D383" s="9" t="n"/>
      <c r="E383" s="9" t="n"/>
      <c r="F383" s="9" t="n"/>
      <c r="G383" s="9" t="n"/>
      <c r="H383" s="9" t="n"/>
      <c r="I383" s="9" t="n"/>
      <c r="J383" s="3" t="n"/>
      <c r="K383" s="9" t="n"/>
    </row>
    <row r="384">
      <c r="A384" s="4" t="n"/>
      <c r="B384" s="9">
        <f>IF(A384="","",INT((DAY(A384)-1)/7)+1)</f>
        <v/>
      </c>
      <c r="C384" s="9" t="n"/>
      <c r="D384" s="9" t="n"/>
      <c r="E384" s="9" t="n"/>
      <c r="F384" s="9" t="n"/>
      <c r="G384" s="9" t="n"/>
      <c r="H384" s="9" t="n"/>
      <c r="I384" s="9" t="n"/>
      <c r="J384" s="3" t="n"/>
      <c r="K384" s="9" t="n"/>
    </row>
    <row r="385">
      <c r="A385" s="4" t="n"/>
      <c r="B385" s="9">
        <f>IF(A385="","",INT((DAY(A385)-1)/7)+1)</f>
        <v/>
      </c>
      <c r="C385" s="9" t="n"/>
      <c r="D385" s="9" t="n"/>
      <c r="E385" s="9" t="n"/>
      <c r="F385" s="9" t="n"/>
      <c r="G385" s="9" t="n"/>
      <c r="H385" s="9" t="n"/>
      <c r="I385" s="9" t="n"/>
      <c r="J385" s="3" t="n"/>
      <c r="K385" s="9" t="n"/>
    </row>
    <row r="386">
      <c r="A386" s="4" t="n"/>
      <c r="B386" s="9">
        <f>IF(A386="","",INT((DAY(A386)-1)/7)+1)</f>
        <v/>
      </c>
      <c r="C386" s="9" t="n"/>
      <c r="D386" s="9" t="n"/>
      <c r="E386" s="9" t="n"/>
      <c r="F386" s="9" t="n"/>
      <c r="G386" s="9" t="n"/>
      <c r="H386" s="9" t="n"/>
      <c r="I386" s="9" t="n"/>
      <c r="J386" s="3" t="n"/>
      <c r="K386" s="9" t="n"/>
    </row>
    <row r="387">
      <c r="A387" s="4" t="n"/>
      <c r="B387" s="9">
        <f>IF(A387="","",INT((DAY(A387)-1)/7)+1)</f>
        <v/>
      </c>
      <c r="C387" s="9" t="n"/>
      <c r="D387" s="9" t="n"/>
      <c r="E387" s="9" t="n"/>
      <c r="F387" s="9" t="n"/>
      <c r="G387" s="9" t="n"/>
      <c r="H387" s="9" t="n"/>
      <c r="I387" s="9" t="n"/>
      <c r="J387" s="3" t="n"/>
      <c r="K387" s="9" t="n"/>
    </row>
    <row r="388">
      <c r="A388" s="4" t="n"/>
      <c r="B388" s="9">
        <f>IF(A388="","",INT((DAY(A388)-1)/7)+1)</f>
        <v/>
      </c>
      <c r="C388" s="9" t="n"/>
      <c r="D388" s="9" t="n"/>
      <c r="E388" s="9" t="n"/>
      <c r="F388" s="9" t="n"/>
      <c r="G388" s="9" t="n"/>
      <c r="H388" s="9" t="n"/>
      <c r="I388" s="9" t="n"/>
      <c r="J388" s="3" t="n"/>
      <c r="K388" s="9" t="n"/>
    </row>
    <row r="389">
      <c r="A389" s="4" t="n"/>
      <c r="B389" s="9">
        <f>IF(A389="","",INT((DAY(A389)-1)/7)+1)</f>
        <v/>
      </c>
      <c r="C389" s="9" t="n"/>
      <c r="D389" s="9" t="n"/>
      <c r="E389" s="9" t="n"/>
      <c r="F389" s="9" t="n"/>
      <c r="G389" s="9" t="n"/>
      <c r="H389" s="9" t="n"/>
      <c r="I389" s="9" t="n"/>
      <c r="J389" s="3" t="n"/>
      <c r="K389" s="9" t="n"/>
    </row>
    <row r="390">
      <c r="A390" s="4" t="n"/>
      <c r="B390" s="9">
        <f>IF(A390="","",INT((DAY(A390)-1)/7)+1)</f>
        <v/>
      </c>
      <c r="C390" s="9" t="n"/>
      <c r="D390" s="9" t="n"/>
      <c r="E390" s="9" t="n"/>
      <c r="F390" s="9" t="n"/>
      <c r="G390" s="9" t="n"/>
      <c r="H390" s="9" t="n"/>
      <c r="I390" s="9" t="n"/>
      <c r="J390" s="3" t="n"/>
      <c r="K390" s="9" t="n"/>
    </row>
    <row r="391">
      <c r="A391" s="4" t="n"/>
      <c r="B391" s="9">
        <f>IF(A391="","",INT((DAY(A391)-1)/7)+1)</f>
        <v/>
      </c>
      <c r="C391" s="9" t="n"/>
      <c r="D391" s="9" t="n"/>
      <c r="E391" s="9" t="n"/>
      <c r="F391" s="9" t="n"/>
      <c r="G391" s="9" t="n"/>
      <c r="H391" s="9" t="n"/>
      <c r="I391" s="9" t="n"/>
      <c r="J391" s="3" t="n"/>
      <c r="K391" s="9" t="n"/>
    </row>
    <row r="392">
      <c r="A392" s="4" t="n"/>
      <c r="B392" s="9">
        <f>IF(A392="","",INT((DAY(A392)-1)/7)+1)</f>
        <v/>
      </c>
      <c r="C392" s="9" t="n"/>
      <c r="D392" s="9" t="n"/>
      <c r="E392" s="9" t="n"/>
      <c r="F392" s="9" t="n"/>
      <c r="G392" s="9" t="n"/>
      <c r="H392" s="9" t="n"/>
      <c r="I392" s="9" t="n"/>
      <c r="J392" s="3" t="n"/>
      <c r="K392" s="9" t="n"/>
    </row>
    <row r="393">
      <c r="A393" s="4" t="n"/>
      <c r="B393" s="9">
        <f>IF(A393="","",INT((DAY(A393)-1)/7)+1)</f>
        <v/>
      </c>
      <c r="C393" s="9" t="n"/>
      <c r="D393" s="9" t="n"/>
      <c r="E393" s="9" t="n"/>
      <c r="F393" s="9" t="n"/>
      <c r="G393" s="9" t="n"/>
      <c r="H393" s="9" t="n"/>
      <c r="I393" s="9" t="n"/>
      <c r="J393" s="3" t="n"/>
      <c r="K393" s="9" t="n"/>
    </row>
    <row r="394">
      <c r="A394" s="4" t="n"/>
      <c r="B394" s="9">
        <f>IF(A394="","",INT((DAY(A394)-1)/7)+1)</f>
        <v/>
      </c>
      <c r="C394" s="9" t="n"/>
      <c r="D394" s="9" t="n"/>
      <c r="E394" s="9" t="n"/>
      <c r="F394" s="9" t="n"/>
      <c r="G394" s="9" t="n"/>
      <c r="H394" s="9" t="n"/>
      <c r="I394" s="9" t="n"/>
      <c r="J394" s="3" t="n"/>
      <c r="K394" s="9" t="n"/>
    </row>
    <row r="395">
      <c r="A395" s="4" t="n"/>
      <c r="B395" s="9">
        <f>IF(A395="","",INT((DAY(A395)-1)/7)+1)</f>
        <v/>
      </c>
      <c r="C395" s="9" t="n"/>
      <c r="D395" s="9" t="n"/>
      <c r="E395" s="9" t="n"/>
      <c r="F395" s="9" t="n"/>
      <c r="G395" s="9" t="n"/>
      <c r="H395" s="9" t="n"/>
      <c r="I395" s="9" t="n"/>
      <c r="J395" s="3" t="n"/>
      <c r="K395" s="9" t="n"/>
    </row>
    <row r="396">
      <c r="A396" s="4" t="n"/>
      <c r="B396" s="9">
        <f>IF(A396="","",INT((DAY(A396)-1)/7)+1)</f>
        <v/>
      </c>
      <c r="C396" s="9" t="n"/>
      <c r="D396" s="9" t="n"/>
      <c r="E396" s="9" t="n"/>
      <c r="F396" s="9" t="n"/>
      <c r="G396" s="9" t="n"/>
      <c r="H396" s="9" t="n"/>
      <c r="I396" s="9" t="n"/>
      <c r="J396" s="3" t="n"/>
      <c r="K396" s="9" t="n"/>
    </row>
    <row r="397">
      <c r="A397" s="4" t="n"/>
      <c r="B397" s="9">
        <f>IF(A397="","",INT((DAY(A397)-1)/7)+1)</f>
        <v/>
      </c>
      <c r="C397" s="9" t="n"/>
      <c r="D397" s="9" t="n"/>
      <c r="E397" s="9" t="n"/>
      <c r="F397" s="9" t="n"/>
      <c r="G397" s="9" t="n"/>
      <c r="H397" s="9" t="n"/>
      <c r="I397" s="9" t="n"/>
      <c r="J397" s="3" t="n"/>
      <c r="K397" s="9" t="n"/>
    </row>
    <row r="398">
      <c r="A398" s="4" t="n"/>
      <c r="B398" s="9">
        <f>IF(A398="","",INT((DAY(A398)-1)/7)+1)</f>
        <v/>
      </c>
      <c r="C398" s="9" t="n"/>
      <c r="D398" s="9" t="n"/>
      <c r="E398" s="9" t="n"/>
      <c r="F398" s="9" t="n"/>
      <c r="G398" s="9" t="n"/>
      <c r="H398" s="9" t="n"/>
      <c r="I398" s="9" t="n"/>
      <c r="J398" s="3" t="n"/>
      <c r="K398" s="9" t="n"/>
    </row>
    <row r="399">
      <c r="A399" s="4" t="n"/>
      <c r="B399" s="9">
        <f>IF(A399="","",INT((DAY(A399)-1)/7)+1)</f>
        <v/>
      </c>
      <c r="C399" s="9" t="n"/>
      <c r="D399" s="9" t="n"/>
      <c r="E399" s="9" t="n"/>
      <c r="F399" s="9" t="n"/>
      <c r="G399" s="9" t="n"/>
      <c r="H399" s="9" t="n"/>
      <c r="I399" s="9" t="n"/>
      <c r="J399" s="3" t="n"/>
      <c r="K399" s="9" t="n"/>
    </row>
    <row r="400">
      <c r="A400" s="4" t="n"/>
      <c r="B400" s="9">
        <f>IF(A400="","",INT((DAY(A400)-1)/7)+1)</f>
        <v/>
      </c>
      <c r="C400" s="9" t="n"/>
      <c r="D400" s="9" t="n"/>
      <c r="E400" s="9" t="n"/>
      <c r="F400" s="9" t="n"/>
      <c r="G400" s="9" t="n"/>
      <c r="H400" s="9" t="n"/>
      <c r="I400" s="9" t="n"/>
      <c r="J400" s="3" t="n"/>
      <c r="K400" s="9" t="n"/>
    </row>
    <row r="401">
      <c r="A401" s="4" t="n"/>
      <c r="B401" s="9">
        <f>IF(A401="","",INT((DAY(A401)-1)/7)+1)</f>
        <v/>
      </c>
      <c r="C401" s="9" t="n"/>
      <c r="D401" s="9" t="n"/>
      <c r="E401" s="9" t="n"/>
      <c r="F401" s="9" t="n"/>
      <c r="G401" s="9" t="n"/>
      <c r="H401" s="9" t="n"/>
      <c r="I401" s="9" t="n"/>
      <c r="J401" s="3" t="n"/>
      <c r="K401" s="9" t="n"/>
    </row>
    <row r="402">
      <c r="A402" s="4" t="n"/>
      <c r="B402" s="9">
        <f>IF(A402="","",INT((DAY(A402)-1)/7)+1)</f>
        <v/>
      </c>
      <c r="C402" s="9" t="n"/>
      <c r="D402" s="9" t="n"/>
      <c r="E402" s="9" t="n"/>
      <c r="F402" s="9" t="n"/>
      <c r="G402" s="9" t="n"/>
      <c r="H402" s="9" t="n"/>
      <c r="I402" s="9" t="n"/>
      <c r="J402" s="3" t="n"/>
      <c r="K402" s="9" t="n"/>
    </row>
    <row r="403">
      <c r="A403" s="4" t="n"/>
      <c r="B403" s="9">
        <f>IF(A403="","",INT((DAY(A403)-1)/7)+1)</f>
        <v/>
      </c>
      <c r="C403" s="9" t="n"/>
      <c r="D403" s="9" t="n"/>
      <c r="E403" s="9" t="n"/>
      <c r="F403" s="9" t="n"/>
      <c r="G403" s="9" t="n"/>
      <c r="H403" s="9" t="n"/>
      <c r="I403" s="9" t="n"/>
      <c r="J403" s="3" t="n"/>
      <c r="K403" s="9" t="n"/>
    </row>
    <row r="404">
      <c r="A404" s="4" t="n"/>
      <c r="B404" s="9">
        <f>IF(A404="","",INT((DAY(A404)-1)/7)+1)</f>
        <v/>
      </c>
      <c r="C404" s="9" t="n"/>
      <c r="D404" s="9" t="n"/>
      <c r="E404" s="9" t="n"/>
      <c r="F404" s="9" t="n"/>
      <c r="G404" s="9" t="n"/>
      <c r="H404" s="9" t="n"/>
      <c r="I404" s="9" t="n"/>
      <c r="J404" s="3" t="n"/>
      <c r="K404" s="9" t="n"/>
    </row>
    <row r="405">
      <c r="A405" s="4" t="n"/>
      <c r="B405" s="9">
        <f>IF(A405="","",INT((DAY(A405)-1)/7)+1)</f>
        <v/>
      </c>
      <c r="C405" s="9" t="n"/>
      <c r="D405" s="9" t="n"/>
      <c r="E405" s="9" t="n"/>
      <c r="F405" s="9" t="n"/>
      <c r="G405" s="9" t="n"/>
      <c r="H405" s="9" t="n"/>
      <c r="I405" s="9" t="n"/>
      <c r="J405" s="3" t="n"/>
      <c r="K405" s="9" t="n"/>
    </row>
    <row r="406">
      <c r="A406" s="4" t="n"/>
      <c r="B406" s="9">
        <f>IF(A406="","",INT((DAY(A406)-1)/7)+1)</f>
        <v/>
      </c>
      <c r="C406" s="9" t="n"/>
      <c r="D406" s="9" t="n"/>
      <c r="E406" s="9" t="n"/>
      <c r="F406" s="9" t="n"/>
      <c r="G406" s="9" t="n"/>
      <c r="H406" s="9" t="n"/>
      <c r="I406" s="9" t="n"/>
      <c r="J406" s="3" t="n"/>
      <c r="K406" s="9" t="n"/>
    </row>
    <row r="407">
      <c r="A407" s="4" t="n"/>
      <c r="B407" s="9">
        <f>IF(A407="","",INT((DAY(A407)-1)/7)+1)</f>
        <v/>
      </c>
      <c r="C407" s="9" t="n"/>
      <c r="D407" s="9" t="n"/>
      <c r="E407" s="9" t="n"/>
      <c r="F407" s="9" t="n"/>
      <c r="G407" s="9" t="n"/>
      <c r="H407" s="9" t="n"/>
      <c r="I407" s="9" t="n"/>
      <c r="J407" s="3" t="n"/>
      <c r="K407" s="9" t="n"/>
    </row>
    <row r="408">
      <c r="A408" s="4" t="n"/>
      <c r="B408" s="9">
        <f>IF(A408="","",INT((DAY(A408)-1)/7)+1)</f>
        <v/>
      </c>
      <c r="C408" s="9" t="n"/>
      <c r="D408" s="9" t="n"/>
      <c r="E408" s="9" t="n"/>
      <c r="F408" s="9" t="n"/>
      <c r="G408" s="9" t="n"/>
      <c r="H408" s="9" t="n"/>
      <c r="I408" s="9" t="n"/>
      <c r="J408" s="3" t="n"/>
      <c r="K408" s="9" t="n"/>
    </row>
    <row r="409">
      <c r="A409" s="4" t="n"/>
      <c r="B409" s="9">
        <f>IF(A409="","",INT((DAY(A409)-1)/7)+1)</f>
        <v/>
      </c>
      <c r="C409" s="9" t="n"/>
      <c r="D409" s="9" t="n"/>
      <c r="E409" s="9" t="n"/>
      <c r="F409" s="9" t="n"/>
      <c r="G409" s="9" t="n"/>
      <c r="H409" s="9" t="n"/>
      <c r="I409" s="9" t="n"/>
      <c r="J409" s="3" t="n"/>
      <c r="K409" s="9" t="n"/>
    </row>
    <row r="410">
      <c r="A410" s="4" t="n"/>
      <c r="B410" s="9">
        <f>IF(A410="","",INT((DAY(A410)-1)/7)+1)</f>
        <v/>
      </c>
      <c r="C410" s="9" t="n"/>
      <c r="D410" s="9" t="n"/>
      <c r="E410" s="9" t="n"/>
      <c r="F410" s="9" t="n"/>
      <c r="G410" s="9" t="n"/>
      <c r="H410" s="9" t="n"/>
      <c r="I410" s="9" t="n"/>
      <c r="J410" s="3" t="n"/>
      <c r="K410" s="9" t="n"/>
    </row>
    <row r="411">
      <c r="A411" s="4" t="n"/>
      <c r="B411" s="9">
        <f>IF(A411="","",INT((DAY(A411)-1)/7)+1)</f>
        <v/>
      </c>
      <c r="C411" s="9" t="n"/>
      <c r="D411" s="9" t="n"/>
      <c r="E411" s="9" t="n"/>
      <c r="F411" s="9" t="n"/>
      <c r="G411" s="9" t="n"/>
      <c r="H411" s="9" t="n"/>
      <c r="I411" s="9" t="n"/>
      <c r="J411" s="3" t="n"/>
      <c r="K411" s="9" t="n"/>
    </row>
    <row r="412">
      <c r="A412" s="4" t="n"/>
      <c r="B412" s="9">
        <f>IF(A412="","",INT((DAY(A412)-1)/7)+1)</f>
        <v/>
      </c>
      <c r="C412" s="9" t="n"/>
      <c r="D412" s="9" t="n"/>
      <c r="E412" s="9" t="n"/>
      <c r="F412" s="9" t="n"/>
      <c r="G412" s="9" t="n"/>
      <c r="H412" s="9" t="n"/>
      <c r="I412" s="9" t="n"/>
      <c r="J412" s="3" t="n"/>
      <c r="K412" s="9" t="n"/>
    </row>
    <row r="413">
      <c r="A413" s="4" t="n"/>
      <c r="B413" s="9">
        <f>IF(A413="","",INT((DAY(A413)-1)/7)+1)</f>
        <v/>
      </c>
      <c r="C413" s="9" t="n"/>
      <c r="D413" s="9" t="n"/>
      <c r="E413" s="9" t="n"/>
      <c r="F413" s="9" t="n"/>
      <c r="G413" s="9" t="n"/>
      <c r="H413" s="9" t="n"/>
      <c r="I413" s="9" t="n"/>
      <c r="J413" s="3" t="n"/>
      <c r="K413" s="9" t="n"/>
    </row>
    <row r="414">
      <c r="A414" s="4" t="n"/>
      <c r="B414" s="9">
        <f>IF(A414="","",INT((DAY(A414)-1)/7)+1)</f>
        <v/>
      </c>
      <c r="C414" s="9" t="n"/>
      <c r="D414" s="9" t="n"/>
      <c r="E414" s="9" t="n"/>
      <c r="F414" s="9" t="n"/>
      <c r="G414" s="9" t="n"/>
      <c r="H414" s="9" t="n"/>
      <c r="I414" s="9" t="n"/>
      <c r="J414" s="3" t="n"/>
      <c r="K414" s="9" t="n"/>
    </row>
    <row r="415">
      <c r="A415" s="4" t="n"/>
      <c r="B415" s="9">
        <f>IF(A415="","",INT((DAY(A415)-1)/7)+1)</f>
        <v/>
      </c>
      <c r="C415" s="9" t="n"/>
      <c r="D415" s="9" t="n"/>
      <c r="E415" s="9" t="n"/>
      <c r="F415" s="9" t="n"/>
      <c r="G415" s="9" t="n"/>
      <c r="H415" s="9" t="n"/>
      <c r="I415" s="9" t="n"/>
      <c r="J415" s="3" t="n"/>
      <c r="K415" s="9" t="n"/>
    </row>
    <row r="416">
      <c r="A416" s="4" t="n"/>
      <c r="B416" s="9">
        <f>IF(A416="","",INT((DAY(A416)-1)/7)+1)</f>
        <v/>
      </c>
      <c r="C416" s="9" t="n"/>
      <c r="D416" s="9" t="n"/>
      <c r="E416" s="9" t="n"/>
      <c r="F416" s="9" t="n"/>
      <c r="G416" s="9" t="n"/>
      <c r="H416" s="9" t="n"/>
      <c r="I416" s="9" t="n"/>
      <c r="J416" s="3" t="n"/>
      <c r="K416" s="9" t="n"/>
    </row>
    <row r="417">
      <c r="A417" s="4" t="n"/>
      <c r="B417" s="9">
        <f>IF(A417="","",INT((DAY(A417)-1)/7)+1)</f>
        <v/>
      </c>
      <c r="C417" s="9" t="n"/>
      <c r="D417" s="9" t="n"/>
      <c r="E417" s="9" t="n"/>
      <c r="F417" s="9" t="n"/>
      <c r="G417" s="9" t="n"/>
      <c r="H417" s="9" t="n"/>
      <c r="I417" s="9" t="n"/>
      <c r="J417" s="3" t="n"/>
      <c r="K417" s="9" t="n"/>
    </row>
    <row r="418">
      <c r="A418" s="4" t="n"/>
      <c r="B418" s="9">
        <f>IF(A418="","",INT((DAY(A418)-1)/7)+1)</f>
        <v/>
      </c>
      <c r="C418" s="9" t="n"/>
      <c r="D418" s="9" t="n"/>
      <c r="E418" s="9" t="n"/>
      <c r="F418" s="9" t="n"/>
      <c r="G418" s="9" t="n"/>
      <c r="H418" s="9" t="n"/>
      <c r="I418" s="9" t="n"/>
      <c r="J418" s="3" t="n"/>
      <c r="K418" s="9" t="n"/>
    </row>
    <row r="419">
      <c r="A419" s="4" t="n"/>
      <c r="B419" s="9">
        <f>IF(A419="","",INT((DAY(A419)-1)/7)+1)</f>
        <v/>
      </c>
      <c r="C419" s="9" t="n"/>
      <c r="D419" s="9" t="n"/>
      <c r="E419" s="9" t="n"/>
      <c r="F419" s="9" t="n"/>
      <c r="G419" s="9" t="n"/>
      <c r="H419" s="9" t="n"/>
      <c r="I419" s="9" t="n"/>
      <c r="J419" s="3" t="n"/>
      <c r="K419" s="9" t="n"/>
    </row>
    <row r="420">
      <c r="A420" s="4" t="n"/>
      <c r="B420" s="9">
        <f>IF(A420="","",INT((DAY(A420)-1)/7)+1)</f>
        <v/>
      </c>
      <c r="C420" s="9" t="n"/>
      <c r="D420" s="9" t="n"/>
      <c r="E420" s="9" t="n"/>
      <c r="F420" s="9" t="n"/>
      <c r="G420" s="9" t="n"/>
      <c r="H420" s="9" t="n"/>
      <c r="I420" s="9" t="n"/>
      <c r="J420" s="3" t="n"/>
      <c r="K420" s="9" t="n"/>
    </row>
    <row r="421">
      <c r="A421" s="4" t="n"/>
      <c r="B421" s="9">
        <f>IF(A421="","",INT((DAY(A421)-1)/7)+1)</f>
        <v/>
      </c>
      <c r="C421" s="9" t="n"/>
      <c r="D421" s="9" t="n"/>
      <c r="E421" s="9" t="n"/>
      <c r="F421" s="9" t="n"/>
      <c r="G421" s="9" t="n"/>
      <c r="H421" s="9" t="n"/>
      <c r="I421" s="9" t="n"/>
      <c r="J421" s="3" t="n"/>
      <c r="K421" s="9" t="n"/>
    </row>
    <row r="422">
      <c r="A422" s="4" t="n"/>
      <c r="B422" s="9">
        <f>IF(A422="","",INT((DAY(A422)-1)/7)+1)</f>
        <v/>
      </c>
      <c r="C422" s="9" t="n"/>
      <c r="D422" s="9" t="n"/>
      <c r="E422" s="9" t="n"/>
      <c r="F422" s="9" t="n"/>
      <c r="G422" s="9" t="n"/>
      <c r="H422" s="9" t="n"/>
      <c r="I422" s="9" t="n"/>
      <c r="J422" s="3" t="n"/>
      <c r="K422" s="9" t="n"/>
    </row>
    <row r="423">
      <c r="A423" s="4" t="n"/>
      <c r="B423" s="9">
        <f>IF(A423="","",INT((DAY(A423)-1)/7)+1)</f>
        <v/>
      </c>
      <c r="C423" s="9" t="n"/>
      <c r="D423" s="9" t="n"/>
      <c r="E423" s="9" t="n"/>
      <c r="F423" s="9" t="n"/>
      <c r="G423" s="9" t="n"/>
      <c r="H423" s="9" t="n"/>
      <c r="I423" s="9" t="n"/>
      <c r="J423" s="3" t="n"/>
      <c r="K423" s="9" t="n"/>
    </row>
    <row r="424">
      <c r="A424" s="4" t="n"/>
      <c r="B424" s="9">
        <f>IF(A424="","",INT((DAY(A424)-1)/7)+1)</f>
        <v/>
      </c>
      <c r="C424" s="9" t="n"/>
      <c r="D424" s="9" t="n"/>
      <c r="E424" s="9" t="n"/>
      <c r="F424" s="9" t="n"/>
      <c r="G424" s="9" t="n"/>
      <c r="H424" s="9" t="n"/>
      <c r="I424" s="9" t="n"/>
      <c r="J424" s="3" t="n"/>
      <c r="K424" s="9" t="n"/>
    </row>
    <row r="425">
      <c r="A425" s="4" t="n"/>
      <c r="B425" s="9">
        <f>IF(A425="","",INT((DAY(A425)-1)/7)+1)</f>
        <v/>
      </c>
      <c r="C425" s="9" t="n"/>
      <c r="D425" s="9" t="n"/>
      <c r="E425" s="9" t="n"/>
      <c r="F425" s="9" t="n"/>
      <c r="G425" s="9" t="n"/>
      <c r="H425" s="9" t="n"/>
      <c r="I425" s="9" t="n"/>
      <c r="J425" s="3" t="n"/>
      <c r="K425" s="9" t="n"/>
    </row>
    <row r="426">
      <c r="A426" s="4" t="n"/>
      <c r="B426" s="9">
        <f>IF(A426="","",INT((DAY(A426)-1)/7)+1)</f>
        <v/>
      </c>
      <c r="C426" s="9" t="n"/>
      <c r="D426" s="9" t="n"/>
      <c r="E426" s="9" t="n"/>
      <c r="F426" s="9" t="n"/>
      <c r="G426" s="9" t="n"/>
      <c r="H426" s="9" t="n"/>
      <c r="I426" s="9" t="n"/>
      <c r="J426" s="3" t="n"/>
      <c r="K426" s="9" t="n"/>
    </row>
    <row r="427">
      <c r="A427" s="4" t="n"/>
      <c r="B427" s="9">
        <f>IF(A427="","",INT((DAY(A427)-1)/7)+1)</f>
        <v/>
      </c>
      <c r="C427" s="9" t="n"/>
      <c r="D427" s="9" t="n"/>
      <c r="E427" s="9" t="n"/>
      <c r="F427" s="9" t="n"/>
      <c r="G427" s="9" t="n"/>
      <c r="H427" s="9" t="n"/>
      <c r="I427" s="9" t="n"/>
      <c r="J427" s="3" t="n"/>
      <c r="K427" s="9" t="n"/>
    </row>
    <row r="428">
      <c r="A428" s="4" t="n"/>
      <c r="B428" s="9">
        <f>IF(A428="","",INT((DAY(A428)-1)/7)+1)</f>
        <v/>
      </c>
      <c r="C428" s="9" t="n"/>
      <c r="D428" s="9" t="n"/>
      <c r="E428" s="9" t="n"/>
      <c r="F428" s="9" t="n"/>
      <c r="G428" s="9" t="n"/>
      <c r="H428" s="9" t="n"/>
      <c r="I428" s="9" t="n"/>
      <c r="J428" s="3" t="n"/>
      <c r="K428" s="9" t="n"/>
    </row>
    <row r="429">
      <c r="A429" s="4" t="n"/>
      <c r="B429" s="9">
        <f>IF(A429="","",INT((DAY(A429)-1)/7)+1)</f>
        <v/>
      </c>
      <c r="C429" s="9" t="n"/>
      <c r="D429" s="9" t="n"/>
      <c r="E429" s="9" t="n"/>
      <c r="F429" s="9" t="n"/>
      <c r="G429" s="9" t="n"/>
      <c r="H429" s="9" t="n"/>
      <c r="I429" s="9" t="n"/>
      <c r="J429" s="3" t="n"/>
      <c r="K429" s="9" t="n"/>
    </row>
    <row r="430">
      <c r="A430" s="4" t="n"/>
      <c r="B430" s="9">
        <f>IF(A430="","",INT((DAY(A430)-1)/7)+1)</f>
        <v/>
      </c>
      <c r="C430" s="9" t="n"/>
      <c r="D430" s="9" t="n"/>
      <c r="E430" s="9" t="n"/>
      <c r="F430" s="9" t="n"/>
      <c r="G430" s="9" t="n"/>
      <c r="H430" s="9" t="n"/>
      <c r="I430" s="9" t="n"/>
      <c r="J430" s="3" t="n"/>
      <c r="K430" s="9" t="n"/>
    </row>
    <row r="431">
      <c r="A431" s="4" t="n"/>
      <c r="B431" s="9">
        <f>IF(A431="","",INT((DAY(A431)-1)/7)+1)</f>
        <v/>
      </c>
      <c r="C431" s="9" t="n"/>
      <c r="D431" s="9" t="n"/>
      <c r="E431" s="9" t="n"/>
      <c r="F431" s="9" t="n"/>
      <c r="G431" s="9" t="n"/>
      <c r="H431" s="9" t="n"/>
      <c r="I431" s="9" t="n"/>
      <c r="J431" s="3" t="n"/>
      <c r="K431" s="9" t="n"/>
    </row>
    <row r="432">
      <c r="A432" s="4" t="n"/>
      <c r="B432" s="9">
        <f>IF(A432="","",INT((DAY(A432)-1)/7)+1)</f>
        <v/>
      </c>
      <c r="C432" s="9" t="n"/>
      <c r="D432" s="9" t="n"/>
      <c r="E432" s="9" t="n"/>
      <c r="F432" s="9" t="n"/>
      <c r="G432" s="9" t="n"/>
      <c r="H432" s="9" t="n"/>
      <c r="I432" s="9" t="n"/>
      <c r="J432" s="3" t="n"/>
      <c r="K432" s="9" t="n"/>
    </row>
    <row r="433">
      <c r="A433" s="4" t="n"/>
      <c r="B433" s="9">
        <f>IF(A433="","",INT((DAY(A433)-1)/7)+1)</f>
        <v/>
      </c>
      <c r="C433" s="9" t="n"/>
      <c r="D433" s="9" t="n"/>
      <c r="E433" s="9" t="n"/>
      <c r="F433" s="9" t="n"/>
      <c r="G433" s="9" t="n"/>
      <c r="H433" s="9" t="n"/>
      <c r="I433" s="9" t="n"/>
      <c r="J433" s="3" t="n"/>
      <c r="K433" s="9" t="n"/>
    </row>
    <row r="434">
      <c r="A434" s="4" t="n"/>
      <c r="B434" s="9">
        <f>IF(A434="","",INT((DAY(A434)-1)/7)+1)</f>
        <v/>
      </c>
      <c r="C434" s="9" t="n"/>
      <c r="D434" s="9" t="n"/>
      <c r="E434" s="9" t="n"/>
      <c r="F434" s="9" t="n"/>
      <c r="G434" s="9" t="n"/>
      <c r="H434" s="9" t="n"/>
      <c r="I434" s="9" t="n"/>
      <c r="J434" s="3" t="n"/>
      <c r="K434" s="9" t="n"/>
    </row>
    <row r="435">
      <c r="A435" s="4" t="n"/>
      <c r="B435" s="9">
        <f>IF(A435="","",INT((DAY(A435)-1)/7)+1)</f>
        <v/>
      </c>
      <c r="C435" s="9" t="n"/>
      <c r="D435" s="9" t="n"/>
      <c r="E435" s="9" t="n"/>
      <c r="F435" s="9" t="n"/>
      <c r="G435" s="9" t="n"/>
      <c r="H435" s="9" t="n"/>
      <c r="I435" s="9" t="n"/>
      <c r="J435" s="3" t="n"/>
      <c r="K435" s="9" t="n"/>
    </row>
    <row r="436">
      <c r="A436" s="4" t="n"/>
      <c r="B436" s="9">
        <f>IF(A436="","",INT((DAY(A436)-1)/7)+1)</f>
        <v/>
      </c>
      <c r="C436" s="9" t="n"/>
      <c r="D436" s="9" t="n"/>
      <c r="E436" s="9" t="n"/>
      <c r="F436" s="9" t="n"/>
      <c r="G436" s="9" t="n"/>
      <c r="H436" s="9" t="n"/>
      <c r="I436" s="9" t="n"/>
      <c r="J436" s="3" t="n"/>
      <c r="K436" s="9" t="n"/>
    </row>
    <row r="437">
      <c r="A437" s="4" t="n"/>
      <c r="B437" s="9">
        <f>IF(A437="","",INT((DAY(A437)-1)/7)+1)</f>
        <v/>
      </c>
      <c r="C437" s="9" t="n"/>
      <c r="D437" s="9" t="n"/>
      <c r="E437" s="9" t="n"/>
      <c r="F437" s="9" t="n"/>
      <c r="G437" s="9" t="n"/>
      <c r="H437" s="9" t="n"/>
      <c r="I437" s="9" t="n"/>
      <c r="J437" s="3" t="n"/>
      <c r="K437" s="9" t="n"/>
    </row>
    <row r="438">
      <c r="A438" s="4" t="n"/>
      <c r="B438" s="9">
        <f>IF(A438="","",INT((DAY(A438)-1)/7)+1)</f>
        <v/>
      </c>
      <c r="C438" s="9" t="n"/>
      <c r="D438" s="9" t="n"/>
      <c r="E438" s="9" t="n"/>
      <c r="F438" s="9" t="n"/>
      <c r="G438" s="9" t="n"/>
      <c r="H438" s="9" t="n"/>
      <c r="I438" s="9" t="n"/>
      <c r="J438" s="3" t="n"/>
      <c r="K438" s="9" t="n"/>
    </row>
    <row r="439">
      <c r="A439" s="4" t="n"/>
      <c r="B439" s="9">
        <f>IF(A439="","",INT((DAY(A439)-1)/7)+1)</f>
        <v/>
      </c>
      <c r="C439" s="9" t="n"/>
      <c r="D439" s="9" t="n"/>
      <c r="E439" s="9" t="n"/>
      <c r="F439" s="9" t="n"/>
      <c r="G439" s="9" t="n"/>
      <c r="H439" s="9" t="n"/>
      <c r="I439" s="9" t="n"/>
      <c r="J439" s="3" t="n"/>
      <c r="K439" s="9" t="n"/>
    </row>
    <row r="440">
      <c r="A440" s="4" t="n"/>
      <c r="B440" s="9">
        <f>IF(A440="","",INT((DAY(A440)-1)/7)+1)</f>
        <v/>
      </c>
      <c r="C440" s="9" t="n"/>
      <c r="D440" s="9" t="n"/>
      <c r="E440" s="9" t="n"/>
      <c r="F440" s="9" t="n"/>
      <c r="G440" s="9" t="n"/>
      <c r="H440" s="9" t="n"/>
      <c r="I440" s="9" t="n"/>
      <c r="J440" s="3" t="n"/>
      <c r="K440" s="9" t="n"/>
    </row>
    <row r="441">
      <c r="A441" s="4" t="n"/>
      <c r="B441" s="9">
        <f>IF(A441="","",INT((DAY(A441)-1)/7)+1)</f>
        <v/>
      </c>
      <c r="C441" s="9" t="n"/>
      <c r="D441" s="9" t="n"/>
      <c r="E441" s="9" t="n"/>
      <c r="F441" s="9" t="n"/>
      <c r="G441" s="9" t="n"/>
      <c r="H441" s="9" t="n"/>
      <c r="I441" s="9" t="n"/>
      <c r="J441" s="3" t="n"/>
      <c r="K441" s="9" t="n"/>
    </row>
    <row r="442">
      <c r="A442" s="4" t="n"/>
      <c r="B442" s="9">
        <f>IF(A442="","",INT((DAY(A442)-1)/7)+1)</f>
        <v/>
      </c>
      <c r="C442" s="9" t="n"/>
      <c r="D442" s="9" t="n"/>
      <c r="E442" s="9" t="n"/>
      <c r="F442" s="9" t="n"/>
      <c r="G442" s="9" t="n"/>
      <c r="H442" s="9" t="n"/>
      <c r="I442" s="9" t="n"/>
      <c r="J442" s="3" t="n"/>
      <c r="K442" s="9" t="n"/>
    </row>
    <row r="443">
      <c r="A443" s="4" t="n"/>
      <c r="B443" s="9">
        <f>IF(A443="","",INT((DAY(A443)-1)/7)+1)</f>
        <v/>
      </c>
      <c r="C443" s="9" t="n"/>
      <c r="D443" s="9" t="n"/>
      <c r="E443" s="9" t="n"/>
      <c r="F443" s="9" t="n"/>
      <c r="G443" s="9" t="n"/>
      <c r="H443" s="9" t="n"/>
      <c r="I443" s="9" t="n"/>
      <c r="J443" s="3" t="n"/>
      <c r="K443" s="9" t="n"/>
    </row>
    <row r="444">
      <c r="A444" s="4" t="n"/>
      <c r="B444" s="9">
        <f>IF(A444="","",INT((DAY(A444)-1)/7)+1)</f>
        <v/>
      </c>
      <c r="C444" s="9" t="n"/>
      <c r="D444" s="9" t="n"/>
      <c r="E444" s="9" t="n"/>
      <c r="F444" s="9" t="n"/>
      <c r="G444" s="9" t="n"/>
      <c r="H444" s="9" t="n"/>
      <c r="I444" s="9" t="n"/>
      <c r="J444" s="3" t="n"/>
      <c r="K444" s="9" t="n"/>
    </row>
    <row r="445">
      <c r="A445" s="4" t="n"/>
      <c r="B445" s="9">
        <f>IF(A445="","",INT((DAY(A445)-1)/7)+1)</f>
        <v/>
      </c>
      <c r="C445" s="9" t="n"/>
      <c r="D445" s="9" t="n"/>
      <c r="E445" s="9" t="n"/>
      <c r="F445" s="9" t="n"/>
      <c r="G445" s="9" t="n"/>
      <c r="H445" s="9" t="n"/>
      <c r="I445" s="9" t="n"/>
      <c r="J445" s="3" t="n"/>
      <c r="K445" s="9" t="n"/>
    </row>
    <row r="446">
      <c r="A446" s="4" t="n"/>
      <c r="B446" s="9">
        <f>IF(A446="","",INT((DAY(A446)-1)/7)+1)</f>
        <v/>
      </c>
      <c r="C446" s="9" t="n"/>
      <c r="D446" s="9" t="n"/>
      <c r="E446" s="9" t="n"/>
      <c r="F446" s="9" t="n"/>
      <c r="G446" s="9" t="n"/>
      <c r="H446" s="9" t="n"/>
      <c r="I446" s="9" t="n"/>
      <c r="J446" s="3" t="n"/>
      <c r="K446" s="9" t="n"/>
    </row>
    <row r="447">
      <c r="A447" s="4" t="n"/>
      <c r="B447" s="9">
        <f>IF(A447="","",INT((DAY(A447)-1)/7)+1)</f>
        <v/>
      </c>
      <c r="C447" s="9" t="n"/>
      <c r="D447" s="9" t="n"/>
      <c r="E447" s="9" t="n"/>
      <c r="F447" s="9" t="n"/>
      <c r="G447" s="9" t="n"/>
      <c r="H447" s="9" t="n"/>
      <c r="I447" s="9" t="n"/>
      <c r="J447" s="3" t="n"/>
      <c r="K447" s="9" t="n"/>
    </row>
    <row r="448">
      <c r="A448" s="4" t="n"/>
      <c r="B448" s="9">
        <f>IF(A448="","",INT((DAY(A448)-1)/7)+1)</f>
        <v/>
      </c>
      <c r="C448" s="9" t="n"/>
      <c r="D448" s="9" t="n"/>
      <c r="E448" s="9" t="n"/>
      <c r="F448" s="9" t="n"/>
      <c r="G448" s="9" t="n"/>
      <c r="H448" s="9" t="n"/>
      <c r="I448" s="9" t="n"/>
      <c r="J448" s="3" t="n"/>
      <c r="K448" s="9" t="n"/>
    </row>
    <row r="449">
      <c r="A449" s="4" t="n"/>
      <c r="B449" s="9">
        <f>IF(A449="","",INT((DAY(A449)-1)/7)+1)</f>
        <v/>
      </c>
      <c r="C449" s="9" t="n"/>
      <c r="D449" s="9" t="n"/>
      <c r="E449" s="9" t="n"/>
      <c r="F449" s="9" t="n"/>
      <c r="G449" s="9" t="n"/>
      <c r="H449" s="9" t="n"/>
      <c r="I449" s="9" t="n"/>
      <c r="J449" s="3" t="n"/>
      <c r="K449" s="9" t="n"/>
    </row>
    <row r="450">
      <c r="A450" s="4" t="n"/>
      <c r="B450" s="9">
        <f>IF(A450="","",INT((DAY(A450)-1)/7)+1)</f>
        <v/>
      </c>
      <c r="C450" s="9" t="n"/>
      <c r="D450" s="9" t="n"/>
      <c r="E450" s="9" t="n"/>
      <c r="F450" s="9" t="n"/>
      <c r="G450" s="9" t="n"/>
      <c r="H450" s="9" t="n"/>
      <c r="I450" s="9" t="n"/>
      <c r="J450" s="3" t="n"/>
      <c r="K450" s="9" t="n"/>
    </row>
    <row r="451">
      <c r="A451" s="4" t="n"/>
      <c r="B451" s="9">
        <f>IF(A451="","",INT((DAY(A451)-1)/7)+1)</f>
        <v/>
      </c>
      <c r="C451" s="9" t="n"/>
      <c r="D451" s="9" t="n"/>
      <c r="E451" s="9" t="n"/>
      <c r="F451" s="9" t="n"/>
      <c r="G451" s="9" t="n"/>
      <c r="H451" s="9" t="n"/>
      <c r="I451" s="9" t="n"/>
      <c r="J451" s="3" t="n"/>
      <c r="K451" s="9" t="n"/>
    </row>
    <row r="452">
      <c r="A452" s="4" t="n"/>
      <c r="B452" s="9">
        <f>IF(A452="","",INT((DAY(A452)-1)/7)+1)</f>
        <v/>
      </c>
      <c r="C452" s="9" t="n"/>
      <c r="D452" s="9" t="n"/>
      <c r="E452" s="9" t="n"/>
      <c r="F452" s="9" t="n"/>
      <c r="G452" s="9" t="n"/>
      <c r="H452" s="9" t="n"/>
      <c r="I452" s="9" t="n"/>
      <c r="J452" s="3" t="n"/>
      <c r="K452" s="9" t="n"/>
    </row>
    <row r="453">
      <c r="A453" s="4" t="n"/>
      <c r="B453" s="9">
        <f>IF(A453="","",INT((DAY(A453)-1)/7)+1)</f>
        <v/>
      </c>
      <c r="C453" s="9" t="n"/>
      <c r="D453" s="9" t="n"/>
      <c r="E453" s="9" t="n"/>
      <c r="F453" s="9" t="n"/>
      <c r="G453" s="9" t="n"/>
      <c r="H453" s="9" t="n"/>
      <c r="I453" s="9" t="n"/>
      <c r="J453" s="3" t="n"/>
      <c r="K453" s="9" t="n"/>
    </row>
    <row r="454">
      <c r="A454" s="4" t="n"/>
      <c r="B454" s="9">
        <f>IF(A454="","",INT((DAY(A454)-1)/7)+1)</f>
        <v/>
      </c>
      <c r="C454" s="9" t="n"/>
      <c r="D454" s="9" t="n"/>
      <c r="E454" s="9" t="n"/>
      <c r="F454" s="9" t="n"/>
      <c r="G454" s="9" t="n"/>
      <c r="H454" s="9" t="n"/>
      <c r="I454" s="9" t="n"/>
      <c r="J454" s="3" t="n"/>
      <c r="K454" s="9" t="n"/>
    </row>
    <row r="455">
      <c r="A455" s="4" t="n"/>
      <c r="B455" s="9">
        <f>IF(A455="","",INT((DAY(A455)-1)/7)+1)</f>
        <v/>
      </c>
      <c r="C455" s="9" t="n"/>
      <c r="D455" s="9" t="n"/>
      <c r="E455" s="9" t="n"/>
      <c r="F455" s="9" t="n"/>
      <c r="G455" s="9" t="n"/>
      <c r="H455" s="9" t="n"/>
      <c r="I455" s="9" t="n"/>
      <c r="J455" s="3" t="n"/>
      <c r="K455" s="9" t="n"/>
    </row>
    <row r="456">
      <c r="A456" s="4" t="n"/>
      <c r="B456" s="9">
        <f>IF(A456="","",INT((DAY(A456)-1)/7)+1)</f>
        <v/>
      </c>
      <c r="C456" s="9" t="n"/>
      <c r="D456" s="9" t="n"/>
      <c r="E456" s="9" t="n"/>
      <c r="F456" s="9" t="n"/>
      <c r="G456" s="9" t="n"/>
      <c r="H456" s="9" t="n"/>
      <c r="I456" s="9" t="n"/>
      <c r="J456" s="3" t="n"/>
      <c r="K456" s="9" t="n"/>
    </row>
    <row r="457">
      <c r="A457" s="4" t="n"/>
      <c r="B457" s="9">
        <f>IF(A457="","",INT((DAY(A457)-1)/7)+1)</f>
        <v/>
      </c>
      <c r="C457" s="9" t="n"/>
      <c r="D457" s="9" t="n"/>
      <c r="E457" s="9" t="n"/>
      <c r="F457" s="9" t="n"/>
      <c r="G457" s="9" t="n"/>
      <c r="H457" s="9" t="n"/>
      <c r="I457" s="9" t="n"/>
      <c r="J457" s="3" t="n"/>
      <c r="K457" s="9" t="n"/>
    </row>
    <row r="458">
      <c r="A458" s="4" t="n"/>
      <c r="B458" s="9">
        <f>IF(A458="","",INT((DAY(A458)-1)/7)+1)</f>
        <v/>
      </c>
      <c r="C458" s="9" t="n"/>
      <c r="D458" s="9" t="n"/>
      <c r="E458" s="9" t="n"/>
      <c r="F458" s="9" t="n"/>
      <c r="G458" s="9" t="n"/>
      <c r="H458" s="9" t="n"/>
      <c r="I458" s="9" t="n"/>
      <c r="J458" s="3" t="n"/>
      <c r="K458" s="9" t="n"/>
    </row>
    <row r="459">
      <c r="A459" s="4" t="n"/>
      <c r="B459" s="9">
        <f>IF(A459="","",INT((DAY(A459)-1)/7)+1)</f>
        <v/>
      </c>
      <c r="C459" s="9" t="n"/>
      <c r="D459" s="9" t="n"/>
      <c r="E459" s="9" t="n"/>
      <c r="F459" s="9" t="n"/>
      <c r="G459" s="9" t="n"/>
      <c r="H459" s="9" t="n"/>
      <c r="I459" s="9" t="n"/>
      <c r="J459" s="3" t="n"/>
      <c r="K459" s="9" t="n"/>
    </row>
    <row r="460">
      <c r="A460" s="4" t="n"/>
      <c r="B460" s="9">
        <f>IF(A460="","",INT((DAY(A460)-1)/7)+1)</f>
        <v/>
      </c>
      <c r="C460" s="9" t="n"/>
      <c r="D460" s="9" t="n"/>
      <c r="E460" s="9" t="n"/>
      <c r="F460" s="9" t="n"/>
      <c r="G460" s="9" t="n"/>
      <c r="H460" s="9" t="n"/>
      <c r="I460" s="9" t="n"/>
      <c r="J460" s="3" t="n"/>
      <c r="K460" s="9" t="n"/>
    </row>
    <row r="461">
      <c r="A461" s="4" t="n"/>
      <c r="B461" s="9">
        <f>IF(A461="","",INT((DAY(A461)-1)/7)+1)</f>
        <v/>
      </c>
      <c r="C461" s="9" t="n"/>
      <c r="D461" s="9" t="n"/>
      <c r="E461" s="9" t="n"/>
      <c r="F461" s="9" t="n"/>
      <c r="G461" s="9" t="n"/>
      <c r="H461" s="9" t="n"/>
      <c r="I461" s="9" t="n"/>
      <c r="J461" s="3" t="n"/>
      <c r="K461" s="9" t="n"/>
    </row>
    <row r="462">
      <c r="A462" s="4" t="n"/>
      <c r="B462" s="9">
        <f>IF(A462="","",INT((DAY(A462)-1)/7)+1)</f>
        <v/>
      </c>
      <c r="C462" s="9" t="n"/>
      <c r="D462" s="9" t="n"/>
      <c r="E462" s="9" t="n"/>
      <c r="F462" s="9" t="n"/>
      <c r="G462" s="9" t="n"/>
      <c r="H462" s="9" t="n"/>
      <c r="I462" s="9" t="n"/>
      <c r="J462" s="3" t="n"/>
      <c r="K462" s="9" t="n"/>
    </row>
    <row r="463">
      <c r="A463" s="4" t="n"/>
      <c r="B463" s="9">
        <f>IF(A463="","",INT((DAY(A463)-1)/7)+1)</f>
        <v/>
      </c>
      <c r="C463" s="9" t="n"/>
      <c r="D463" s="9" t="n"/>
      <c r="E463" s="9" t="n"/>
      <c r="F463" s="9" t="n"/>
      <c r="G463" s="9" t="n"/>
      <c r="H463" s="9" t="n"/>
      <c r="I463" s="9" t="n"/>
      <c r="J463" s="3" t="n"/>
      <c r="K463" s="9" t="n"/>
    </row>
    <row r="464">
      <c r="A464" s="4" t="n"/>
      <c r="B464" s="9">
        <f>IF(A464="","",INT((DAY(A464)-1)/7)+1)</f>
        <v/>
      </c>
      <c r="C464" s="9" t="n"/>
      <c r="D464" s="9" t="n"/>
      <c r="E464" s="9" t="n"/>
      <c r="F464" s="9" t="n"/>
      <c r="G464" s="9" t="n"/>
      <c r="H464" s="9" t="n"/>
      <c r="I464" s="9" t="n"/>
      <c r="J464" s="3" t="n"/>
      <c r="K464" s="9" t="n"/>
    </row>
    <row r="465">
      <c r="A465" s="4" t="n"/>
      <c r="B465" s="9">
        <f>IF(A465="","",INT((DAY(A465)-1)/7)+1)</f>
        <v/>
      </c>
      <c r="C465" s="9" t="n"/>
      <c r="D465" s="9" t="n"/>
      <c r="E465" s="9" t="n"/>
      <c r="F465" s="9" t="n"/>
      <c r="G465" s="9" t="n"/>
      <c r="H465" s="9" t="n"/>
      <c r="I465" s="9" t="n"/>
      <c r="J465" s="3" t="n"/>
      <c r="K465" s="9" t="n"/>
    </row>
    <row r="466">
      <c r="A466" s="4" t="n"/>
      <c r="B466" s="9">
        <f>IF(A466="","",INT((DAY(A466)-1)/7)+1)</f>
        <v/>
      </c>
      <c r="C466" s="9" t="n"/>
      <c r="D466" s="9" t="n"/>
      <c r="E466" s="9" t="n"/>
      <c r="F466" s="9" t="n"/>
      <c r="G466" s="9" t="n"/>
      <c r="H466" s="9" t="n"/>
      <c r="I466" s="9" t="n"/>
      <c r="J466" s="3" t="n"/>
      <c r="K466" s="9" t="n"/>
    </row>
    <row r="467">
      <c r="A467" s="4" t="n"/>
      <c r="B467" s="9">
        <f>IF(A467="","",INT((DAY(A467)-1)/7)+1)</f>
        <v/>
      </c>
      <c r="C467" s="9" t="n"/>
      <c r="D467" s="9" t="n"/>
      <c r="E467" s="9" t="n"/>
      <c r="F467" s="9" t="n"/>
      <c r="G467" s="9" t="n"/>
      <c r="H467" s="9" t="n"/>
      <c r="I467" s="9" t="n"/>
      <c r="J467" s="3" t="n"/>
      <c r="K467" s="9" t="n"/>
    </row>
    <row r="468">
      <c r="A468" s="4" t="n"/>
      <c r="B468" s="9">
        <f>IF(A468="","",INT((DAY(A468)-1)/7)+1)</f>
        <v/>
      </c>
      <c r="C468" s="9" t="n"/>
      <c r="D468" s="9" t="n"/>
      <c r="E468" s="9" t="n"/>
      <c r="F468" s="9" t="n"/>
      <c r="G468" s="9" t="n"/>
      <c r="H468" s="9" t="n"/>
      <c r="I468" s="9" t="n"/>
      <c r="J468" s="3" t="n"/>
      <c r="K468" s="9" t="n"/>
    </row>
    <row r="469">
      <c r="A469" s="4" t="n"/>
      <c r="B469" s="9">
        <f>IF(A469="","",INT((DAY(A469)-1)/7)+1)</f>
        <v/>
      </c>
      <c r="C469" s="9" t="n"/>
      <c r="D469" s="9" t="n"/>
      <c r="E469" s="9" t="n"/>
      <c r="F469" s="9" t="n"/>
      <c r="G469" s="9" t="n"/>
      <c r="H469" s="9" t="n"/>
      <c r="I469" s="9" t="n"/>
      <c r="J469" s="3" t="n"/>
      <c r="K469" s="9" t="n"/>
    </row>
    <row r="470">
      <c r="A470" s="4" t="n"/>
      <c r="B470" s="9">
        <f>IF(A470="","",INT((DAY(A470)-1)/7)+1)</f>
        <v/>
      </c>
      <c r="C470" s="9" t="n"/>
      <c r="D470" s="9" t="n"/>
      <c r="E470" s="9" t="n"/>
      <c r="F470" s="9" t="n"/>
      <c r="G470" s="9" t="n"/>
      <c r="H470" s="9" t="n"/>
      <c r="I470" s="9" t="n"/>
      <c r="J470" s="3" t="n"/>
      <c r="K470" s="9" t="n"/>
    </row>
    <row r="471">
      <c r="A471" s="4" t="n"/>
      <c r="B471" s="9">
        <f>IF(A471="","",INT((DAY(A471)-1)/7)+1)</f>
        <v/>
      </c>
      <c r="C471" s="9" t="n"/>
      <c r="D471" s="9" t="n"/>
      <c r="E471" s="9" t="n"/>
      <c r="F471" s="9" t="n"/>
      <c r="G471" s="9" t="n"/>
      <c r="H471" s="9" t="n"/>
      <c r="I471" s="9" t="n"/>
      <c r="J471" s="3" t="n"/>
      <c r="K471" s="9" t="n"/>
    </row>
    <row r="472">
      <c r="A472" s="4" t="n"/>
      <c r="B472" s="9">
        <f>IF(A472="","",INT((DAY(A472)-1)/7)+1)</f>
        <v/>
      </c>
      <c r="C472" s="9" t="n"/>
      <c r="D472" s="9" t="n"/>
      <c r="E472" s="9" t="n"/>
      <c r="F472" s="9" t="n"/>
      <c r="G472" s="9" t="n"/>
      <c r="H472" s="9" t="n"/>
      <c r="I472" s="9" t="n"/>
      <c r="J472" s="3" t="n"/>
      <c r="K472" s="9" t="n"/>
    </row>
    <row r="473">
      <c r="A473" s="4" t="n"/>
      <c r="B473" s="9">
        <f>IF(A473="","",INT((DAY(A473)-1)/7)+1)</f>
        <v/>
      </c>
      <c r="C473" s="9" t="n"/>
      <c r="D473" s="9" t="n"/>
      <c r="E473" s="9" t="n"/>
      <c r="F473" s="9" t="n"/>
      <c r="G473" s="9" t="n"/>
      <c r="H473" s="9" t="n"/>
      <c r="I473" s="9" t="n"/>
      <c r="J473" s="3" t="n"/>
      <c r="K473" s="9" t="n"/>
    </row>
    <row r="474">
      <c r="A474" s="4" t="n"/>
      <c r="B474" s="9">
        <f>IF(A474="","",INT((DAY(A474)-1)/7)+1)</f>
        <v/>
      </c>
      <c r="C474" s="9" t="n"/>
      <c r="D474" s="9" t="n"/>
      <c r="E474" s="9" t="n"/>
      <c r="F474" s="9" t="n"/>
      <c r="G474" s="9" t="n"/>
      <c r="H474" s="9" t="n"/>
      <c r="I474" s="9" t="n"/>
      <c r="J474" s="3" t="n"/>
      <c r="K474" s="9" t="n"/>
    </row>
    <row r="475">
      <c r="A475" s="4" t="n"/>
      <c r="B475" s="9">
        <f>IF(A475="","",INT((DAY(A475)-1)/7)+1)</f>
        <v/>
      </c>
      <c r="C475" s="9" t="n"/>
      <c r="D475" s="9" t="n"/>
      <c r="E475" s="9" t="n"/>
      <c r="F475" s="9" t="n"/>
      <c r="G475" s="9" t="n"/>
      <c r="H475" s="9" t="n"/>
      <c r="I475" s="9" t="n"/>
      <c r="J475" s="3" t="n"/>
      <c r="K475" s="9" t="n"/>
    </row>
    <row r="476">
      <c r="A476" s="4" t="n"/>
      <c r="B476" s="9">
        <f>IF(A476="","",INT((DAY(A476)-1)/7)+1)</f>
        <v/>
      </c>
      <c r="C476" s="9" t="n"/>
      <c r="D476" s="9" t="n"/>
      <c r="E476" s="9" t="n"/>
      <c r="F476" s="9" t="n"/>
      <c r="G476" s="9" t="n"/>
      <c r="H476" s="9" t="n"/>
      <c r="I476" s="9" t="n"/>
      <c r="J476" s="3" t="n"/>
      <c r="K476" s="9" t="n"/>
    </row>
    <row r="477">
      <c r="A477" s="4" t="n"/>
      <c r="B477" s="9">
        <f>IF(A477="","",INT((DAY(A477)-1)/7)+1)</f>
        <v/>
      </c>
      <c r="C477" s="9" t="n"/>
      <c r="D477" s="9" t="n"/>
      <c r="E477" s="9" t="n"/>
      <c r="F477" s="9" t="n"/>
      <c r="G477" s="9" t="n"/>
      <c r="H477" s="9" t="n"/>
      <c r="I477" s="9" t="n"/>
      <c r="J477" s="3" t="n"/>
      <c r="K477" s="9" t="n"/>
    </row>
    <row r="478">
      <c r="A478" s="4" t="n"/>
      <c r="B478" s="9">
        <f>IF(A478="","",INT((DAY(A478)-1)/7)+1)</f>
        <v/>
      </c>
      <c r="C478" s="9" t="n"/>
      <c r="D478" s="9" t="n"/>
      <c r="E478" s="9" t="n"/>
      <c r="F478" s="9" t="n"/>
      <c r="G478" s="9" t="n"/>
      <c r="H478" s="9" t="n"/>
      <c r="I478" s="9" t="n"/>
      <c r="J478" s="3" t="n"/>
      <c r="K478" s="9" t="n"/>
    </row>
    <row r="479">
      <c r="A479" s="4" t="n"/>
      <c r="B479" s="9">
        <f>IF(A479="","",INT((DAY(A479)-1)/7)+1)</f>
        <v/>
      </c>
      <c r="C479" s="9" t="n"/>
      <c r="D479" s="9" t="n"/>
      <c r="E479" s="9" t="n"/>
      <c r="F479" s="9" t="n"/>
      <c r="G479" s="9" t="n"/>
      <c r="H479" s="9" t="n"/>
      <c r="I479" s="9" t="n"/>
      <c r="J479" s="3" t="n"/>
      <c r="K479" s="9" t="n"/>
    </row>
    <row r="480">
      <c r="A480" s="4" t="n"/>
      <c r="B480" s="9">
        <f>IF(A480="","",INT((DAY(A480)-1)/7)+1)</f>
        <v/>
      </c>
      <c r="C480" s="9" t="n"/>
      <c r="D480" s="9" t="n"/>
      <c r="E480" s="9" t="n"/>
      <c r="F480" s="9" t="n"/>
      <c r="G480" s="9" t="n"/>
      <c r="H480" s="9" t="n"/>
      <c r="I480" s="9" t="n"/>
      <c r="J480" s="3" t="n"/>
      <c r="K480" s="9" t="n"/>
    </row>
    <row r="481">
      <c r="A481" s="4" t="n"/>
      <c r="B481" s="9">
        <f>IF(A481="","",INT((DAY(A481)-1)/7)+1)</f>
        <v/>
      </c>
      <c r="C481" s="9" t="n"/>
      <c r="D481" s="9" t="n"/>
      <c r="E481" s="9" t="n"/>
      <c r="F481" s="9" t="n"/>
      <c r="G481" s="9" t="n"/>
      <c r="H481" s="9" t="n"/>
      <c r="I481" s="9" t="n"/>
      <c r="J481" s="3" t="n"/>
      <c r="K481" s="9" t="n"/>
    </row>
    <row r="482">
      <c r="A482" s="4" t="n"/>
      <c r="B482" s="9">
        <f>IF(A482="","",INT((DAY(A482)-1)/7)+1)</f>
        <v/>
      </c>
      <c r="C482" s="9" t="n"/>
      <c r="D482" s="9" t="n"/>
      <c r="E482" s="9" t="n"/>
      <c r="F482" s="9" t="n"/>
      <c r="G482" s="9" t="n"/>
      <c r="H482" s="9" t="n"/>
      <c r="I482" s="9" t="n"/>
      <c r="J482" s="3" t="n"/>
      <c r="K482" s="9" t="n"/>
    </row>
    <row r="483">
      <c r="A483" s="4" t="n"/>
      <c r="B483" s="9">
        <f>IF(A483="","",INT((DAY(A483)-1)/7)+1)</f>
        <v/>
      </c>
      <c r="C483" s="9" t="n"/>
      <c r="D483" s="9" t="n"/>
      <c r="E483" s="9" t="n"/>
      <c r="F483" s="9" t="n"/>
      <c r="G483" s="9" t="n"/>
      <c r="H483" s="9" t="n"/>
      <c r="I483" s="9" t="n"/>
      <c r="J483" s="3" t="n"/>
      <c r="K483" s="9" t="n"/>
    </row>
    <row r="484">
      <c r="A484" s="4" t="n"/>
      <c r="B484" s="9">
        <f>IF(A484="","",INT((DAY(A484)-1)/7)+1)</f>
        <v/>
      </c>
      <c r="C484" s="9" t="n"/>
      <c r="D484" s="9" t="n"/>
      <c r="E484" s="9" t="n"/>
      <c r="F484" s="9" t="n"/>
      <c r="G484" s="9" t="n"/>
      <c r="H484" s="9" t="n"/>
      <c r="I484" s="9" t="n"/>
      <c r="J484" s="3" t="n"/>
      <c r="K484" s="9" t="n"/>
    </row>
    <row r="485">
      <c r="A485" s="4" t="n"/>
      <c r="B485" s="9">
        <f>IF(A485="","",INT((DAY(A485)-1)/7)+1)</f>
        <v/>
      </c>
      <c r="C485" s="9" t="n"/>
      <c r="D485" s="9" t="n"/>
      <c r="E485" s="9" t="n"/>
      <c r="F485" s="9" t="n"/>
      <c r="G485" s="9" t="n"/>
      <c r="H485" s="9" t="n"/>
      <c r="I485" s="9" t="n"/>
      <c r="J485" s="3" t="n"/>
      <c r="K485" s="9" t="n"/>
    </row>
    <row r="486">
      <c r="A486" s="4" t="n"/>
      <c r="B486" s="9">
        <f>IF(A486="","",INT((DAY(A486)-1)/7)+1)</f>
        <v/>
      </c>
      <c r="C486" s="9" t="n"/>
      <c r="D486" s="9" t="n"/>
      <c r="E486" s="9" t="n"/>
      <c r="F486" s="9" t="n"/>
      <c r="G486" s="9" t="n"/>
      <c r="H486" s="9" t="n"/>
      <c r="I486" s="9" t="n"/>
      <c r="J486" s="3" t="n"/>
      <c r="K486" s="9" t="n"/>
    </row>
    <row r="487">
      <c r="A487" s="4" t="n"/>
      <c r="B487" s="9">
        <f>IF(A487="","",INT((DAY(A487)-1)/7)+1)</f>
        <v/>
      </c>
      <c r="C487" s="9" t="n"/>
      <c r="D487" s="9" t="n"/>
      <c r="E487" s="9" t="n"/>
      <c r="F487" s="9" t="n"/>
      <c r="G487" s="9" t="n"/>
      <c r="H487" s="9" t="n"/>
      <c r="I487" s="9" t="n"/>
      <c r="J487" s="3" t="n"/>
      <c r="K487" s="9" t="n"/>
    </row>
    <row r="488">
      <c r="A488" s="4" t="n"/>
      <c r="B488" s="9">
        <f>IF(A488="","",INT((DAY(A488)-1)/7)+1)</f>
        <v/>
      </c>
      <c r="C488" s="9" t="n"/>
      <c r="D488" s="9" t="n"/>
      <c r="E488" s="9" t="n"/>
      <c r="F488" s="9" t="n"/>
      <c r="G488" s="9" t="n"/>
      <c r="H488" s="9" t="n"/>
      <c r="I488" s="9" t="n"/>
      <c r="J488" s="3" t="n"/>
      <c r="K488" s="9" t="n"/>
    </row>
    <row r="489">
      <c r="A489" s="4" t="n"/>
      <c r="B489" s="9">
        <f>IF(A489="","",INT((DAY(A489)-1)/7)+1)</f>
        <v/>
      </c>
      <c r="C489" s="9" t="n"/>
      <c r="D489" s="9" t="n"/>
      <c r="E489" s="9" t="n"/>
      <c r="F489" s="9" t="n"/>
      <c r="G489" s="9" t="n"/>
      <c r="H489" s="9" t="n"/>
      <c r="I489" s="9" t="n"/>
      <c r="J489" s="3" t="n"/>
      <c r="K489" s="9" t="n"/>
    </row>
    <row r="490">
      <c r="A490" s="4" t="n"/>
      <c r="B490" s="9">
        <f>IF(A490="","",INT((DAY(A490)-1)/7)+1)</f>
        <v/>
      </c>
      <c r="C490" s="9" t="n"/>
      <c r="D490" s="9" t="n"/>
      <c r="E490" s="9" t="n"/>
      <c r="F490" s="9" t="n"/>
      <c r="G490" s="9" t="n"/>
      <c r="H490" s="9" t="n"/>
      <c r="I490" s="9" t="n"/>
      <c r="J490" s="3" t="n"/>
      <c r="K490" s="9" t="n"/>
    </row>
    <row r="491">
      <c r="A491" s="4" t="n"/>
      <c r="B491" s="9">
        <f>IF(A491="","",INT((DAY(A491)-1)/7)+1)</f>
        <v/>
      </c>
      <c r="C491" s="9" t="n"/>
      <c r="D491" s="9" t="n"/>
      <c r="E491" s="9" t="n"/>
      <c r="F491" s="9" t="n"/>
      <c r="G491" s="9" t="n"/>
      <c r="H491" s="9" t="n"/>
      <c r="I491" s="9" t="n"/>
      <c r="J491" s="3" t="n"/>
      <c r="K491" s="9" t="n"/>
    </row>
    <row r="492">
      <c r="A492" s="4" t="n"/>
      <c r="B492" s="9">
        <f>IF(A492="","",INT((DAY(A492)-1)/7)+1)</f>
        <v/>
      </c>
      <c r="C492" s="9" t="n"/>
      <c r="D492" s="9" t="n"/>
      <c r="E492" s="9" t="n"/>
      <c r="F492" s="9" t="n"/>
      <c r="G492" s="9" t="n"/>
      <c r="H492" s="9" t="n"/>
      <c r="I492" s="9" t="n"/>
      <c r="J492" s="3" t="n"/>
      <c r="K492" s="9" t="n"/>
    </row>
    <row r="493">
      <c r="A493" s="4" t="n"/>
      <c r="B493" s="9">
        <f>IF(A493="","",INT((DAY(A493)-1)/7)+1)</f>
        <v/>
      </c>
      <c r="C493" s="9" t="n"/>
      <c r="D493" s="9" t="n"/>
      <c r="E493" s="9" t="n"/>
      <c r="F493" s="9" t="n"/>
      <c r="G493" s="9" t="n"/>
      <c r="H493" s="9" t="n"/>
      <c r="I493" s="9" t="n"/>
      <c r="J493" s="3" t="n"/>
      <c r="K493" s="9" t="n"/>
    </row>
    <row r="494">
      <c r="A494" s="4" t="n"/>
      <c r="B494" s="9">
        <f>IF(A494="","",INT((DAY(A494)-1)/7)+1)</f>
        <v/>
      </c>
      <c r="C494" s="9" t="n"/>
      <c r="D494" s="9" t="n"/>
      <c r="E494" s="9" t="n"/>
      <c r="F494" s="9" t="n"/>
      <c r="G494" s="9" t="n"/>
      <c r="H494" s="9" t="n"/>
      <c r="I494" s="9" t="n"/>
      <c r="J494" s="3" t="n"/>
      <c r="K494" s="9" t="n"/>
    </row>
    <row r="495">
      <c r="A495" s="4" t="n"/>
      <c r="B495" s="9">
        <f>IF(A495="","",INT((DAY(A495)-1)/7)+1)</f>
        <v/>
      </c>
      <c r="C495" s="9" t="n"/>
      <c r="D495" s="9" t="n"/>
      <c r="E495" s="9" t="n"/>
      <c r="F495" s="9" t="n"/>
      <c r="G495" s="9" t="n"/>
      <c r="H495" s="9" t="n"/>
      <c r="I495" s="9" t="n"/>
      <c r="J495" s="3" t="n"/>
      <c r="K495" s="9" t="n"/>
    </row>
    <row r="496">
      <c r="A496" s="4" t="n"/>
      <c r="B496" s="9">
        <f>IF(A496="","",INT((DAY(A496)-1)/7)+1)</f>
        <v/>
      </c>
      <c r="C496" s="9" t="n"/>
      <c r="D496" s="9" t="n"/>
      <c r="E496" s="9" t="n"/>
      <c r="F496" s="9" t="n"/>
      <c r="G496" s="9" t="n"/>
      <c r="H496" s="9" t="n"/>
      <c r="I496" s="9" t="n"/>
      <c r="J496" s="3" t="n"/>
      <c r="K496" s="9" t="n"/>
    </row>
    <row r="497">
      <c r="A497" s="4" t="n"/>
      <c r="B497" s="9">
        <f>IF(A497="","",INT((DAY(A497)-1)/7)+1)</f>
        <v/>
      </c>
      <c r="C497" s="9" t="n"/>
      <c r="D497" s="9" t="n"/>
      <c r="E497" s="9" t="n"/>
      <c r="F497" s="9" t="n"/>
      <c r="G497" s="9" t="n"/>
      <c r="H497" s="9" t="n"/>
      <c r="I497" s="9" t="n"/>
      <c r="J497" s="3" t="n"/>
      <c r="K497" s="9" t="n"/>
    </row>
    <row r="498">
      <c r="A498" s="4" t="n"/>
      <c r="B498" s="9">
        <f>IF(A498="","",INT((DAY(A498)-1)/7)+1)</f>
        <v/>
      </c>
      <c r="C498" s="9" t="n"/>
      <c r="D498" s="9" t="n"/>
      <c r="E498" s="9" t="n"/>
      <c r="F498" s="9" t="n"/>
      <c r="G498" s="9" t="n"/>
      <c r="H498" s="9" t="n"/>
      <c r="I498" s="9" t="n"/>
      <c r="J498" s="3" t="n"/>
      <c r="K498" s="9" t="n"/>
    </row>
    <row r="499">
      <c r="A499" s="4" t="n"/>
      <c r="B499" s="9">
        <f>IF(A499="","",INT((DAY(A499)-1)/7)+1)</f>
        <v/>
      </c>
      <c r="C499" s="9" t="n"/>
      <c r="D499" s="9" t="n"/>
      <c r="E499" s="9" t="n"/>
      <c r="F499" s="9" t="n"/>
      <c r="G499" s="9" t="n"/>
      <c r="H499" s="9" t="n"/>
      <c r="I499" s="9" t="n"/>
      <c r="J499" s="3" t="n"/>
      <c r="K499" s="9" t="n"/>
    </row>
    <row r="500">
      <c r="A500" s="4" t="n"/>
      <c r="B500" s="9">
        <f>IF(A500="","",INT((DAY(A500)-1)/7)+1)</f>
        <v/>
      </c>
      <c r="C500" s="9" t="n"/>
      <c r="D500" s="9" t="n"/>
      <c r="E500" s="9" t="n"/>
      <c r="F500" s="9" t="n"/>
      <c r="G500" s="9" t="n"/>
      <c r="H500" s="9" t="n"/>
      <c r="I500" s="9" t="n"/>
      <c r="J500" s="3" t="n"/>
      <c r="K500" s="9" t="n"/>
    </row>
    <row r="501">
      <c r="A501" s="4" t="n"/>
      <c r="B501" s="9">
        <f>IF(A501="","",INT((DAY(A501)-1)/7)+1)</f>
        <v/>
      </c>
      <c r="C501" s="9" t="n"/>
      <c r="D501" s="9" t="n"/>
      <c r="E501" s="9" t="n"/>
      <c r="F501" s="9" t="n"/>
      <c r="G501" s="9" t="n"/>
      <c r="H501" s="9" t="n"/>
      <c r="I501" s="9" t="n"/>
      <c r="J501" s="3" t="n"/>
      <c r="K501" s="9" t="n"/>
    </row>
    <row r="502">
      <c r="A502" s="4" t="n"/>
      <c r="B502" s="9">
        <f>IF(A502="","",INT((DAY(A502)-1)/7)+1)</f>
        <v/>
      </c>
      <c r="C502" s="9" t="n"/>
      <c r="D502" s="9" t="n"/>
      <c r="E502" s="9" t="n"/>
      <c r="F502" s="9" t="n"/>
      <c r="G502" s="9" t="n"/>
      <c r="H502" s="9" t="n"/>
      <c r="I502" s="9" t="n"/>
      <c r="J502" s="3" t="n"/>
      <c r="K502" s="9" t="n"/>
    </row>
    <row r="503">
      <c r="A503" s="4" t="n"/>
      <c r="B503" s="9">
        <f>IF(A503="","",INT((DAY(A503)-1)/7)+1)</f>
        <v/>
      </c>
      <c r="C503" s="9" t="n"/>
      <c r="D503" s="9" t="n"/>
      <c r="E503" s="9" t="n"/>
      <c r="F503" s="9" t="n"/>
      <c r="G503" s="9" t="n"/>
      <c r="H503" s="9" t="n"/>
      <c r="I503" s="9" t="n"/>
      <c r="J503" s="3" t="n"/>
      <c r="K503" s="9" t="n"/>
    </row>
    <row r="504">
      <c r="A504" s="4" t="n"/>
      <c r="B504" s="9">
        <f>IF(A504="","",INT((DAY(A504)-1)/7)+1)</f>
        <v/>
      </c>
      <c r="C504" s="9" t="n"/>
      <c r="D504" s="9" t="n"/>
      <c r="E504" s="9" t="n"/>
      <c r="F504" s="9" t="n"/>
      <c r="G504" s="9" t="n"/>
      <c r="H504" s="9" t="n"/>
      <c r="I504" s="9" t="n"/>
      <c r="J504" s="3" t="n"/>
      <c r="K504" s="9" t="n"/>
    </row>
    <row r="505">
      <c r="A505" s="4" t="n"/>
      <c r="B505" s="9">
        <f>IF(A505="","",INT((DAY(A505)-1)/7)+1)</f>
        <v/>
      </c>
      <c r="C505" s="9" t="n"/>
      <c r="D505" s="9" t="n"/>
      <c r="E505" s="9" t="n"/>
      <c r="F505" s="9" t="n"/>
      <c r="G505" s="9" t="n"/>
      <c r="H505" s="9" t="n"/>
      <c r="I505" s="9" t="n"/>
      <c r="J505" s="3" t="n"/>
      <c r="K505" s="9" t="n"/>
    </row>
    <row r="506">
      <c r="A506" s="4" t="n"/>
      <c r="B506" s="9">
        <f>IF(A506="","",INT((DAY(A506)-1)/7)+1)</f>
        <v/>
      </c>
      <c r="C506" s="9" t="n"/>
      <c r="D506" s="9" t="n"/>
      <c r="E506" s="9" t="n"/>
      <c r="F506" s="9" t="n"/>
      <c r="G506" s="9" t="n"/>
      <c r="H506" s="9" t="n"/>
      <c r="I506" s="9" t="n"/>
      <c r="J506" s="3" t="n"/>
      <c r="K506" s="9" t="n"/>
    </row>
    <row r="507">
      <c r="A507" s="4" t="n"/>
      <c r="B507" s="9">
        <f>IF(A507="","",INT((DAY(A507)-1)/7)+1)</f>
        <v/>
      </c>
      <c r="C507" s="9" t="n"/>
      <c r="D507" s="9" t="n"/>
      <c r="E507" s="9" t="n"/>
      <c r="F507" s="9" t="n"/>
      <c r="G507" s="9" t="n"/>
      <c r="H507" s="9" t="n"/>
      <c r="I507" s="9" t="n"/>
      <c r="J507" s="3" t="n"/>
      <c r="K507" s="9" t="n"/>
    </row>
    <row r="508">
      <c r="A508" s="4" t="n"/>
      <c r="B508" s="9">
        <f>IF(A508="","",INT((DAY(A508)-1)/7)+1)</f>
        <v/>
      </c>
      <c r="C508" s="9" t="n"/>
      <c r="D508" s="9" t="n"/>
      <c r="E508" s="9" t="n"/>
      <c r="F508" s="9" t="n"/>
      <c r="G508" s="9" t="n"/>
      <c r="H508" s="9" t="n"/>
      <c r="I508" s="9" t="n"/>
      <c r="J508" s="3" t="n"/>
      <c r="K508" s="9" t="n"/>
    </row>
    <row r="509">
      <c r="A509" s="4" t="n"/>
      <c r="B509" s="9">
        <f>IF(A509="","",INT((DAY(A509)-1)/7)+1)</f>
        <v/>
      </c>
      <c r="C509" s="9" t="n"/>
      <c r="D509" s="9" t="n"/>
      <c r="E509" s="9" t="n"/>
      <c r="F509" s="9" t="n"/>
      <c r="G509" s="9" t="n"/>
      <c r="H509" s="9" t="n"/>
      <c r="I509" s="9" t="n"/>
      <c r="J509" s="3" t="n"/>
      <c r="K509" s="9" t="n"/>
    </row>
    <row r="510">
      <c r="A510" s="4" t="n"/>
      <c r="B510" s="9">
        <f>IF(A510="","",INT((DAY(A510)-1)/7)+1)</f>
        <v/>
      </c>
      <c r="C510" s="9" t="n"/>
      <c r="D510" s="9" t="n"/>
      <c r="E510" s="9" t="n"/>
      <c r="F510" s="9" t="n"/>
      <c r="G510" s="9" t="n"/>
      <c r="H510" s="9" t="n"/>
      <c r="I510" s="9" t="n"/>
      <c r="J510" s="3" t="n"/>
      <c r="K510" s="9" t="n"/>
    </row>
    <row r="511">
      <c r="A511" s="4" t="n"/>
      <c r="B511" s="9">
        <f>IF(A511="","",INT((DAY(A511)-1)/7)+1)</f>
        <v/>
      </c>
      <c r="C511" s="9" t="n"/>
      <c r="D511" s="9" t="n"/>
      <c r="E511" s="9" t="n"/>
      <c r="F511" s="9" t="n"/>
      <c r="G511" s="9" t="n"/>
      <c r="H511" s="9" t="n"/>
      <c r="I511" s="9" t="n"/>
      <c r="J511" s="3" t="n"/>
      <c r="K511" s="9" t="n"/>
    </row>
    <row r="512">
      <c r="A512" s="4" t="n"/>
      <c r="B512" s="9">
        <f>IF(A512="","",INT((DAY(A512)-1)/7)+1)</f>
        <v/>
      </c>
      <c r="C512" s="9" t="n"/>
      <c r="D512" s="9" t="n"/>
      <c r="E512" s="9" t="n"/>
      <c r="F512" s="9" t="n"/>
      <c r="G512" s="9" t="n"/>
      <c r="H512" s="9" t="n"/>
      <c r="I512" s="9" t="n"/>
      <c r="J512" s="3" t="n"/>
      <c r="K512" s="9" t="n"/>
    </row>
    <row r="513">
      <c r="A513" s="4" t="n"/>
      <c r="B513" s="9">
        <f>IF(A513="","",INT((DAY(A513)-1)/7)+1)</f>
        <v/>
      </c>
      <c r="C513" s="9" t="n"/>
      <c r="D513" s="9" t="n"/>
      <c r="E513" s="9" t="n"/>
      <c r="F513" s="9" t="n"/>
      <c r="G513" s="9" t="n"/>
      <c r="H513" s="9" t="n"/>
      <c r="I513" s="9" t="n"/>
      <c r="J513" s="3" t="n"/>
      <c r="K513" s="9" t="n"/>
    </row>
    <row r="514">
      <c r="A514" s="4" t="n"/>
      <c r="B514" s="9">
        <f>IF(A514="","",INT((DAY(A514)-1)/7)+1)</f>
        <v/>
      </c>
      <c r="C514" s="9" t="n"/>
      <c r="D514" s="9" t="n"/>
      <c r="E514" s="9" t="n"/>
      <c r="F514" s="9" t="n"/>
      <c r="G514" s="9" t="n"/>
      <c r="H514" s="9" t="n"/>
      <c r="I514" s="9" t="n"/>
      <c r="J514" s="3" t="n"/>
      <c r="K514" s="9" t="n"/>
    </row>
    <row r="515">
      <c r="A515" s="4" t="n"/>
      <c r="B515" s="9">
        <f>IF(A515="","",INT((DAY(A515)-1)/7)+1)</f>
        <v/>
      </c>
      <c r="C515" s="9" t="n"/>
      <c r="D515" s="9" t="n"/>
      <c r="E515" s="9" t="n"/>
      <c r="F515" s="9" t="n"/>
      <c r="G515" s="9" t="n"/>
      <c r="H515" s="9" t="n"/>
      <c r="I515" s="9" t="n"/>
      <c r="J515" s="3" t="n"/>
      <c r="K515" s="9" t="n"/>
    </row>
    <row r="516">
      <c r="A516" s="4" t="n"/>
      <c r="B516" s="9">
        <f>IF(A516="","",INT((DAY(A516)-1)/7)+1)</f>
        <v/>
      </c>
      <c r="C516" s="9" t="n"/>
      <c r="D516" s="9" t="n"/>
      <c r="E516" s="9" t="n"/>
      <c r="F516" s="9" t="n"/>
      <c r="G516" s="9" t="n"/>
      <c r="H516" s="9" t="n"/>
      <c r="I516" s="9" t="n"/>
      <c r="J516" s="3" t="n"/>
      <c r="K516" s="9" t="n"/>
    </row>
    <row r="517">
      <c r="A517" s="4" t="n"/>
      <c r="B517" s="9">
        <f>IF(A517="","",INT((DAY(A517)-1)/7)+1)</f>
        <v/>
      </c>
      <c r="C517" s="9" t="n"/>
      <c r="D517" s="9" t="n"/>
      <c r="E517" s="9" t="n"/>
      <c r="F517" s="9" t="n"/>
      <c r="G517" s="9" t="n"/>
      <c r="H517" s="9" t="n"/>
      <c r="I517" s="9" t="n"/>
      <c r="J517" s="3" t="n"/>
      <c r="K517" s="9" t="n"/>
    </row>
    <row r="518">
      <c r="A518" s="4" t="n"/>
      <c r="B518" s="9">
        <f>IF(A518="","",INT((DAY(A518)-1)/7)+1)</f>
        <v/>
      </c>
      <c r="C518" s="9" t="n"/>
      <c r="D518" s="9" t="n"/>
      <c r="E518" s="9" t="n"/>
      <c r="F518" s="9" t="n"/>
      <c r="G518" s="9" t="n"/>
      <c r="H518" s="9" t="n"/>
      <c r="I518" s="9" t="n"/>
      <c r="J518" s="3" t="n"/>
      <c r="K518" s="9" t="n"/>
    </row>
    <row r="519">
      <c r="A519" s="4" t="n"/>
      <c r="B519" s="9">
        <f>IF(A519="","",INT((DAY(A519)-1)/7)+1)</f>
        <v/>
      </c>
      <c r="C519" s="9" t="n"/>
      <c r="D519" s="9" t="n"/>
      <c r="E519" s="9" t="n"/>
      <c r="F519" s="9" t="n"/>
      <c r="G519" s="9" t="n"/>
      <c r="H519" s="9" t="n"/>
      <c r="I519" s="9" t="n"/>
      <c r="J519" s="3" t="n"/>
      <c r="K519" s="9" t="n"/>
    </row>
    <row r="520">
      <c r="A520" s="4" t="n"/>
      <c r="B520" s="9">
        <f>IF(A520="","",INT((DAY(A520)-1)/7)+1)</f>
        <v/>
      </c>
      <c r="C520" s="9" t="n"/>
      <c r="D520" s="9" t="n"/>
      <c r="E520" s="9" t="n"/>
      <c r="F520" s="9" t="n"/>
      <c r="G520" s="9" t="n"/>
      <c r="H520" s="9" t="n"/>
      <c r="I520" s="9" t="n"/>
      <c r="J520" s="3" t="n"/>
      <c r="K520" s="9" t="n"/>
    </row>
    <row r="521">
      <c r="A521" s="4" t="n"/>
      <c r="B521" s="9">
        <f>IF(A521="","",INT((DAY(A521)-1)/7)+1)</f>
        <v/>
      </c>
      <c r="C521" s="9" t="n"/>
      <c r="D521" s="9" t="n"/>
      <c r="E521" s="9" t="n"/>
      <c r="F521" s="9" t="n"/>
      <c r="G521" s="9" t="n"/>
      <c r="H521" s="9" t="n"/>
      <c r="I521" s="9" t="n"/>
      <c r="J521" s="3" t="n"/>
      <c r="K521" s="9" t="n"/>
    </row>
    <row r="522">
      <c r="A522" s="4" t="n"/>
      <c r="B522" s="9">
        <f>IF(A522="","",INT((DAY(A522)-1)/7)+1)</f>
        <v/>
      </c>
      <c r="C522" s="9" t="n"/>
      <c r="D522" s="9" t="n"/>
      <c r="E522" s="9" t="n"/>
      <c r="F522" s="9" t="n"/>
      <c r="G522" s="9" t="n"/>
      <c r="H522" s="9" t="n"/>
      <c r="I522" s="9" t="n"/>
      <c r="J522" s="3" t="n"/>
      <c r="K522" s="9" t="n"/>
    </row>
    <row r="523">
      <c r="A523" s="4" t="n"/>
      <c r="B523" s="9">
        <f>IF(A523="","",INT((DAY(A523)-1)/7)+1)</f>
        <v/>
      </c>
      <c r="C523" s="9" t="n"/>
      <c r="D523" s="9" t="n"/>
      <c r="E523" s="9" t="n"/>
      <c r="F523" s="9" t="n"/>
      <c r="G523" s="9" t="n"/>
      <c r="H523" s="9" t="n"/>
      <c r="I523" s="9" t="n"/>
      <c r="J523" s="3" t="n"/>
      <c r="K523" s="9" t="n"/>
    </row>
    <row r="524">
      <c r="A524" s="4" t="n"/>
      <c r="B524" s="9">
        <f>IF(A524="","",INT((DAY(A524)-1)/7)+1)</f>
        <v/>
      </c>
      <c r="C524" s="9" t="n"/>
      <c r="D524" s="9" t="n"/>
      <c r="E524" s="9" t="n"/>
      <c r="F524" s="9" t="n"/>
      <c r="G524" s="9" t="n"/>
      <c r="H524" s="9" t="n"/>
      <c r="I524" s="9" t="n"/>
      <c r="J524" s="3" t="n"/>
      <c r="K524" s="9" t="n"/>
    </row>
    <row r="525">
      <c r="A525" s="4" t="n"/>
      <c r="B525" s="9">
        <f>IF(A525="","",INT((DAY(A525)-1)/7)+1)</f>
        <v/>
      </c>
      <c r="C525" s="9" t="n"/>
      <c r="D525" s="9" t="n"/>
      <c r="E525" s="9" t="n"/>
      <c r="F525" s="9" t="n"/>
      <c r="G525" s="9" t="n"/>
      <c r="H525" s="9" t="n"/>
      <c r="I525" s="9" t="n"/>
      <c r="J525" s="3" t="n"/>
      <c r="K525" s="9" t="n"/>
    </row>
    <row r="526">
      <c r="A526" s="4" t="n"/>
      <c r="B526" s="9">
        <f>IF(A526="","",INT((DAY(A526)-1)/7)+1)</f>
        <v/>
      </c>
      <c r="C526" s="9" t="n"/>
      <c r="D526" s="9" t="n"/>
      <c r="E526" s="9" t="n"/>
      <c r="F526" s="9" t="n"/>
      <c r="G526" s="9" t="n"/>
      <c r="H526" s="9" t="n"/>
      <c r="I526" s="9" t="n"/>
      <c r="J526" s="3" t="n"/>
      <c r="K526" s="9" t="n"/>
    </row>
    <row r="527">
      <c r="A527" s="4" t="n"/>
      <c r="B527" s="9">
        <f>IF(A527="","",INT((DAY(A527)-1)/7)+1)</f>
        <v/>
      </c>
      <c r="C527" s="9" t="n"/>
      <c r="D527" s="9" t="n"/>
      <c r="E527" s="9" t="n"/>
      <c r="F527" s="9" t="n"/>
      <c r="G527" s="9" t="n"/>
      <c r="H527" s="9" t="n"/>
      <c r="I527" s="9" t="n"/>
      <c r="J527" s="3" t="n"/>
      <c r="K527" s="9" t="n"/>
    </row>
    <row r="528">
      <c r="A528" s="4" t="n"/>
      <c r="B528" s="9">
        <f>IF(A528="","",INT((DAY(A528)-1)/7)+1)</f>
        <v/>
      </c>
      <c r="C528" s="9" t="n"/>
      <c r="D528" s="9" t="n"/>
      <c r="E528" s="9" t="n"/>
      <c r="F528" s="9" t="n"/>
      <c r="G528" s="9" t="n"/>
      <c r="H528" s="9" t="n"/>
      <c r="I528" s="9" t="n"/>
      <c r="J528" s="3" t="n"/>
      <c r="K528" s="9" t="n"/>
    </row>
  </sheetData>
  <autoFilter ref="A28:K528"/>
  <dataValidations count="4">
    <dataValidation sqref="E29:E528" showDropDown="0" showInputMessage="0" showErrorMessage="1" allowBlank="1" type="list">
      <formula1>=Lists!$A$2:$A$22</formula1>
    </dataValidation>
    <dataValidation sqref="G29:G528" showDropDown="0" showInputMessage="0" showErrorMessage="1" allowBlank="1" type="list">
      <formula1>=Lists!$D$2:$D$8</formula1>
    </dataValidation>
    <dataValidation sqref="H29:H528" showDropDown="0" showInputMessage="0" showErrorMessage="1" allowBlank="1" type="list">
      <formula1>=Lists!$C$2:$C$9</formula1>
    </dataValidation>
    <dataValidation sqref="I29:I528" showDropDown="0" showInputMessage="0" showErrorMessage="1" allowBlank="1" type="list">
      <formula1>=Lists!$B$2:$B$5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28"/>
  <sheetViews>
    <sheetView showGridLines="0" workbookViewId="0">
      <pane xSplit="0" ySplit="28" topLeftCell="A29" activePane="bottomLeft" state="frozen"/>
      <selection pane="bottomLeft" activeCell="A29" sqref="A29"/>
    </sheetView>
  </sheetViews>
  <sheetFormatPr baseColWidth="8" defaultRowHeight="15"/>
  <cols>
    <col width="12" customWidth="1" style="10" min="1" max="1"/>
    <col width="8" customWidth="1" style="10" min="2" max="2"/>
    <col width="22" customWidth="1" style="10" min="3" max="4"/>
    <col width="24" customWidth="1" style="10" min="5" max="5"/>
    <col width="18" customWidth="1" style="10" min="6" max="6"/>
    <col width="18" customWidth="1" style="10" min="7" max="7"/>
    <col width="18" customWidth="1" style="10" min="8" max="9"/>
    <col width="14" customWidth="1" style="10" min="10" max="10"/>
    <col width="30" customWidth="1" style="10" min="11" max="11"/>
  </cols>
  <sheetData>
    <row r="1">
      <c r="A1" s="1" t="inlineStr">
        <is>
          <t>July 2026 Ledger</t>
        </is>
      </c>
    </row>
    <row r="2">
      <c r="A2" s="7" t="inlineStr">
        <is>
          <t>Use positive amounts. Choose Type to classify each transaction.</t>
        </is>
      </c>
    </row>
    <row r="4">
      <c r="A4" s="1" t="inlineStr">
        <is>
          <t>Month Summary</t>
        </is>
      </c>
      <c r="D4" s="1" t="inlineStr">
        <is>
          <t>Category Summary</t>
        </is>
      </c>
      <c r="H4" s="1" t="inlineStr">
        <is>
          <t>Weekly Summary</t>
        </is>
      </c>
    </row>
    <row r="5">
      <c r="A5" s="5" t="inlineStr">
        <is>
          <t>Total Income</t>
        </is>
      </c>
      <c r="B5" s="3">
        <f>SUMIFS($J$29:$J$528,$I$29:$I$528,"Income")</f>
        <v/>
      </c>
      <c r="D5" s="2" t="inlineStr">
        <is>
          <t>Category</t>
        </is>
      </c>
      <c r="E5" s="2" t="inlineStr">
        <is>
          <t>Expenses</t>
        </is>
      </c>
      <c r="F5" s="2" t="inlineStr">
        <is>
          <t>Income</t>
        </is>
      </c>
      <c r="G5" s="2" t="inlineStr">
        <is>
          <t>Existing Savings</t>
        </is>
      </c>
      <c r="H5" s="2" t="inlineStr">
        <is>
          <t>Week</t>
        </is>
      </c>
      <c r="I5" s="2" t="inlineStr">
        <is>
          <t>Expenses</t>
        </is>
      </c>
      <c r="J5" s="2" t="inlineStr">
        <is>
          <t>Income</t>
        </is>
      </c>
      <c r="K5" s="2" t="inlineStr">
        <is>
          <t>Net</t>
        </is>
      </c>
    </row>
    <row r="6">
      <c r="A6" s="5" t="inlineStr">
        <is>
          <t>Total Expenses</t>
        </is>
      </c>
      <c r="B6" s="3">
        <f>SUMIFS($J$29:$J$528,$I$29:$I$528,"Expense")</f>
        <v/>
      </c>
      <c r="D6" s="5" t="inlineStr">
        <is>
          <t>Housing</t>
        </is>
      </c>
      <c r="E6" s="3">
        <f>SUMIFS($J$29:$J$528,$E$29:$E$528,$D6,$I$29:$I$528,"Expense")</f>
        <v/>
      </c>
      <c r="F6" s="3">
        <f>SUMIFS($J$29:$J$528,$E$29:$E$528,$D6,$I$29:$I$528,"Income")</f>
        <v/>
      </c>
      <c r="G6" s="3">
        <f>SUMIFS($J$29:$J$528,$E$29:$E$528,$D6,$I$29:$I$528,"Opening Balance")</f>
        <v/>
      </c>
      <c r="H6" s="5" t="inlineStr">
        <is>
          <t>Week 1</t>
        </is>
      </c>
      <c r="I6" s="3">
        <f>SUMIFS($J$29:$J$528,$B$29:$B$528,1,$I$29:$I$528,"Expense",$F$29:$F$528,"&lt;&gt;Rent")</f>
        <v/>
      </c>
      <c r="J6" s="3">
        <f>SUMIFS($J$29:$J$528,$B$29:$B$528,1,$I$29:$I$528,"Income")</f>
        <v/>
      </c>
      <c r="K6" s="3">
        <f>J6-I6</f>
        <v/>
      </c>
    </row>
    <row r="7">
      <c r="A7" s="5" t="inlineStr">
        <is>
          <t>Existing Savings</t>
        </is>
      </c>
      <c r="B7" s="3">
        <f>SUMIFS($J$29:$J$528,$I$29:$I$528,"Opening Balance")</f>
        <v/>
      </c>
      <c r="D7" s="5" t="inlineStr">
        <is>
          <t>Utilities</t>
        </is>
      </c>
      <c r="E7" s="3">
        <f>SUMIFS($J$29:$J$528,$E$29:$E$528,$D7,$I$29:$I$528,"Expense")</f>
        <v/>
      </c>
      <c r="F7" s="3">
        <f>SUMIFS($J$29:$J$528,$E$29:$E$528,$D7,$I$29:$I$528,"Income")</f>
        <v/>
      </c>
      <c r="G7" s="3">
        <f>SUMIFS($J$29:$J$528,$E$29:$E$528,$D7,$I$29:$I$528,"Opening Balance")</f>
        <v/>
      </c>
      <c r="H7" s="5" t="inlineStr">
        <is>
          <t>Week 2</t>
        </is>
      </c>
      <c r="I7" s="3">
        <f>SUMIFS($J$29:$J$528,$B$29:$B$528,2,$I$29:$I$528,"Expense",$F$29:$F$528,"&lt;&gt;Rent")</f>
        <v/>
      </c>
      <c r="J7" s="3">
        <f>SUMIFS($J$29:$J$528,$B$29:$B$528,2,$I$29:$I$528,"Income")</f>
        <v/>
      </c>
      <c r="K7" s="3">
        <f>J7-I7</f>
        <v/>
      </c>
    </row>
    <row r="8">
      <c r="A8" s="5" t="inlineStr">
        <is>
          <t>Transfers</t>
        </is>
      </c>
      <c r="B8" s="3">
        <f>SUMIFS($J$29:$J$528,$I$29:$I$528,"Transfer")</f>
        <v/>
      </c>
      <c r="D8" s="5" t="inlineStr">
        <is>
          <t>Groceries</t>
        </is>
      </c>
      <c r="E8" s="3">
        <f>SUMIFS($J$29:$J$528,$E$29:$E$528,$D8,$I$29:$I$528,"Expense")</f>
        <v/>
      </c>
      <c r="F8" s="3">
        <f>SUMIFS($J$29:$J$528,$E$29:$E$528,$D8,$I$29:$I$528,"Income")</f>
        <v/>
      </c>
      <c r="G8" s="3">
        <f>SUMIFS($J$29:$J$528,$E$29:$E$528,$D8,$I$29:$I$528,"Opening Balance")</f>
        <v/>
      </c>
      <c r="H8" s="5" t="inlineStr">
        <is>
          <t>Week 3</t>
        </is>
      </c>
      <c r="I8" s="3">
        <f>SUMIFS($J$29:$J$528,$B$29:$B$528,3,$I$29:$I$528,"Expense",$F$29:$F$528,"&lt;&gt;Rent")</f>
        <v/>
      </c>
      <c r="J8" s="3">
        <f>SUMIFS($J$29:$J$528,$B$29:$B$528,3,$I$29:$I$528,"Income")</f>
        <v/>
      </c>
      <c r="K8" s="3">
        <f>J8-I8</f>
        <v/>
      </c>
    </row>
    <row r="9">
      <c r="A9" s="5" t="inlineStr">
        <is>
          <t>Net Cash Flow</t>
        </is>
      </c>
      <c r="B9" s="3">
        <f>B5-B6</f>
        <v/>
      </c>
      <c r="D9" s="5" t="inlineStr">
        <is>
          <t>Dining</t>
        </is>
      </c>
      <c r="E9" s="3">
        <f>SUMIFS($J$29:$J$528,$E$29:$E$528,$D9,$I$29:$I$528,"Expense")</f>
        <v/>
      </c>
      <c r="F9" s="3">
        <f>SUMIFS($J$29:$J$528,$E$29:$E$528,$D9,$I$29:$I$528,"Income")</f>
        <v/>
      </c>
      <c r="G9" s="3">
        <f>SUMIFS($J$29:$J$528,$E$29:$E$528,$D9,$I$29:$I$528,"Opening Balance")</f>
        <v/>
      </c>
      <c r="H9" s="5" t="inlineStr">
        <is>
          <t>Week 4</t>
        </is>
      </c>
      <c r="I9" s="3">
        <f>SUMIFS($J$29:$J$528,$B$29:$B$528,4,$I$29:$I$528,"Expense",$F$29:$F$528,"&lt;&gt;Rent")</f>
        <v/>
      </c>
      <c r="J9" s="3">
        <f>SUMIFS($J$29:$J$528,$B$29:$B$528,4,$I$29:$I$528,"Income")</f>
        <v/>
      </c>
      <c r="K9" s="3">
        <f>J9-I9</f>
        <v/>
      </c>
    </row>
    <row r="10">
      <c r="D10" s="5" t="inlineStr">
        <is>
          <t>Transportation</t>
        </is>
      </c>
      <c r="E10" s="3">
        <f>SUMIFS($J$29:$J$528,$E$29:$E$528,$D10,$I$29:$I$528,"Expense")</f>
        <v/>
      </c>
      <c r="F10" s="3">
        <f>SUMIFS($J$29:$J$528,$E$29:$E$528,$D10,$I$29:$I$528,"Income")</f>
        <v/>
      </c>
      <c r="G10" s="3">
        <f>SUMIFS($J$29:$J$528,$E$29:$E$528,$D10,$I$29:$I$528,"Opening Balance")</f>
        <v/>
      </c>
      <c r="H10" s="5" t="inlineStr">
        <is>
          <t>Week 5</t>
        </is>
      </c>
      <c r="I10" s="3">
        <f>SUMIFS($J$29:$J$528,$B$29:$B$528,5,$I$29:$I$528,"Expense",$F$29:$F$528,"&lt;&gt;Rent")</f>
        <v/>
      </c>
      <c r="J10" s="3">
        <f>SUMIFS($J$29:$J$528,$B$29:$B$528,5,$I$29:$I$528,"Income")</f>
        <v/>
      </c>
      <c r="K10" s="3">
        <f>J10-I10</f>
        <v/>
      </c>
    </row>
    <row r="11">
      <c r="D11" s="5" t="inlineStr">
        <is>
          <t>Health &amp; Medical</t>
        </is>
      </c>
      <c r="E11" s="3">
        <f>SUMIFS($J$29:$J$528,$E$29:$E$528,$D11,$I$29:$I$528,"Expense")</f>
        <v/>
      </c>
      <c r="F11" s="3">
        <f>SUMIFS($J$29:$J$528,$E$29:$E$528,$D11,$I$29:$I$528,"Income")</f>
        <v/>
      </c>
      <c r="G11" s="3">
        <f>SUMIFS($J$29:$J$528,$E$29:$E$528,$D11,$I$29:$I$528,"Opening Balance")</f>
        <v/>
      </c>
    </row>
    <row r="12">
      <c r="D12" s="5" t="inlineStr">
        <is>
          <t>Insurance</t>
        </is>
      </c>
      <c r="E12" s="3">
        <f>SUMIFS($J$29:$J$528,$E$29:$E$528,$D12,$I$29:$I$528,"Expense")</f>
        <v/>
      </c>
      <c r="F12" s="3">
        <f>SUMIFS($J$29:$J$528,$E$29:$E$528,$D12,$I$29:$I$528,"Income")</f>
        <v/>
      </c>
      <c r="G12" s="3">
        <f>SUMIFS($J$29:$J$528,$E$29:$E$528,$D12,$I$29:$I$528,"Opening Balance")</f>
        <v/>
      </c>
    </row>
    <row r="13">
      <c r="D13" s="5" t="inlineStr">
        <is>
          <t>Debt Payments</t>
        </is>
      </c>
      <c r="E13" s="3">
        <f>SUMIFS($J$29:$J$528,$E$29:$E$528,$D13,$I$29:$I$528,"Expense")</f>
        <v/>
      </c>
      <c r="F13" s="3">
        <f>SUMIFS($J$29:$J$528,$E$29:$E$528,$D13,$I$29:$I$528,"Income")</f>
        <v/>
      </c>
      <c r="G13" s="3">
        <f>SUMIFS($J$29:$J$528,$E$29:$E$528,$D13,$I$29:$I$528,"Opening Balance")</f>
        <v/>
      </c>
    </row>
    <row r="14">
      <c r="D14" s="5" t="inlineStr">
        <is>
          <t>Savings &amp; Investments</t>
        </is>
      </c>
      <c r="E14" s="3">
        <f>SUMIFS($J$29:$J$528,$E$29:$E$528,$D14,$I$29:$I$528,"Expense")</f>
        <v/>
      </c>
      <c r="F14" s="3">
        <f>SUMIFS($J$29:$J$528,$E$29:$E$528,$D14,$I$29:$I$528,"Income")</f>
        <v/>
      </c>
      <c r="G14" s="3">
        <f>SUMIFS($J$29:$J$528,$E$29:$E$528,$D14,$I$29:$I$528,"Opening Balance")</f>
        <v/>
      </c>
    </row>
    <row r="15">
      <c r="D15" s="5" t="inlineStr">
        <is>
          <t>Personal Care</t>
        </is>
      </c>
      <c r="E15" s="3">
        <f>SUMIFS($J$29:$J$528,$E$29:$E$528,$D15,$I$29:$I$528,"Expense")</f>
        <v/>
      </c>
      <c r="F15" s="3">
        <f>SUMIFS($J$29:$J$528,$E$29:$E$528,$D15,$I$29:$I$528,"Income")</f>
        <v/>
      </c>
      <c r="G15" s="3">
        <f>SUMIFS($J$29:$J$528,$E$29:$E$528,$D15,$I$29:$I$528,"Opening Balance")</f>
        <v/>
      </c>
    </row>
    <row r="16">
      <c r="D16" s="5" t="inlineStr">
        <is>
          <t>Shopping</t>
        </is>
      </c>
      <c r="E16" s="3">
        <f>SUMIFS($J$29:$J$528,$E$29:$E$528,$D16,$I$29:$I$528,"Expense")</f>
        <v/>
      </c>
      <c r="F16" s="3">
        <f>SUMIFS($J$29:$J$528,$E$29:$E$528,$D16,$I$29:$I$528,"Income")</f>
        <v/>
      </c>
      <c r="G16" s="3">
        <f>SUMIFS($J$29:$J$528,$E$29:$E$528,$D16,$I$29:$I$528,"Opening Balance")</f>
        <v/>
      </c>
    </row>
    <row r="17">
      <c r="D17" s="5" t="inlineStr">
        <is>
          <t>Entertainment</t>
        </is>
      </c>
      <c r="E17" s="3">
        <f>SUMIFS($J$29:$J$528,$E$29:$E$528,$D17,$I$29:$I$528,"Expense")</f>
        <v/>
      </c>
      <c r="F17" s="3">
        <f>SUMIFS($J$29:$J$528,$E$29:$E$528,$D17,$I$29:$I$528,"Income")</f>
        <v/>
      </c>
      <c r="G17" s="3">
        <f>SUMIFS($J$29:$J$528,$E$29:$E$528,$D17,$I$29:$I$528,"Opening Balance")</f>
        <v/>
      </c>
    </row>
    <row r="18">
      <c r="D18" s="5" t="inlineStr">
        <is>
          <t>Travel</t>
        </is>
      </c>
      <c r="E18" s="3">
        <f>SUMIFS($J$29:$J$528,$E$29:$E$528,$D18,$I$29:$I$528,"Expense")</f>
        <v/>
      </c>
      <c r="F18" s="3">
        <f>SUMIFS($J$29:$J$528,$E$29:$E$528,$D18,$I$29:$I$528,"Income")</f>
        <v/>
      </c>
      <c r="G18" s="3">
        <f>SUMIFS($J$29:$J$528,$E$29:$E$528,$D18,$I$29:$I$528,"Opening Balance")</f>
        <v/>
      </c>
    </row>
    <row r="19">
      <c r="D19" s="5" t="inlineStr">
        <is>
          <t>Education</t>
        </is>
      </c>
      <c r="E19" s="3">
        <f>SUMIFS($J$29:$J$528,$E$29:$E$528,$D19,$I$29:$I$528,"Expense")</f>
        <v/>
      </c>
      <c r="F19" s="3">
        <f>SUMIFS($J$29:$J$528,$E$29:$E$528,$D19,$I$29:$I$528,"Income")</f>
        <v/>
      </c>
      <c r="G19" s="3">
        <f>SUMIFS($J$29:$J$528,$E$29:$E$528,$D19,$I$29:$I$528,"Opening Balance")</f>
        <v/>
      </c>
    </row>
    <row r="20">
      <c r="D20" s="5" t="inlineStr">
        <is>
          <t>Gifts &amp; Donations</t>
        </is>
      </c>
      <c r="E20" s="3">
        <f>SUMIFS($J$29:$J$528,$E$29:$E$528,$D20,$I$29:$I$528,"Expense")</f>
        <v/>
      </c>
      <c r="F20" s="3">
        <f>SUMIFS($J$29:$J$528,$E$29:$E$528,$D20,$I$29:$I$528,"Income")</f>
        <v/>
      </c>
      <c r="G20" s="3">
        <f>SUMIFS($J$29:$J$528,$E$29:$E$528,$D20,$I$29:$I$528,"Opening Balance")</f>
        <v/>
      </c>
    </row>
    <row r="21">
      <c r="D21" s="5" t="inlineStr">
        <is>
          <t>Taxes</t>
        </is>
      </c>
      <c r="E21" s="3">
        <f>SUMIFS($J$29:$J$528,$E$29:$E$528,$D21,$I$29:$I$528,"Expense")</f>
        <v/>
      </c>
      <c r="F21" s="3">
        <f>SUMIFS($J$29:$J$528,$E$29:$E$528,$D21,$I$29:$I$528,"Income")</f>
        <v/>
      </c>
      <c r="G21" s="3">
        <f>SUMIFS($J$29:$J$528,$E$29:$E$528,$D21,$I$29:$I$528,"Opening Balance")</f>
        <v/>
      </c>
    </row>
    <row r="22">
      <c r="D22" s="5" t="inlineStr">
        <is>
          <t>Shipping</t>
        </is>
      </c>
      <c r="E22" s="3">
        <f>SUMIFS($J$29:$J$528,$E$29:$E$528,$D22,$I$29:$I$528,"Expense")</f>
        <v/>
      </c>
      <c r="F22" s="3">
        <f>SUMIFS($J$29:$J$528,$E$29:$E$528,$D22,$I$29:$I$528,"Income")</f>
        <v/>
      </c>
      <c r="G22" s="3">
        <f>SUMIFS($J$29:$J$528,$E$29:$E$528,$D22,$I$29:$I$528,"Opening Balance")</f>
        <v/>
      </c>
    </row>
    <row r="23">
      <c r="D23" s="5" t="inlineStr">
        <is>
          <t>Income</t>
        </is>
      </c>
      <c r="E23" s="3">
        <f>SUMIFS($J$29:$J$528,$E$29:$E$528,$D23,$I$29:$I$528,"Expense")</f>
        <v/>
      </c>
      <c r="F23" s="3">
        <f>SUMIFS($J$29:$J$528,$E$29:$E$528,$D23,$I$29:$I$528,"Income")</f>
        <v/>
      </c>
      <c r="G23" s="3">
        <f>SUMIFS($J$29:$J$528,$E$29:$E$528,$D23,$I$29:$I$528,"Opening Balance")</f>
        <v/>
      </c>
    </row>
    <row r="24">
      <c r="D24" s="5" t="inlineStr">
        <is>
          <t>Transfers</t>
        </is>
      </c>
      <c r="E24" s="3">
        <f>SUMIFS($J$29:$J$528,$E$29:$E$528,$D24,$I$29:$I$528,"Expense")</f>
        <v/>
      </c>
      <c r="F24" s="3">
        <f>SUMIFS($J$29:$J$528,$E$29:$E$528,$D24,$I$29:$I$528,"Income")</f>
        <v/>
      </c>
      <c r="G24" s="3">
        <f>SUMIFS($J$29:$J$528,$E$29:$E$528,$D24,$I$29:$I$528,"Opening Balance")</f>
        <v/>
      </c>
    </row>
    <row r="25">
      <c r="D25" s="5" t="inlineStr">
        <is>
          <t>Existing Savings</t>
        </is>
      </c>
      <c r="E25" s="3">
        <f>SUMIFS($J$29:$J$528,$E$29:$E$528,$D25,$I$29:$I$528,"Expense")</f>
        <v/>
      </c>
      <c r="F25" s="3">
        <f>SUMIFS($J$29:$J$528,$E$29:$E$528,$D25,$I$29:$I$528,"Income")</f>
        <v/>
      </c>
      <c r="G25" s="3">
        <f>SUMIFS($J$29:$J$528,$E$29:$E$528,$D25,$I$29:$I$528,"Opening Balance")</f>
        <v/>
      </c>
    </row>
    <row r="26">
      <c r="D26" s="5" t="inlineStr">
        <is>
          <t>Essentials</t>
        </is>
      </c>
      <c r="E26" s="3">
        <f>SUMIFS($J$29:$J$528,$E$29:$E$528,$D26,$I$29:$I$528,"Expense")</f>
        <v/>
      </c>
      <c r="F26" s="3">
        <f>SUMIFS($J$29:$J$528,$E$29:$E$528,$D26,$I$29:$I$528,"Income")</f>
        <v/>
      </c>
      <c r="G26" s="3">
        <f>SUMIFS($J$29:$J$528,$E$29:$E$528,$D26,$I$29:$I$528,"Opening Balance")</f>
        <v/>
      </c>
    </row>
    <row r="27">
      <c r="A27" s="1" t="inlineStr">
        <is>
          <t>Transactions</t>
        </is>
      </c>
    </row>
    <row r="28">
      <c r="A28" s="2" t="inlineStr">
        <is>
          <t>Date</t>
        </is>
      </c>
      <c r="B28" s="2" t="inlineStr">
        <is>
          <t>Week</t>
        </is>
      </c>
      <c r="C28" s="2" t="inlineStr">
        <is>
          <t>Description</t>
        </is>
      </c>
      <c r="D28" s="2" t="inlineStr">
        <is>
          <t>Merchant</t>
        </is>
      </c>
      <c r="E28" s="2" t="inlineStr">
        <is>
          <t>Category</t>
        </is>
      </c>
      <c r="F28" s="2" t="inlineStr">
        <is>
          <t>Subcategory</t>
        </is>
      </c>
      <c r="G28" s="2" t="inlineStr">
        <is>
          <t>Account</t>
        </is>
      </c>
      <c r="H28" s="2" t="inlineStr">
        <is>
          <t>Payment Method</t>
        </is>
      </c>
      <c r="I28" s="2" t="inlineStr">
        <is>
          <t>Type</t>
        </is>
      </c>
      <c r="J28" s="2" t="inlineStr">
        <is>
          <t>Amount</t>
        </is>
      </c>
      <c r="K28" s="2" t="inlineStr">
        <is>
          <t>Notes</t>
        </is>
      </c>
    </row>
    <row r="29">
      <c r="A29" s="4" t="n"/>
      <c r="B29" s="9">
        <f>IF(A29="","",INT((DAY(A29)-1)/7)+1)</f>
        <v/>
      </c>
      <c r="C29" s="9" t="n"/>
      <c r="D29" s="9" t="n"/>
      <c r="E29" s="9" t="n"/>
      <c r="F29" s="9" t="n"/>
      <c r="G29" s="9" t="n"/>
      <c r="H29" s="9" t="n"/>
      <c r="I29" s="9" t="n"/>
      <c r="J29" s="3" t="n"/>
      <c r="K29" s="9" t="n"/>
    </row>
    <row r="30">
      <c r="A30" s="4" t="n"/>
      <c r="B30" s="9">
        <f>IF(A30="","",INT((DAY(A30)-1)/7)+1)</f>
        <v/>
      </c>
      <c r="C30" s="9" t="n"/>
      <c r="D30" s="9" t="n"/>
      <c r="E30" s="9" t="n"/>
      <c r="F30" s="9" t="n"/>
      <c r="G30" s="9" t="n"/>
      <c r="H30" s="9" t="n"/>
      <c r="I30" s="9" t="n"/>
      <c r="J30" s="3" t="n"/>
      <c r="K30" s="9" t="n"/>
    </row>
    <row r="31">
      <c r="A31" s="4" t="n"/>
      <c r="B31" s="9">
        <f>IF(A31="","",INT((DAY(A31)-1)/7)+1)</f>
        <v/>
      </c>
      <c r="C31" s="9" t="n"/>
      <c r="D31" s="9" t="n"/>
      <c r="E31" s="9" t="n"/>
      <c r="F31" s="9" t="n"/>
      <c r="G31" s="9" t="n"/>
      <c r="H31" s="9" t="n"/>
      <c r="I31" s="9" t="n"/>
      <c r="J31" s="3" t="n"/>
      <c r="K31" s="9" t="n"/>
    </row>
    <row r="32">
      <c r="A32" s="4" t="n"/>
      <c r="B32" s="9">
        <f>IF(A32="","",INT((DAY(A32)-1)/7)+1)</f>
        <v/>
      </c>
      <c r="C32" s="9" t="n"/>
      <c r="D32" s="9" t="n"/>
      <c r="E32" s="9" t="n"/>
      <c r="F32" s="9" t="n"/>
      <c r="G32" s="9" t="n"/>
      <c r="H32" s="9" t="n"/>
      <c r="I32" s="9" t="n"/>
      <c r="J32" s="3" t="n"/>
      <c r="K32" s="9" t="n"/>
    </row>
    <row r="33">
      <c r="A33" s="4" t="n"/>
      <c r="B33" s="9">
        <f>IF(A33="","",INT((DAY(A33)-1)/7)+1)</f>
        <v/>
      </c>
      <c r="C33" s="9" t="n"/>
      <c r="D33" s="9" t="n"/>
      <c r="E33" s="9" t="n"/>
      <c r="F33" s="9" t="n"/>
      <c r="G33" s="9" t="n"/>
      <c r="H33" s="9" t="n"/>
      <c r="I33" s="9" t="n"/>
      <c r="J33" s="3" t="n"/>
      <c r="K33" s="9" t="n"/>
    </row>
    <row r="34">
      <c r="A34" s="4" t="n"/>
      <c r="B34" s="9">
        <f>IF(A34="","",INT((DAY(A34)-1)/7)+1)</f>
        <v/>
      </c>
      <c r="C34" s="9" t="n"/>
      <c r="D34" s="9" t="n"/>
      <c r="E34" s="9" t="n"/>
      <c r="F34" s="9" t="n"/>
      <c r="G34" s="9" t="n"/>
      <c r="H34" s="9" t="n"/>
      <c r="I34" s="9" t="n"/>
      <c r="J34" s="3" t="n"/>
      <c r="K34" s="9" t="n"/>
    </row>
    <row r="35">
      <c r="A35" s="4" t="n"/>
      <c r="B35" s="9">
        <f>IF(A35="","",INT((DAY(A35)-1)/7)+1)</f>
        <v/>
      </c>
      <c r="C35" s="9" t="n"/>
      <c r="D35" s="9" t="n"/>
      <c r="E35" s="9" t="n"/>
      <c r="F35" s="9" t="n"/>
      <c r="G35" s="9" t="n"/>
      <c r="H35" s="9" t="n"/>
      <c r="I35" s="9" t="n"/>
      <c r="J35" s="3" t="n"/>
      <c r="K35" s="9" t="n"/>
    </row>
    <row r="36">
      <c r="A36" s="4" t="n"/>
      <c r="B36" s="9">
        <f>IF(A36="","",INT((DAY(A36)-1)/7)+1)</f>
        <v/>
      </c>
      <c r="C36" s="9" t="n"/>
      <c r="D36" s="9" t="n"/>
      <c r="E36" s="9" t="n"/>
      <c r="F36" s="9" t="n"/>
      <c r="G36" s="9" t="n"/>
      <c r="H36" s="9" t="n"/>
      <c r="I36" s="9" t="n"/>
      <c r="J36" s="3" t="n"/>
      <c r="K36" s="9" t="n"/>
    </row>
    <row r="37">
      <c r="A37" s="4" t="n"/>
      <c r="B37" s="9">
        <f>IF(A37="","",INT((DAY(A37)-1)/7)+1)</f>
        <v/>
      </c>
      <c r="C37" s="9" t="n"/>
      <c r="D37" s="9" t="n"/>
      <c r="E37" s="9" t="n"/>
      <c r="F37" s="9" t="n"/>
      <c r="G37" s="9" t="n"/>
      <c r="H37" s="9" t="n"/>
      <c r="I37" s="9" t="n"/>
      <c r="J37" s="3" t="n"/>
      <c r="K37" s="9" t="n"/>
    </row>
    <row r="38">
      <c r="A38" s="4" t="n"/>
      <c r="B38" s="9">
        <f>IF(A38="","",INT((DAY(A38)-1)/7)+1)</f>
        <v/>
      </c>
      <c r="C38" s="9" t="n"/>
      <c r="D38" s="9" t="n"/>
      <c r="E38" s="9" t="n"/>
      <c r="F38" s="9" t="n"/>
      <c r="G38" s="9" t="n"/>
      <c r="H38" s="9" t="n"/>
      <c r="I38" s="9" t="n"/>
      <c r="J38" s="3" t="n"/>
      <c r="K38" s="9" t="n"/>
    </row>
    <row r="39">
      <c r="A39" s="4" t="n"/>
      <c r="B39" s="9">
        <f>IF(A39="","",INT((DAY(A39)-1)/7)+1)</f>
        <v/>
      </c>
      <c r="C39" s="9" t="n"/>
      <c r="D39" s="9" t="n"/>
      <c r="E39" s="9" t="n"/>
      <c r="F39" s="9" t="n"/>
      <c r="G39" s="9" t="n"/>
      <c r="H39" s="9" t="n"/>
      <c r="I39" s="9" t="n"/>
      <c r="J39" s="3" t="n"/>
      <c r="K39" s="9" t="n"/>
    </row>
    <row r="40">
      <c r="A40" s="4" t="n"/>
      <c r="B40" s="9">
        <f>IF(A40="","",INT((DAY(A40)-1)/7)+1)</f>
        <v/>
      </c>
      <c r="C40" s="9" t="n"/>
      <c r="D40" s="9" t="n"/>
      <c r="E40" s="9" t="n"/>
      <c r="F40" s="9" t="n"/>
      <c r="G40" s="9" t="n"/>
      <c r="H40" s="9" t="n"/>
      <c r="I40" s="9" t="n"/>
      <c r="J40" s="3" t="n"/>
      <c r="K40" s="9" t="n"/>
    </row>
    <row r="41">
      <c r="A41" s="4" t="n"/>
      <c r="B41" s="9">
        <f>IF(A41="","",INT((DAY(A41)-1)/7)+1)</f>
        <v/>
      </c>
      <c r="C41" s="9" t="n"/>
      <c r="D41" s="9" t="n"/>
      <c r="E41" s="9" t="n"/>
      <c r="F41" s="9" t="n"/>
      <c r="G41" s="9" t="n"/>
      <c r="H41" s="9" t="n"/>
      <c r="I41" s="9" t="n"/>
      <c r="J41" s="3" t="n"/>
      <c r="K41" s="9" t="n"/>
    </row>
    <row r="42">
      <c r="A42" s="4" t="n"/>
      <c r="B42" s="9">
        <f>IF(A42="","",INT((DAY(A42)-1)/7)+1)</f>
        <v/>
      </c>
      <c r="C42" s="9" t="n"/>
      <c r="D42" s="9" t="n"/>
      <c r="E42" s="9" t="n"/>
      <c r="F42" s="9" t="n"/>
      <c r="G42" s="9" t="n"/>
      <c r="H42" s="9" t="n"/>
      <c r="I42" s="9" t="n"/>
      <c r="J42" s="3" t="n"/>
      <c r="K42" s="9" t="n"/>
    </row>
    <row r="43">
      <c r="A43" s="4" t="n"/>
      <c r="B43" s="9">
        <f>IF(A43="","",INT((DAY(A43)-1)/7)+1)</f>
        <v/>
      </c>
      <c r="C43" s="9" t="n"/>
      <c r="D43" s="9" t="n"/>
      <c r="E43" s="9" t="n"/>
      <c r="F43" s="9" t="n"/>
      <c r="G43" s="9" t="n"/>
      <c r="H43" s="9" t="n"/>
      <c r="I43" s="9" t="n"/>
      <c r="J43" s="3" t="n"/>
      <c r="K43" s="9" t="n"/>
    </row>
    <row r="44">
      <c r="A44" s="4" t="n"/>
      <c r="B44" s="9">
        <f>IF(A44="","",INT((DAY(A44)-1)/7)+1)</f>
        <v/>
      </c>
      <c r="C44" s="9" t="n"/>
      <c r="D44" s="9" t="n"/>
      <c r="E44" s="9" t="n"/>
      <c r="F44" s="9" t="n"/>
      <c r="G44" s="9" t="n"/>
      <c r="H44" s="9" t="n"/>
      <c r="I44" s="9" t="n"/>
      <c r="J44" s="3" t="n"/>
      <c r="K44" s="9" t="n"/>
    </row>
    <row r="45">
      <c r="A45" s="4" t="n"/>
      <c r="B45" s="9">
        <f>IF(A45="","",INT((DAY(A45)-1)/7)+1)</f>
        <v/>
      </c>
      <c r="C45" s="9" t="n"/>
      <c r="D45" s="9" t="n"/>
      <c r="E45" s="9" t="n"/>
      <c r="F45" s="9" t="n"/>
      <c r="G45" s="9" t="n"/>
      <c r="H45" s="9" t="n"/>
      <c r="I45" s="9" t="n"/>
      <c r="J45" s="3" t="n"/>
      <c r="K45" s="9" t="n"/>
    </row>
    <row r="46">
      <c r="A46" s="4" t="n"/>
      <c r="B46" s="9">
        <f>IF(A46="","",INT((DAY(A46)-1)/7)+1)</f>
        <v/>
      </c>
      <c r="C46" s="9" t="n"/>
      <c r="D46" s="9" t="n"/>
      <c r="E46" s="9" t="n"/>
      <c r="F46" s="9" t="n"/>
      <c r="G46" s="9" t="n"/>
      <c r="H46" s="9" t="n"/>
      <c r="I46" s="9" t="n"/>
      <c r="J46" s="3" t="n"/>
      <c r="K46" s="9" t="n"/>
    </row>
    <row r="47">
      <c r="A47" s="4" t="n"/>
      <c r="B47" s="9">
        <f>IF(A47="","",INT((DAY(A47)-1)/7)+1)</f>
        <v/>
      </c>
      <c r="C47" s="9" t="n"/>
      <c r="D47" s="9" t="n"/>
      <c r="E47" s="9" t="n"/>
      <c r="F47" s="9" t="n"/>
      <c r="G47" s="9" t="n"/>
      <c r="H47" s="9" t="n"/>
      <c r="I47" s="9" t="n"/>
      <c r="J47" s="3" t="n"/>
      <c r="K47" s="9" t="n"/>
    </row>
    <row r="48">
      <c r="A48" s="4" t="n"/>
      <c r="B48" s="9">
        <f>IF(A48="","",INT((DAY(A48)-1)/7)+1)</f>
        <v/>
      </c>
      <c r="C48" s="9" t="n"/>
      <c r="D48" s="9" t="n"/>
      <c r="E48" s="9" t="n"/>
      <c r="F48" s="9" t="n"/>
      <c r="G48" s="9" t="n"/>
      <c r="H48" s="9" t="n"/>
      <c r="I48" s="9" t="n"/>
      <c r="J48" s="3" t="n"/>
      <c r="K48" s="9" t="n"/>
    </row>
    <row r="49">
      <c r="A49" s="4" t="n"/>
      <c r="B49" s="9">
        <f>IF(A49="","",INT((DAY(A49)-1)/7)+1)</f>
        <v/>
      </c>
      <c r="C49" s="9" t="n"/>
      <c r="D49" s="9" t="n"/>
      <c r="E49" s="9" t="n"/>
      <c r="F49" s="9" t="n"/>
      <c r="G49" s="9" t="n"/>
      <c r="H49" s="9" t="n"/>
      <c r="I49" s="9" t="n"/>
      <c r="J49" s="3" t="n"/>
      <c r="K49" s="9" t="n"/>
    </row>
    <row r="50">
      <c r="A50" s="4" t="n"/>
      <c r="B50" s="9">
        <f>IF(A50="","",INT((DAY(A50)-1)/7)+1)</f>
        <v/>
      </c>
      <c r="C50" s="9" t="n"/>
      <c r="D50" s="9" t="n"/>
      <c r="E50" s="9" t="n"/>
      <c r="F50" s="9" t="n"/>
      <c r="G50" s="9" t="n"/>
      <c r="H50" s="9" t="n"/>
      <c r="I50" s="9" t="n"/>
      <c r="J50" s="3" t="n"/>
      <c r="K50" s="9" t="n"/>
    </row>
    <row r="51">
      <c r="A51" s="4" t="n"/>
      <c r="B51" s="9">
        <f>IF(A51="","",INT((DAY(A51)-1)/7)+1)</f>
        <v/>
      </c>
      <c r="C51" s="9" t="n"/>
      <c r="D51" s="9" t="n"/>
      <c r="E51" s="9" t="n"/>
      <c r="F51" s="9" t="n"/>
      <c r="G51" s="9" t="n"/>
      <c r="H51" s="9" t="n"/>
      <c r="I51" s="9" t="n"/>
      <c r="J51" s="3" t="n"/>
      <c r="K51" s="9" t="n"/>
    </row>
    <row r="52">
      <c r="A52" s="4" t="n"/>
      <c r="B52" s="9">
        <f>IF(A52="","",INT((DAY(A52)-1)/7)+1)</f>
        <v/>
      </c>
      <c r="C52" s="9" t="n"/>
      <c r="D52" s="9" t="n"/>
      <c r="E52" s="9" t="n"/>
      <c r="F52" s="9" t="n"/>
      <c r="G52" s="9" t="n"/>
      <c r="H52" s="9" t="n"/>
      <c r="I52" s="9" t="n"/>
      <c r="J52" s="3" t="n"/>
      <c r="K52" s="9" t="n"/>
    </row>
    <row r="53">
      <c r="A53" s="4" t="n"/>
      <c r="B53" s="9">
        <f>IF(A53="","",INT((DAY(A53)-1)/7)+1)</f>
        <v/>
      </c>
      <c r="C53" s="9" t="n"/>
      <c r="D53" s="9" t="n"/>
      <c r="E53" s="9" t="n"/>
      <c r="F53" s="9" t="n"/>
      <c r="G53" s="9" t="n"/>
      <c r="H53" s="9" t="n"/>
      <c r="I53" s="9" t="n"/>
      <c r="J53" s="3" t="n"/>
      <c r="K53" s="9" t="n"/>
    </row>
    <row r="54">
      <c r="A54" s="4" t="n"/>
      <c r="B54" s="9">
        <f>IF(A54="","",INT((DAY(A54)-1)/7)+1)</f>
        <v/>
      </c>
      <c r="C54" s="9" t="n"/>
      <c r="D54" s="9" t="n"/>
      <c r="E54" s="9" t="n"/>
      <c r="F54" s="9" t="n"/>
      <c r="G54" s="9" t="n"/>
      <c r="H54" s="9" t="n"/>
      <c r="I54" s="9" t="n"/>
      <c r="J54" s="3" t="n"/>
      <c r="K54" s="9" t="n"/>
    </row>
    <row r="55">
      <c r="A55" s="4" t="n"/>
      <c r="B55" s="9">
        <f>IF(A55="","",INT((DAY(A55)-1)/7)+1)</f>
        <v/>
      </c>
      <c r="C55" s="9" t="n"/>
      <c r="D55" s="9" t="n"/>
      <c r="E55" s="9" t="n"/>
      <c r="F55" s="9" t="n"/>
      <c r="G55" s="9" t="n"/>
      <c r="H55" s="9" t="n"/>
      <c r="I55" s="9" t="n"/>
      <c r="J55" s="3" t="n"/>
      <c r="K55" s="9" t="n"/>
    </row>
    <row r="56">
      <c r="A56" s="4" t="n"/>
      <c r="B56" s="9">
        <f>IF(A56="","",INT((DAY(A56)-1)/7)+1)</f>
        <v/>
      </c>
      <c r="C56" s="9" t="n"/>
      <c r="D56" s="9" t="n"/>
      <c r="E56" s="9" t="n"/>
      <c r="F56" s="9" t="n"/>
      <c r="G56" s="9" t="n"/>
      <c r="H56" s="9" t="n"/>
      <c r="I56" s="9" t="n"/>
      <c r="J56" s="3" t="n"/>
      <c r="K56" s="9" t="n"/>
    </row>
    <row r="57">
      <c r="A57" s="4" t="n"/>
      <c r="B57" s="9">
        <f>IF(A57="","",INT((DAY(A57)-1)/7)+1)</f>
        <v/>
      </c>
      <c r="C57" s="9" t="n"/>
      <c r="D57" s="9" t="n"/>
      <c r="E57" s="9" t="n"/>
      <c r="F57" s="9" t="n"/>
      <c r="G57" s="9" t="n"/>
      <c r="H57" s="9" t="n"/>
      <c r="I57" s="9" t="n"/>
      <c r="J57" s="3" t="n"/>
      <c r="K57" s="9" t="n"/>
    </row>
    <row r="58">
      <c r="A58" s="4" t="n"/>
      <c r="B58" s="9">
        <f>IF(A58="","",INT((DAY(A58)-1)/7)+1)</f>
        <v/>
      </c>
      <c r="C58" s="9" t="n"/>
      <c r="D58" s="9" t="n"/>
      <c r="E58" s="9" t="n"/>
      <c r="F58" s="9" t="n"/>
      <c r="G58" s="9" t="n"/>
      <c r="H58" s="9" t="n"/>
      <c r="I58" s="9" t="n"/>
      <c r="J58" s="3" t="n"/>
      <c r="K58" s="9" t="n"/>
    </row>
    <row r="59">
      <c r="A59" s="4" t="n"/>
      <c r="B59" s="9">
        <f>IF(A59="","",INT((DAY(A59)-1)/7)+1)</f>
        <v/>
      </c>
      <c r="C59" s="9" t="n"/>
      <c r="D59" s="9" t="n"/>
      <c r="E59" s="9" t="n"/>
      <c r="F59" s="9" t="n"/>
      <c r="G59" s="9" t="n"/>
      <c r="H59" s="9" t="n"/>
      <c r="I59" s="9" t="n"/>
      <c r="J59" s="3" t="n"/>
      <c r="K59" s="9" t="n"/>
    </row>
    <row r="60">
      <c r="A60" s="4" t="n"/>
      <c r="B60" s="9">
        <f>IF(A60="","",INT((DAY(A60)-1)/7)+1)</f>
        <v/>
      </c>
      <c r="C60" s="9" t="n"/>
      <c r="D60" s="9" t="n"/>
      <c r="E60" s="9" t="n"/>
      <c r="F60" s="9" t="n"/>
      <c r="G60" s="9" t="n"/>
      <c r="H60" s="9" t="n"/>
      <c r="I60" s="9" t="n"/>
      <c r="J60" s="3" t="n"/>
      <c r="K60" s="9" t="n"/>
    </row>
    <row r="61">
      <c r="A61" s="4" t="n"/>
      <c r="B61" s="9">
        <f>IF(A61="","",INT((DAY(A61)-1)/7)+1)</f>
        <v/>
      </c>
      <c r="C61" s="9" t="n"/>
      <c r="D61" s="9" t="n"/>
      <c r="E61" s="9" t="n"/>
      <c r="F61" s="9" t="n"/>
      <c r="G61" s="9" t="n"/>
      <c r="H61" s="9" t="n"/>
      <c r="I61" s="9" t="n"/>
      <c r="J61" s="3" t="n"/>
      <c r="K61" s="9" t="n"/>
    </row>
    <row r="62">
      <c r="A62" s="4" t="n"/>
      <c r="B62" s="9">
        <f>IF(A62="","",INT((DAY(A62)-1)/7)+1)</f>
        <v/>
      </c>
      <c r="C62" s="9" t="n"/>
      <c r="D62" s="9" t="n"/>
      <c r="E62" s="9" t="n"/>
      <c r="F62" s="9" t="n"/>
      <c r="G62" s="9" t="n"/>
      <c r="H62" s="9" t="n"/>
      <c r="I62" s="9" t="n"/>
      <c r="J62" s="3" t="n"/>
      <c r="K62" s="9" t="n"/>
    </row>
    <row r="63">
      <c r="A63" s="4" t="n"/>
      <c r="B63" s="9">
        <f>IF(A63="","",INT((DAY(A63)-1)/7)+1)</f>
        <v/>
      </c>
      <c r="C63" s="9" t="n"/>
      <c r="D63" s="9" t="n"/>
      <c r="E63" s="9" t="n"/>
      <c r="F63" s="9" t="n"/>
      <c r="G63" s="9" t="n"/>
      <c r="H63" s="9" t="n"/>
      <c r="I63" s="9" t="n"/>
      <c r="J63" s="3" t="n"/>
      <c r="K63" s="9" t="n"/>
    </row>
    <row r="64">
      <c r="A64" s="4" t="n"/>
      <c r="B64" s="9">
        <f>IF(A64="","",INT((DAY(A64)-1)/7)+1)</f>
        <v/>
      </c>
      <c r="C64" s="9" t="n"/>
      <c r="D64" s="9" t="n"/>
      <c r="E64" s="9" t="n"/>
      <c r="F64" s="9" t="n"/>
      <c r="G64" s="9" t="n"/>
      <c r="H64" s="9" t="n"/>
      <c r="I64" s="9" t="n"/>
      <c r="J64" s="3" t="n"/>
      <c r="K64" s="9" t="n"/>
    </row>
    <row r="65">
      <c r="A65" s="4" t="n"/>
      <c r="B65" s="9">
        <f>IF(A65="","",INT((DAY(A65)-1)/7)+1)</f>
        <v/>
      </c>
      <c r="C65" s="9" t="n"/>
      <c r="D65" s="9" t="n"/>
      <c r="E65" s="9" t="n"/>
      <c r="F65" s="9" t="n"/>
      <c r="G65" s="9" t="n"/>
      <c r="H65" s="9" t="n"/>
      <c r="I65" s="9" t="n"/>
      <c r="J65" s="3" t="n"/>
      <c r="K65" s="9" t="n"/>
    </row>
    <row r="66">
      <c r="A66" s="4" t="n"/>
      <c r="B66" s="9">
        <f>IF(A66="","",INT((DAY(A66)-1)/7)+1)</f>
        <v/>
      </c>
      <c r="C66" s="9" t="n"/>
      <c r="D66" s="9" t="n"/>
      <c r="E66" s="9" t="n"/>
      <c r="F66" s="9" t="n"/>
      <c r="G66" s="9" t="n"/>
      <c r="H66" s="9" t="n"/>
      <c r="I66" s="9" t="n"/>
      <c r="J66" s="3" t="n"/>
      <c r="K66" s="9" t="n"/>
    </row>
    <row r="67">
      <c r="A67" s="4" t="n"/>
      <c r="B67" s="9">
        <f>IF(A67="","",INT((DAY(A67)-1)/7)+1)</f>
        <v/>
      </c>
      <c r="C67" s="9" t="n"/>
      <c r="D67" s="9" t="n"/>
      <c r="E67" s="9" t="n"/>
      <c r="F67" s="9" t="n"/>
      <c r="G67" s="9" t="n"/>
      <c r="H67" s="9" t="n"/>
      <c r="I67" s="9" t="n"/>
      <c r="J67" s="3" t="n"/>
      <c r="K67" s="9" t="n"/>
    </row>
    <row r="68">
      <c r="A68" s="4" t="n"/>
      <c r="B68" s="9">
        <f>IF(A68="","",INT((DAY(A68)-1)/7)+1)</f>
        <v/>
      </c>
      <c r="C68" s="9" t="n"/>
      <c r="D68" s="9" t="n"/>
      <c r="E68" s="9" t="n"/>
      <c r="F68" s="9" t="n"/>
      <c r="G68" s="9" t="n"/>
      <c r="H68" s="9" t="n"/>
      <c r="I68" s="9" t="n"/>
      <c r="J68" s="3" t="n"/>
      <c r="K68" s="9" t="n"/>
    </row>
    <row r="69">
      <c r="A69" s="4" t="n"/>
      <c r="B69" s="9">
        <f>IF(A69="","",INT((DAY(A69)-1)/7)+1)</f>
        <v/>
      </c>
      <c r="C69" s="9" t="n"/>
      <c r="D69" s="9" t="n"/>
      <c r="E69" s="9" t="n"/>
      <c r="F69" s="9" t="n"/>
      <c r="G69" s="9" t="n"/>
      <c r="H69" s="9" t="n"/>
      <c r="I69" s="9" t="n"/>
      <c r="J69" s="3" t="n"/>
      <c r="K69" s="9" t="n"/>
    </row>
    <row r="70">
      <c r="A70" s="4" t="n"/>
      <c r="B70" s="9">
        <f>IF(A70="","",INT((DAY(A70)-1)/7)+1)</f>
        <v/>
      </c>
      <c r="C70" s="9" t="n"/>
      <c r="D70" s="9" t="n"/>
      <c r="E70" s="9" t="n"/>
      <c r="F70" s="9" t="n"/>
      <c r="G70" s="9" t="n"/>
      <c r="H70" s="9" t="n"/>
      <c r="I70" s="9" t="n"/>
      <c r="J70" s="3" t="n"/>
      <c r="K70" s="9" t="n"/>
    </row>
    <row r="71">
      <c r="A71" s="4" t="n"/>
      <c r="B71" s="9">
        <f>IF(A71="","",INT((DAY(A71)-1)/7)+1)</f>
        <v/>
      </c>
      <c r="C71" s="9" t="n"/>
      <c r="D71" s="9" t="n"/>
      <c r="E71" s="9" t="n"/>
      <c r="F71" s="9" t="n"/>
      <c r="G71" s="9" t="n"/>
      <c r="H71" s="9" t="n"/>
      <c r="I71" s="9" t="n"/>
      <c r="J71" s="3" t="n"/>
      <c r="K71" s="9" t="n"/>
    </row>
    <row r="72">
      <c r="A72" s="4" t="n"/>
      <c r="B72" s="9">
        <f>IF(A72="","",INT((DAY(A72)-1)/7)+1)</f>
        <v/>
      </c>
      <c r="C72" s="9" t="n"/>
      <c r="D72" s="9" t="n"/>
      <c r="E72" s="9" t="n"/>
      <c r="F72" s="9" t="n"/>
      <c r="G72" s="9" t="n"/>
      <c r="H72" s="9" t="n"/>
      <c r="I72" s="9" t="n"/>
      <c r="J72" s="3" t="n"/>
      <c r="K72" s="9" t="n"/>
    </row>
    <row r="73">
      <c r="A73" s="4" t="n"/>
      <c r="B73" s="9">
        <f>IF(A73="","",INT((DAY(A73)-1)/7)+1)</f>
        <v/>
      </c>
      <c r="C73" s="9" t="n"/>
      <c r="D73" s="9" t="n"/>
      <c r="E73" s="9" t="n"/>
      <c r="F73" s="9" t="n"/>
      <c r="G73" s="9" t="n"/>
      <c r="H73" s="9" t="n"/>
      <c r="I73" s="9" t="n"/>
      <c r="J73" s="3" t="n"/>
      <c r="K73" s="9" t="n"/>
    </row>
    <row r="74">
      <c r="A74" s="4" t="n"/>
      <c r="B74" s="9">
        <f>IF(A74="","",INT((DAY(A74)-1)/7)+1)</f>
        <v/>
      </c>
      <c r="C74" s="9" t="n"/>
      <c r="D74" s="9" t="n"/>
      <c r="E74" s="9" t="n"/>
      <c r="F74" s="9" t="n"/>
      <c r="G74" s="9" t="n"/>
      <c r="H74" s="9" t="n"/>
      <c r="I74" s="9" t="n"/>
      <c r="J74" s="3" t="n"/>
      <c r="K74" s="9" t="n"/>
    </row>
    <row r="75">
      <c r="A75" s="4" t="n"/>
      <c r="B75" s="9">
        <f>IF(A75="","",INT((DAY(A75)-1)/7)+1)</f>
        <v/>
      </c>
      <c r="C75" s="9" t="n"/>
      <c r="D75" s="9" t="n"/>
      <c r="E75" s="9" t="n"/>
      <c r="F75" s="9" t="n"/>
      <c r="G75" s="9" t="n"/>
      <c r="H75" s="9" t="n"/>
      <c r="I75" s="9" t="n"/>
      <c r="J75" s="3" t="n"/>
      <c r="K75" s="9" t="n"/>
    </row>
    <row r="76">
      <c r="A76" s="4" t="n"/>
      <c r="B76" s="9">
        <f>IF(A76="","",INT((DAY(A76)-1)/7)+1)</f>
        <v/>
      </c>
      <c r="C76" s="9" t="n"/>
      <c r="D76" s="9" t="n"/>
      <c r="E76" s="9" t="n"/>
      <c r="F76" s="9" t="n"/>
      <c r="G76" s="9" t="n"/>
      <c r="H76" s="9" t="n"/>
      <c r="I76" s="9" t="n"/>
      <c r="J76" s="3" t="n"/>
      <c r="K76" s="9" t="n"/>
    </row>
    <row r="77">
      <c r="A77" s="4" t="n"/>
      <c r="B77" s="9">
        <f>IF(A77="","",INT((DAY(A77)-1)/7)+1)</f>
        <v/>
      </c>
      <c r="C77" s="9" t="n"/>
      <c r="D77" s="9" t="n"/>
      <c r="E77" s="9" t="n"/>
      <c r="F77" s="9" t="n"/>
      <c r="G77" s="9" t="n"/>
      <c r="H77" s="9" t="n"/>
      <c r="I77" s="9" t="n"/>
      <c r="J77" s="3" t="n"/>
      <c r="K77" s="9" t="n"/>
    </row>
    <row r="78">
      <c r="A78" s="4" t="n"/>
      <c r="B78" s="9">
        <f>IF(A78="","",INT((DAY(A78)-1)/7)+1)</f>
        <v/>
      </c>
      <c r="C78" s="9" t="n"/>
      <c r="D78" s="9" t="n"/>
      <c r="E78" s="9" t="n"/>
      <c r="F78" s="9" t="n"/>
      <c r="G78" s="9" t="n"/>
      <c r="H78" s="9" t="n"/>
      <c r="I78" s="9" t="n"/>
      <c r="J78" s="3" t="n"/>
      <c r="K78" s="9" t="n"/>
    </row>
    <row r="79">
      <c r="A79" s="4" t="n"/>
      <c r="B79" s="9">
        <f>IF(A79="","",INT((DAY(A79)-1)/7)+1)</f>
        <v/>
      </c>
      <c r="C79" s="9" t="n"/>
      <c r="D79" s="9" t="n"/>
      <c r="E79" s="9" t="n"/>
      <c r="F79" s="9" t="n"/>
      <c r="G79" s="9" t="n"/>
      <c r="H79" s="9" t="n"/>
      <c r="I79" s="9" t="n"/>
      <c r="J79" s="3" t="n"/>
      <c r="K79" s="9" t="n"/>
    </row>
    <row r="80">
      <c r="A80" s="4" t="n"/>
      <c r="B80" s="9">
        <f>IF(A80="","",INT((DAY(A80)-1)/7)+1)</f>
        <v/>
      </c>
      <c r="C80" s="9" t="n"/>
      <c r="D80" s="9" t="n"/>
      <c r="E80" s="9" t="n"/>
      <c r="F80" s="9" t="n"/>
      <c r="G80" s="9" t="n"/>
      <c r="H80" s="9" t="n"/>
      <c r="I80" s="9" t="n"/>
      <c r="J80" s="3" t="n"/>
      <c r="K80" s="9" t="n"/>
    </row>
    <row r="81">
      <c r="A81" s="4" t="n"/>
      <c r="B81" s="9">
        <f>IF(A81="","",INT((DAY(A81)-1)/7)+1)</f>
        <v/>
      </c>
      <c r="C81" s="9" t="n"/>
      <c r="D81" s="9" t="n"/>
      <c r="E81" s="9" t="n"/>
      <c r="F81" s="9" t="n"/>
      <c r="G81" s="9" t="n"/>
      <c r="H81" s="9" t="n"/>
      <c r="I81" s="9" t="n"/>
      <c r="J81" s="3" t="n"/>
      <c r="K81" s="9" t="n"/>
    </row>
    <row r="82">
      <c r="A82" s="4" t="n"/>
      <c r="B82" s="9">
        <f>IF(A82="","",INT((DAY(A82)-1)/7)+1)</f>
        <v/>
      </c>
      <c r="C82" s="9" t="n"/>
      <c r="D82" s="9" t="n"/>
      <c r="E82" s="9" t="n"/>
      <c r="F82" s="9" t="n"/>
      <c r="G82" s="9" t="n"/>
      <c r="H82" s="9" t="n"/>
      <c r="I82" s="9" t="n"/>
      <c r="J82" s="3" t="n"/>
      <c r="K82" s="9" t="n"/>
    </row>
    <row r="83">
      <c r="A83" s="4" t="n"/>
      <c r="B83" s="9">
        <f>IF(A83="","",INT((DAY(A83)-1)/7)+1)</f>
        <v/>
      </c>
      <c r="C83" s="9" t="n"/>
      <c r="D83" s="9" t="n"/>
      <c r="E83" s="9" t="n"/>
      <c r="F83" s="9" t="n"/>
      <c r="G83" s="9" t="n"/>
      <c r="H83" s="9" t="n"/>
      <c r="I83" s="9" t="n"/>
      <c r="J83" s="3" t="n"/>
      <c r="K83" s="9" t="n"/>
    </row>
    <row r="84">
      <c r="A84" s="4" t="n"/>
      <c r="B84" s="9">
        <f>IF(A84="","",INT((DAY(A84)-1)/7)+1)</f>
        <v/>
      </c>
      <c r="C84" s="9" t="n"/>
      <c r="D84" s="9" t="n"/>
      <c r="E84" s="9" t="n"/>
      <c r="F84" s="9" t="n"/>
      <c r="G84" s="9" t="n"/>
      <c r="H84" s="9" t="n"/>
      <c r="I84" s="9" t="n"/>
      <c r="J84" s="3" t="n"/>
      <c r="K84" s="9" t="n"/>
    </row>
    <row r="85">
      <c r="A85" s="4" t="n"/>
      <c r="B85" s="9">
        <f>IF(A85="","",INT((DAY(A85)-1)/7)+1)</f>
        <v/>
      </c>
      <c r="C85" s="9" t="n"/>
      <c r="D85" s="9" t="n"/>
      <c r="E85" s="9" t="n"/>
      <c r="F85" s="9" t="n"/>
      <c r="G85" s="9" t="n"/>
      <c r="H85" s="9" t="n"/>
      <c r="I85" s="9" t="n"/>
      <c r="J85" s="3" t="n"/>
      <c r="K85" s="9" t="n"/>
    </row>
    <row r="86">
      <c r="A86" s="4" t="n"/>
      <c r="B86" s="9">
        <f>IF(A86="","",INT((DAY(A86)-1)/7)+1)</f>
        <v/>
      </c>
      <c r="C86" s="9" t="n"/>
      <c r="D86" s="9" t="n"/>
      <c r="E86" s="9" t="n"/>
      <c r="F86" s="9" t="n"/>
      <c r="G86" s="9" t="n"/>
      <c r="H86" s="9" t="n"/>
      <c r="I86" s="9" t="n"/>
      <c r="J86" s="3" t="n"/>
      <c r="K86" s="9" t="n"/>
    </row>
    <row r="87">
      <c r="A87" s="4" t="n"/>
      <c r="B87" s="9">
        <f>IF(A87="","",INT((DAY(A87)-1)/7)+1)</f>
        <v/>
      </c>
      <c r="C87" s="9" t="n"/>
      <c r="D87" s="9" t="n"/>
      <c r="E87" s="9" t="n"/>
      <c r="F87" s="9" t="n"/>
      <c r="G87" s="9" t="n"/>
      <c r="H87" s="9" t="n"/>
      <c r="I87" s="9" t="n"/>
      <c r="J87" s="3" t="n"/>
      <c r="K87" s="9" t="n"/>
    </row>
    <row r="88">
      <c r="A88" s="4" t="n"/>
      <c r="B88" s="9">
        <f>IF(A88="","",INT((DAY(A88)-1)/7)+1)</f>
        <v/>
      </c>
      <c r="C88" s="9" t="n"/>
      <c r="D88" s="9" t="n"/>
      <c r="E88" s="9" t="n"/>
      <c r="F88" s="9" t="n"/>
      <c r="G88" s="9" t="n"/>
      <c r="H88" s="9" t="n"/>
      <c r="I88" s="9" t="n"/>
      <c r="J88" s="3" t="n"/>
      <c r="K88" s="9" t="n"/>
    </row>
    <row r="89">
      <c r="A89" s="4" t="n"/>
      <c r="B89" s="9">
        <f>IF(A89="","",INT((DAY(A89)-1)/7)+1)</f>
        <v/>
      </c>
      <c r="C89" s="9" t="n"/>
      <c r="D89" s="9" t="n"/>
      <c r="E89" s="9" t="n"/>
      <c r="F89" s="9" t="n"/>
      <c r="G89" s="9" t="n"/>
      <c r="H89" s="9" t="n"/>
      <c r="I89" s="9" t="n"/>
      <c r="J89" s="3" t="n"/>
      <c r="K89" s="9" t="n"/>
    </row>
    <row r="90">
      <c r="A90" s="4" t="n"/>
      <c r="B90" s="9">
        <f>IF(A90="","",INT((DAY(A90)-1)/7)+1)</f>
        <v/>
      </c>
      <c r="C90" s="9" t="n"/>
      <c r="D90" s="9" t="n"/>
      <c r="E90" s="9" t="n"/>
      <c r="F90" s="9" t="n"/>
      <c r="G90" s="9" t="n"/>
      <c r="H90" s="9" t="n"/>
      <c r="I90" s="9" t="n"/>
      <c r="J90" s="3" t="n"/>
      <c r="K90" s="9" t="n"/>
    </row>
    <row r="91">
      <c r="A91" s="4" t="n"/>
      <c r="B91" s="9">
        <f>IF(A91="","",INT((DAY(A91)-1)/7)+1)</f>
        <v/>
      </c>
      <c r="C91" s="9" t="n"/>
      <c r="D91" s="9" t="n"/>
      <c r="E91" s="9" t="n"/>
      <c r="F91" s="9" t="n"/>
      <c r="G91" s="9" t="n"/>
      <c r="H91" s="9" t="n"/>
      <c r="I91" s="9" t="n"/>
      <c r="J91" s="3" t="n"/>
      <c r="K91" s="9" t="n"/>
    </row>
    <row r="92">
      <c r="A92" s="4" t="n"/>
      <c r="B92" s="9">
        <f>IF(A92="","",INT((DAY(A92)-1)/7)+1)</f>
        <v/>
      </c>
      <c r="C92" s="9" t="n"/>
      <c r="D92" s="9" t="n"/>
      <c r="E92" s="9" t="n"/>
      <c r="F92" s="9" t="n"/>
      <c r="G92" s="9" t="n"/>
      <c r="H92" s="9" t="n"/>
      <c r="I92" s="9" t="n"/>
      <c r="J92" s="3" t="n"/>
      <c r="K92" s="9" t="n"/>
    </row>
    <row r="93">
      <c r="A93" s="4" t="n"/>
      <c r="B93" s="9">
        <f>IF(A93="","",INT((DAY(A93)-1)/7)+1)</f>
        <v/>
      </c>
      <c r="C93" s="9" t="n"/>
      <c r="D93" s="9" t="n"/>
      <c r="E93" s="9" t="n"/>
      <c r="F93" s="9" t="n"/>
      <c r="G93" s="9" t="n"/>
      <c r="H93" s="9" t="n"/>
      <c r="I93" s="9" t="n"/>
      <c r="J93" s="3" t="n"/>
      <c r="K93" s="9" t="n"/>
    </row>
    <row r="94">
      <c r="A94" s="4" t="n"/>
      <c r="B94" s="9">
        <f>IF(A94="","",INT((DAY(A94)-1)/7)+1)</f>
        <v/>
      </c>
      <c r="C94" s="9" t="n"/>
      <c r="D94" s="9" t="n"/>
      <c r="E94" s="9" t="n"/>
      <c r="F94" s="9" t="n"/>
      <c r="G94" s="9" t="n"/>
      <c r="H94" s="9" t="n"/>
      <c r="I94" s="9" t="n"/>
      <c r="J94" s="3" t="n"/>
      <c r="K94" s="9" t="n"/>
    </row>
    <row r="95">
      <c r="A95" s="4" t="n"/>
      <c r="B95" s="9">
        <f>IF(A95="","",INT((DAY(A95)-1)/7)+1)</f>
        <v/>
      </c>
      <c r="C95" s="9" t="n"/>
      <c r="D95" s="9" t="n"/>
      <c r="E95" s="9" t="n"/>
      <c r="F95" s="9" t="n"/>
      <c r="G95" s="9" t="n"/>
      <c r="H95" s="9" t="n"/>
      <c r="I95" s="9" t="n"/>
      <c r="J95" s="3" t="n"/>
      <c r="K95" s="9" t="n"/>
    </row>
    <row r="96">
      <c r="A96" s="4" t="n"/>
      <c r="B96" s="9">
        <f>IF(A96="","",INT((DAY(A96)-1)/7)+1)</f>
        <v/>
      </c>
      <c r="C96" s="9" t="n"/>
      <c r="D96" s="9" t="n"/>
      <c r="E96" s="9" t="n"/>
      <c r="F96" s="9" t="n"/>
      <c r="G96" s="9" t="n"/>
      <c r="H96" s="9" t="n"/>
      <c r="I96" s="9" t="n"/>
      <c r="J96" s="3" t="n"/>
      <c r="K96" s="9" t="n"/>
    </row>
    <row r="97">
      <c r="A97" s="4" t="n"/>
      <c r="B97" s="9">
        <f>IF(A97="","",INT((DAY(A97)-1)/7)+1)</f>
        <v/>
      </c>
      <c r="C97" s="9" t="n"/>
      <c r="D97" s="9" t="n"/>
      <c r="E97" s="9" t="n"/>
      <c r="F97" s="9" t="n"/>
      <c r="G97" s="9" t="n"/>
      <c r="H97" s="9" t="n"/>
      <c r="I97" s="9" t="n"/>
      <c r="J97" s="3" t="n"/>
      <c r="K97" s="9" t="n"/>
    </row>
    <row r="98">
      <c r="A98" s="4" t="n"/>
      <c r="B98" s="9">
        <f>IF(A98="","",INT((DAY(A98)-1)/7)+1)</f>
        <v/>
      </c>
      <c r="C98" s="9" t="n"/>
      <c r="D98" s="9" t="n"/>
      <c r="E98" s="9" t="n"/>
      <c r="F98" s="9" t="n"/>
      <c r="G98" s="9" t="n"/>
      <c r="H98" s="9" t="n"/>
      <c r="I98" s="9" t="n"/>
      <c r="J98" s="3" t="n"/>
      <c r="K98" s="9" t="n"/>
    </row>
    <row r="99">
      <c r="A99" s="4" t="n"/>
      <c r="B99" s="9">
        <f>IF(A99="","",INT((DAY(A99)-1)/7)+1)</f>
        <v/>
      </c>
      <c r="C99" s="9" t="n"/>
      <c r="D99" s="9" t="n"/>
      <c r="E99" s="9" t="n"/>
      <c r="F99" s="9" t="n"/>
      <c r="G99" s="9" t="n"/>
      <c r="H99" s="9" t="n"/>
      <c r="I99" s="9" t="n"/>
      <c r="J99" s="3" t="n"/>
      <c r="K99" s="9" t="n"/>
    </row>
    <row r="100">
      <c r="A100" s="4" t="n"/>
      <c r="B100" s="9">
        <f>IF(A100="","",INT((DAY(A100)-1)/7)+1)</f>
        <v/>
      </c>
      <c r="C100" s="9" t="n"/>
      <c r="D100" s="9" t="n"/>
      <c r="E100" s="9" t="n"/>
      <c r="F100" s="9" t="n"/>
      <c r="G100" s="9" t="n"/>
      <c r="H100" s="9" t="n"/>
      <c r="I100" s="9" t="n"/>
      <c r="J100" s="3" t="n"/>
      <c r="K100" s="9" t="n"/>
    </row>
    <row r="101">
      <c r="A101" s="4" t="n"/>
      <c r="B101" s="9">
        <f>IF(A101="","",INT((DAY(A101)-1)/7)+1)</f>
        <v/>
      </c>
      <c r="C101" s="9" t="n"/>
      <c r="D101" s="9" t="n"/>
      <c r="E101" s="9" t="n"/>
      <c r="F101" s="9" t="n"/>
      <c r="G101" s="9" t="n"/>
      <c r="H101" s="9" t="n"/>
      <c r="I101" s="9" t="n"/>
      <c r="J101" s="3" t="n"/>
      <c r="K101" s="9" t="n"/>
    </row>
    <row r="102">
      <c r="A102" s="4" t="n"/>
      <c r="B102" s="9">
        <f>IF(A102="","",INT((DAY(A102)-1)/7)+1)</f>
        <v/>
      </c>
      <c r="C102" s="9" t="n"/>
      <c r="D102" s="9" t="n"/>
      <c r="E102" s="9" t="n"/>
      <c r="F102" s="9" t="n"/>
      <c r="G102" s="9" t="n"/>
      <c r="H102" s="9" t="n"/>
      <c r="I102" s="9" t="n"/>
      <c r="J102" s="3" t="n"/>
      <c r="K102" s="9" t="n"/>
    </row>
    <row r="103">
      <c r="A103" s="4" t="n"/>
      <c r="B103" s="9">
        <f>IF(A103="","",INT((DAY(A103)-1)/7)+1)</f>
        <v/>
      </c>
      <c r="C103" s="9" t="n"/>
      <c r="D103" s="9" t="n"/>
      <c r="E103" s="9" t="n"/>
      <c r="F103" s="9" t="n"/>
      <c r="G103" s="9" t="n"/>
      <c r="H103" s="9" t="n"/>
      <c r="I103" s="9" t="n"/>
      <c r="J103" s="3" t="n"/>
      <c r="K103" s="9" t="n"/>
    </row>
    <row r="104">
      <c r="A104" s="4" t="n"/>
      <c r="B104" s="9">
        <f>IF(A104="","",INT((DAY(A104)-1)/7)+1)</f>
        <v/>
      </c>
      <c r="C104" s="9" t="n"/>
      <c r="D104" s="9" t="n"/>
      <c r="E104" s="9" t="n"/>
      <c r="F104" s="9" t="n"/>
      <c r="G104" s="9" t="n"/>
      <c r="H104" s="9" t="n"/>
      <c r="I104" s="9" t="n"/>
      <c r="J104" s="3" t="n"/>
      <c r="K104" s="9" t="n"/>
    </row>
    <row r="105">
      <c r="A105" s="4" t="n"/>
      <c r="B105" s="9">
        <f>IF(A105="","",INT((DAY(A105)-1)/7)+1)</f>
        <v/>
      </c>
      <c r="C105" s="9" t="n"/>
      <c r="D105" s="9" t="n"/>
      <c r="E105" s="9" t="n"/>
      <c r="F105" s="9" t="n"/>
      <c r="G105" s="9" t="n"/>
      <c r="H105" s="9" t="n"/>
      <c r="I105" s="9" t="n"/>
      <c r="J105" s="3" t="n"/>
      <c r="K105" s="9" t="n"/>
    </row>
    <row r="106">
      <c r="A106" s="4" t="n"/>
      <c r="B106" s="9">
        <f>IF(A106="","",INT((DAY(A106)-1)/7)+1)</f>
        <v/>
      </c>
      <c r="C106" s="9" t="n"/>
      <c r="D106" s="9" t="n"/>
      <c r="E106" s="9" t="n"/>
      <c r="F106" s="9" t="n"/>
      <c r="G106" s="9" t="n"/>
      <c r="H106" s="9" t="n"/>
      <c r="I106" s="9" t="n"/>
      <c r="J106" s="3" t="n"/>
      <c r="K106" s="9" t="n"/>
    </row>
    <row r="107">
      <c r="A107" s="4" t="n"/>
      <c r="B107" s="9">
        <f>IF(A107="","",INT((DAY(A107)-1)/7)+1)</f>
        <v/>
      </c>
      <c r="C107" s="9" t="n"/>
      <c r="D107" s="9" t="n"/>
      <c r="E107" s="9" t="n"/>
      <c r="F107" s="9" t="n"/>
      <c r="G107" s="9" t="n"/>
      <c r="H107" s="9" t="n"/>
      <c r="I107" s="9" t="n"/>
      <c r="J107" s="3" t="n"/>
      <c r="K107" s="9" t="n"/>
    </row>
    <row r="108">
      <c r="A108" s="4" t="n"/>
      <c r="B108" s="9">
        <f>IF(A108="","",INT((DAY(A108)-1)/7)+1)</f>
        <v/>
      </c>
      <c r="C108" s="9" t="n"/>
      <c r="D108" s="9" t="n"/>
      <c r="E108" s="9" t="n"/>
      <c r="F108" s="9" t="n"/>
      <c r="G108" s="9" t="n"/>
      <c r="H108" s="9" t="n"/>
      <c r="I108" s="9" t="n"/>
      <c r="J108" s="3" t="n"/>
      <c r="K108" s="9" t="n"/>
    </row>
    <row r="109">
      <c r="A109" s="4" t="n"/>
      <c r="B109" s="9">
        <f>IF(A109="","",INT((DAY(A109)-1)/7)+1)</f>
        <v/>
      </c>
      <c r="C109" s="9" t="n"/>
      <c r="D109" s="9" t="n"/>
      <c r="E109" s="9" t="n"/>
      <c r="F109" s="9" t="n"/>
      <c r="G109" s="9" t="n"/>
      <c r="H109" s="9" t="n"/>
      <c r="I109" s="9" t="n"/>
      <c r="J109" s="3" t="n"/>
      <c r="K109" s="9" t="n"/>
    </row>
    <row r="110">
      <c r="A110" s="4" t="n"/>
      <c r="B110" s="9">
        <f>IF(A110="","",INT((DAY(A110)-1)/7)+1)</f>
        <v/>
      </c>
      <c r="C110" s="9" t="n"/>
      <c r="D110" s="9" t="n"/>
      <c r="E110" s="9" t="n"/>
      <c r="F110" s="9" t="n"/>
      <c r="G110" s="9" t="n"/>
      <c r="H110" s="9" t="n"/>
      <c r="I110" s="9" t="n"/>
      <c r="J110" s="3" t="n"/>
      <c r="K110" s="9" t="n"/>
    </row>
    <row r="111">
      <c r="A111" s="4" t="n"/>
      <c r="B111" s="9">
        <f>IF(A111="","",INT((DAY(A111)-1)/7)+1)</f>
        <v/>
      </c>
      <c r="C111" s="9" t="n"/>
      <c r="D111" s="9" t="n"/>
      <c r="E111" s="9" t="n"/>
      <c r="F111" s="9" t="n"/>
      <c r="G111" s="9" t="n"/>
      <c r="H111" s="9" t="n"/>
      <c r="I111" s="9" t="n"/>
      <c r="J111" s="3" t="n"/>
      <c r="K111" s="9" t="n"/>
    </row>
    <row r="112">
      <c r="A112" s="4" t="n"/>
      <c r="B112" s="9">
        <f>IF(A112="","",INT((DAY(A112)-1)/7)+1)</f>
        <v/>
      </c>
      <c r="C112" s="9" t="n"/>
      <c r="D112" s="9" t="n"/>
      <c r="E112" s="9" t="n"/>
      <c r="F112" s="9" t="n"/>
      <c r="G112" s="9" t="n"/>
      <c r="H112" s="9" t="n"/>
      <c r="I112" s="9" t="n"/>
      <c r="J112" s="3" t="n"/>
      <c r="K112" s="9" t="n"/>
    </row>
    <row r="113">
      <c r="A113" s="4" t="n"/>
      <c r="B113" s="9">
        <f>IF(A113="","",INT((DAY(A113)-1)/7)+1)</f>
        <v/>
      </c>
      <c r="C113" s="9" t="n"/>
      <c r="D113" s="9" t="n"/>
      <c r="E113" s="9" t="n"/>
      <c r="F113" s="9" t="n"/>
      <c r="G113" s="9" t="n"/>
      <c r="H113" s="9" t="n"/>
      <c r="I113" s="9" t="n"/>
      <c r="J113" s="3" t="n"/>
      <c r="K113" s="9" t="n"/>
    </row>
    <row r="114">
      <c r="A114" s="4" t="n"/>
      <c r="B114" s="9">
        <f>IF(A114="","",INT((DAY(A114)-1)/7)+1)</f>
        <v/>
      </c>
      <c r="C114" s="9" t="n"/>
      <c r="D114" s="9" t="n"/>
      <c r="E114" s="9" t="n"/>
      <c r="F114" s="9" t="n"/>
      <c r="G114" s="9" t="n"/>
      <c r="H114" s="9" t="n"/>
      <c r="I114" s="9" t="n"/>
      <c r="J114" s="3" t="n"/>
      <c r="K114" s="9" t="n"/>
    </row>
    <row r="115">
      <c r="A115" s="4" t="n"/>
      <c r="B115" s="9">
        <f>IF(A115="","",INT((DAY(A115)-1)/7)+1)</f>
        <v/>
      </c>
      <c r="C115" s="9" t="n"/>
      <c r="D115" s="9" t="n"/>
      <c r="E115" s="9" t="n"/>
      <c r="F115" s="9" t="n"/>
      <c r="G115" s="9" t="n"/>
      <c r="H115" s="9" t="n"/>
      <c r="I115" s="9" t="n"/>
      <c r="J115" s="3" t="n"/>
      <c r="K115" s="9" t="n"/>
    </row>
    <row r="116">
      <c r="A116" s="4" t="n"/>
      <c r="B116" s="9">
        <f>IF(A116="","",INT((DAY(A116)-1)/7)+1)</f>
        <v/>
      </c>
      <c r="C116" s="9" t="n"/>
      <c r="D116" s="9" t="n"/>
      <c r="E116" s="9" t="n"/>
      <c r="F116" s="9" t="n"/>
      <c r="G116" s="9" t="n"/>
      <c r="H116" s="9" t="n"/>
      <c r="I116" s="9" t="n"/>
      <c r="J116" s="3" t="n"/>
      <c r="K116" s="9" t="n"/>
    </row>
    <row r="117">
      <c r="A117" s="4" t="n"/>
      <c r="B117" s="9">
        <f>IF(A117="","",INT((DAY(A117)-1)/7)+1)</f>
        <v/>
      </c>
      <c r="C117" s="9" t="n"/>
      <c r="D117" s="9" t="n"/>
      <c r="E117" s="9" t="n"/>
      <c r="F117" s="9" t="n"/>
      <c r="G117" s="9" t="n"/>
      <c r="H117" s="9" t="n"/>
      <c r="I117" s="9" t="n"/>
      <c r="J117" s="3" t="n"/>
      <c r="K117" s="9" t="n"/>
    </row>
    <row r="118">
      <c r="A118" s="4" t="n"/>
      <c r="B118" s="9">
        <f>IF(A118="","",INT((DAY(A118)-1)/7)+1)</f>
        <v/>
      </c>
      <c r="C118" s="9" t="n"/>
      <c r="D118" s="9" t="n"/>
      <c r="E118" s="9" t="n"/>
      <c r="F118" s="9" t="n"/>
      <c r="G118" s="9" t="n"/>
      <c r="H118" s="9" t="n"/>
      <c r="I118" s="9" t="n"/>
      <c r="J118" s="3" t="n"/>
      <c r="K118" s="9" t="n"/>
    </row>
    <row r="119">
      <c r="A119" s="4" t="n"/>
      <c r="B119" s="9">
        <f>IF(A119="","",INT((DAY(A119)-1)/7)+1)</f>
        <v/>
      </c>
      <c r="C119" s="9" t="n"/>
      <c r="D119" s="9" t="n"/>
      <c r="E119" s="9" t="n"/>
      <c r="F119" s="9" t="n"/>
      <c r="G119" s="9" t="n"/>
      <c r="H119" s="9" t="n"/>
      <c r="I119" s="9" t="n"/>
      <c r="J119" s="3" t="n"/>
      <c r="K119" s="9" t="n"/>
    </row>
    <row r="120">
      <c r="A120" s="4" t="n"/>
      <c r="B120" s="9">
        <f>IF(A120="","",INT((DAY(A120)-1)/7)+1)</f>
        <v/>
      </c>
      <c r="C120" s="9" t="n"/>
      <c r="D120" s="9" t="n"/>
      <c r="E120" s="9" t="n"/>
      <c r="F120" s="9" t="n"/>
      <c r="G120" s="9" t="n"/>
      <c r="H120" s="9" t="n"/>
      <c r="I120" s="9" t="n"/>
      <c r="J120" s="3" t="n"/>
      <c r="K120" s="9" t="n"/>
    </row>
    <row r="121">
      <c r="A121" s="4" t="n"/>
      <c r="B121" s="9">
        <f>IF(A121="","",INT((DAY(A121)-1)/7)+1)</f>
        <v/>
      </c>
      <c r="C121" s="9" t="n"/>
      <c r="D121" s="9" t="n"/>
      <c r="E121" s="9" t="n"/>
      <c r="F121" s="9" t="n"/>
      <c r="G121" s="9" t="n"/>
      <c r="H121" s="9" t="n"/>
      <c r="I121" s="9" t="n"/>
      <c r="J121" s="3" t="n"/>
      <c r="K121" s="9" t="n"/>
    </row>
    <row r="122">
      <c r="A122" s="4" t="n"/>
      <c r="B122" s="9">
        <f>IF(A122="","",INT((DAY(A122)-1)/7)+1)</f>
        <v/>
      </c>
      <c r="C122" s="9" t="n"/>
      <c r="D122" s="9" t="n"/>
      <c r="E122" s="9" t="n"/>
      <c r="F122" s="9" t="n"/>
      <c r="G122" s="9" t="n"/>
      <c r="H122" s="9" t="n"/>
      <c r="I122" s="9" t="n"/>
      <c r="J122" s="3" t="n"/>
      <c r="K122" s="9" t="n"/>
    </row>
    <row r="123">
      <c r="A123" s="4" t="n"/>
      <c r="B123" s="9">
        <f>IF(A123="","",INT((DAY(A123)-1)/7)+1)</f>
        <v/>
      </c>
      <c r="C123" s="9" t="n"/>
      <c r="D123" s="9" t="n"/>
      <c r="E123" s="9" t="n"/>
      <c r="F123" s="9" t="n"/>
      <c r="G123" s="9" t="n"/>
      <c r="H123" s="9" t="n"/>
      <c r="I123" s="9" t="n"/>
      <c r="J123" s="3" t="n"/>
      <c r="K123" s="9" t="n"/>
    </row>
    <row r="124">
      <c r="A124" s="4" t="n"/>
      <c r="B124" s="9">
        <f>IF(A124="","",INT((DAY(A124)-1)/7)+1)</f>
        <v/>
      </c>
      <c r="C124" s="9" t="n"/>
      <c r="D124" s="9" t="n"/>
      <c r="E124" s="9" t="n"/>
      <c r="F124" s="9" t="n"/>
      <c r="G124" s="9" t="n"/>
      <c r="H124" s="9" t="n"/>
      <c r="I124" s="9" t="n"/>
      <c r="J124" s="3" t="n"/>
      <c r="K124" s="9" t="n"/>
    </row>
    <row r="125">
      <c r="A125" s="4" t="n"/>
      <c r="B125" s="9">
        <f>IF(A125="","",INT((DAY(A125)-1)/7)+1)</f>
        <v/>
      </c>
      <c r="C125" s="9" t="n"/>
      <c r="D125" s="9" t="n"/>
      <c r="E125" s="9" t="n"/>
      <c r="F125" s="9" t="n"/>
      <c r="G125" s="9" t="n"/>
      <c r="H125" s="9" t="n"/>
      <c r="I125" s="9" t="n"/>
      <c r="J125" s="3" t="n"/>
      <c r="K125" s="9" t="n"/>
    </row>
    <row r="126">
      <c r="A126" s="4" t="n"/>
      <c r="B126" s="9">
        <f>IF(A126="","",INT((DAY(A126)-1)/7)+1)</f>
        <v/>
      </c>
      <c r="C126" s="9" t="n"/>
      <c r="D126" s="9" t="n"/>
      <c r="E126" s="9" t="n"/>
      <c r="F126" s="9" t="n"/>
      <c r="G126" s="9" t="n"/>
      <c r="H126" s="9" t="n"/>
      <c r="I126" s="9" t="n"/>
      <c r="J126" s="3" t="n"/>
      <c r="K126" s="9" t="n"/>
    </row>
    <row r="127">
      <c r="A127" s="4" t="n"/>
      <c r="B127" s="9">
        <f>IF(A127="","",INT((DAY(A127)-1)/7)+1)</f>
        <v/>
      </c>
      <c r="C127" s="9" t="n"/>
      <c r="D127" s="9" t="n"/>
      <c r="E127" s="9" t="n"/>
      <c r="F127" s="9" t="n"/>
      <c r="G127" s="9" t="n"/>
      <c r="H127" s="9" t="n"/>
      <c r="I127" s="9" t="n"/>
      <c r="J127" s="3" t="n"/>
      <c r="K127" s="9" t="n"/>
    </row>
    <row r="128">
      <c r="A128" s="4" t="n"/>
      <c r="B128" s="9">
        <f>IF(A128="","",INT((DAY(A128)-1)/7)+1)</f>
        <v/>
      </c>
      <c r="C128" s="9" t="n"/>
      <c r="D128" s="9" t="n"/>
      <c r="E128" s="9" t="n"/>
      <c r="F128" s="9" t="n"/>
      <c r="G128" s="9" t="n"/>
      <c r="H128" s="9" t="n"/>
      <c r="I128" s="9" t="n"/>
      <c r="J128" s="3" t="n"/>
      <c r="K128" s="9" t="n"/>
    </row>
    <row r="129">
      <c r="A129" s="4" t="n"/>
      <c r="B129" s="9">
        <f>IF(A129="","",INT((DAY(A129)-1)/7)+1)</f>
        <v/>
      </c>
      <c r="C129" s="9" t="n"/>
      <c r="D129" s="9" t="n"/>
      <c r="E129" s="9" t="n"/>
      <c r="F129" s="9" t="n"/>
      <c r="G129" s="9" t="n"/>
      <c r="H129" s="9" t="n"/>
      <c r="I129" s="9" t="n"/>
      <c r="J129" s="3" t="n"/>
      <c r="K129" s="9" t="n"/>
    </row>
    <row r="130">
      <c r="A130" s="4" t="n"/>
      <c r="B130" s="9">
        <f>IF(A130="","",INT((DAY(A130)-1)/7)+1)</f>
        <v/>
      </c>
      <c r="C130" s="9" t="n"/>
      <c r="D130" s="9" t="n"/>
      <c r="E130" s="9" t="n"/>
      <c r="F130" s="9" t="n"/>
      <c r="G130" s="9" t="n"/>
      <c r="H130" s="9" t="n"/>
      <c r="I130" s="9" t="n"/>
      <c r="J130" s="3" t="n"/>
      <c r="K130" s="9" t="n"/>
    </row>
    <row r="131">
      <c r="A131" s="4" t="n"/>
      <c r="B131" s="9">
        <f>IF(A131="","",INT((DAY(A131)-1)/7)+1)</f>
        <v/>
      </c>
      <c r="C131" s="9" t="n"/>
      <c r="D131" s="9" t="n"/>
      <c r="E131" s="9" t="n"/>
      <c r="F131" s="9" t="n"/>
      <c r="G131" s="9" t="n"/>
      <c r="H131" s="9" t="n"/>
      <c r="I131" s="9" t="n"/>
      <c r="J131" s="3" t="n"/>
      <c r="K131" s="9" t="n"/>
    </row>
    <row r="132">
      <c r="A132" s="4" t="n"/>
      <c r="B132" s="9">
        <f>IF(A132="","",INT((DAY(A132)-1)/7)+1)</f>
        <v/>
      </c>
      <c r="C132" s="9" t="n"/>
      <c r="D132" s="9" t="n"/>
      <c r="E132" s="9" t="n"/>
      <c r="F132" s="9" t="n"/>
      <c r="G132" s="9" t="n"/>
      <c r="H132" s="9" t="n"/>
      <c r="I132" s="9" t="n"/>
      <c r="J132" s="3" t="n"/>
      <c r="K132" s="9" t="n"/>
    </row>
    <row r="133">
      <c r="A133" s="4" t="n"/>
      <c r="B133" s="9">
        <f>IF(A133="","",INT((DAY(A133)-1)/7)+1)</f>
        <v/>
      </c>
      <c r="C133" s="9" t="n"/>
      <c r="D133" s="9" t="n"/>
      <c r="E133" s="9" t="n"/>
      <c r="F133" s="9" t="n"/>
      <c r="G133" s="9" t="n"/>
      <c r="H133" s="9" t="n"/>
      <c r="I133" s="9" t="n"/>
      <c r="J133" s="3" t="n"/>
      <c r="K133" s="9" t="n"/>
    </row>
    <row r="134">
      <c r="A134" s="4" t="n"/>
      <c r="B134" s="9">
        <f>IF(A134="","",INT((DAY(A134)-1)/7)+1)</f>
        <v/>
      </c>
      <c r="C134" s="9" t="n"/>
      <c r="D134" s="9" t="n"/>
      <c r="E134" s="9" t="n"/>
      <c r="F134" s="9" t="n"/>
      <c r="G134" s="9" t="n"/>
      <c r="H134" s="9" t="n"/>
      <c r="I134" s="9" t="n"/>
      <c r="J134" s="3" t="n"/>
      <c r="K134" s="9" t="n"/>
    </row>
    <row r="135">
      <c r="A135" s="4" t="n"/>
      <c r="B135" s="9">
        <f>IF(A135="","",INT((DAY(A135)-1)/7)+1)</f>
        <v/>
      </c>
      <c r="C135" s="9" t="n"/>
      <c r="D135" s="9" t="n"/>
      <c r="E135" s="9" t="n"/>
      <c r="F135" s="9" t="n"/>
      <c r="G135" s="9" t="n"/>
      <c r="H135" s="9" t="n"/>
      <c r="I135" s="9" t="n"/>
      <c r="J135" s="3" t="n"/>
      <c r="K135" s="9" t="n"/>
    </row>
    <row r="136">
      <c r="A136" s="4" t="n"/>
      <c r="B136" s="9">
        <f>IF(A136="","",INT((DAY(A136)-1)/7)+1)</f>
        <v/>
      </c>
      <c r="C136" s="9" t="n"/>
      <c r="D136" s="9" t="n"/>
      <c r="E136" s="9" t="n"/>
      <c r="F136" s="9" t="n"/>
      <c r="G136" s="9" t="n"/>
      <c r="H136" s="9" t="n"/>
      <c r="I136" s="9" t="n"/>
      <c r="J136" s="3" t="n"/>
      <c r="K136" s="9" t="n"/>
    </row>
    <row r="137">
      <c r="A137" s="4" t="n"/>
      <c r="B137" s="9">
        <f>IF(A137="","",INT((DAY(A137)-1)/7)+1)</f>
        <v/>
      </c>
      <c r="C137" s="9" t="n"/>
      <c r="D137" s="9" t="n"/>
      <c r="E137" s="9" t="n"/>
      <c r="F137" s="9" t="n"/>
      <c r="G137" s="9" t="n"/>
      <c r="H137" s="9" t="n"/>
      <c r="I137" s="9" t="n"/>
      <c r="J137" s="3" t="n"/>
      <c r="K137" s="9" t="n"/>
    </row>
    <row r="138">
      <c r="A138" s="4" t="n"/>
      <c r="B138" s="9">
        <f>IF(A138="","",INT((DAY(A138)-1)/7)+1)</f>
        <v/>
      </c>
      <c r="C138" s="9" t="n"/>
      <c r="D138" s="9" t="n"/>
      <c r="E138" s="9" t="n"/>
      <c r="F138" s="9" t="n"/>
      <c r="G138" s="9" t="n"/>
      <c r="H138" s="9" t="n"/>
      <c r="I138" s="9" t="n"/>
      <c r="J138" s="3" t="n"/>
      <c r="K138" s="9" t="n"/>
    </row>
    <row r="139">
      <c r="A139" s="4" t="n"/>
      <c r="B139" s="9">
        <f>IF(A139="","",INT((DAY(A139)-1)/7)+1)</f>
        <v/>
      </c>
      <c r="C139" s="9" t="n"/>
      <c r="D139" s="9" t="n"/>
      <c r="E139" s="9" t="n"/>
      <c r="F139" s="9" t="n"/>
      <c r="G139" s="9" t="n"/>
      <c r="H139" s="9" t="n"/>
      <c r="I139" s="9" t="n"/>
      <c r="J139" s="3" t="n"/>
      <c r="K139" s="9" t="n"/>
    </row>
    <row r="140">
      <c r="A140" s="4" t="n"/>
      <c r="B140" s="9">
        <f>IF(A140="","",INT((DAY(A140)-1)/7)+1)</f>
        <v/>
      </c>
      <c r="C140" s="9" t="n"/>
      <c r="D140" s="9" t="n"/>
      <c r="E140" s="9" t="n"/>
      <c r="F140" s="9" t="n"/>
      <c r="G140" s="9" t="n"/>
      <c r="H140" s="9" t="n"/>
      <c r="I140" s="9" t="n"/>
      <c r="J140" s="3" t="n"/>
      <c r="K140" s="9" t="n"/>
    </row>
    <row r="141">
      <c r="A141" s="4" t="n"/>
      <c r="B141" s="9">
        <f>IF(A141="","",INT((DAY(A141)-1)/7)+1)</f>
        <v/>
      </c>
      <c r="C141" s="9" t="n"/>
      <c r="D141" s="9" t="n"/>
      <c r="E141" s="9" t="n"/>
      <c r="F141" s="9" t="n"/>
      <c r="G141" s="9" t="n"/>
      <c r="H141" s="9" t="n"/>
      <c r="I141" s="9" t="n"/>
      <c r="J141" s="3" t="n"/>
      <c r="K141" s="9" t="n"/>
    </row>
    <row r="142">
      <c r="A142" s="4" t="n"/>
      <c r="B142" s="9">
        <f>IF(A142="","",INT((DAY(A142)-1)/7)+1)</f>
        <v/>
      </c>
      <c r="C142" s="9" t="n"/>
      <c r="D142" s="9" t="n"/>
      <c r="E142" s="9" t="n"/>
      <c r="F142" s="9" t="n"/>
      <c r="G142" s="9" t="n"/>
      <c r="H142" s="9" t="n"/>
      <c r="I142" s="9" t="n"/>
      <c r="J142" s="3" t="n"/>
      <c r="K142" s="9" t="n"/>
    </row>
    <row r="143">
      <c r="A143" s="4" t="n"/>
      <c r="B143" s="9">
        <f>IF(A143="","",INT((DAY(A143)-1)/7)+1)</f>
        <v/>
      </c>
      <c r="C143" s="9" t="n"/>
      <c r="D143" s="9" t="n"/>
      <c r="E143" s="9" t="n"/>
      <c r="F143" s="9" t="n"/>
      <c r="G143" s="9" t="n"/>
      <c r="H143" s="9" t="n"/>
      <c r="I143" s="9" t="n"/>
      <c r="J143" s="3" t="n"/>
      <c r="K143" s="9" t="n"/>
    </row>
    <row r="144">
      <c r="A144" s="4" t="n"/>
      <c r="B144" s="9">
        <f>IF(A144="","",INT((DAY(A144)-1)/7)+1)</f>
        <v/>
      </c>
      <c r="C144" s="9" t="n"/>
      <c r="D144" s="9" t="n"/>
      <c r="E144" s="9" t="n"/>
      <c r="F144" s="9" t="n"/>
      <c r="G144" s="9" t="n"/>
      <c r="H144" s="9" t="n"/>
      <c r="I144" s="9" t="n"/>
      <c r="J144" s="3" t="n"/>
      <c r="K144" s="9" t="n"/>
    </row>
    <row r="145">
      <c r="A145" s="4" t="n"/>
      <c r="B145" s="9">
        <f>IF(A145="","",INT((DAY(A145)-1)/7)+1)</f>
        <v/>
      </c>
      <c r="C145" s="9" t="n"/>
      <c r="D145" s="9" t="n"/>
      <c r="E145" s="9" t="n"/>
      <c r="F145" s="9" t="n"/>
      <c r="G145" s="9" t="n"/>
      <c r="H145" s="9" t="n"/>
      <c r="I145" s="9" t="n"/>
      <c r="J145" s="3" t="n"/>
      <c r="K145" s="9" t="n"/>
    </row>
    <row r="146">
      <c r="A146" s="4" t="n"/>
      <c r="B146" s="9">
        <f>IF(A146="","",INT((DAY(A146)-1)/7)+1)</f>
        <v/>
      </c>
      <c r="C146" s="9" t="n"/>
      <c r="D146" s="9" t="n"/>
      <c r="E146" s="9" t="n"/>
      <c r="F146" s="9" t="n"/>
      <c r="G146" s="9" t="n"/>
      <c r="H146" s="9" t="n"/>
      <c r="I146" s="9" t="n"/>
      <c r="J146" s="3" t="n"/>
      <c r="K146" s="9" t="n"/>
    </row>
    <row r="147">
      <c r="A147" s="4" t="n"/>
      <c r="B147" s="9">
        <f>IF(A147="","",INT((DAY(A147)-1)/7)+1)</f>
        <v/>
      </c>
      <c r="C147" s="9" t="n"/>
      <c r="D147" s="9" t="n"/>
      <c r="E147" s="9" t="n"/>
      <c r="F147" s="9" t="n"/>
      <c r="G147" s="9" t="n"/>
      <c r="H147" s="9" t="n"/>
      <c r="I147" s="9" t="n"/>
      <c r="J147" s="3" t="n"/>
      <c r="K147" s="9" t="n"/>
    </row>
    <row r="148">
      <c r="A148" s="4" t="n"/>
      <c r="B148" s="9">
        <f>IF(A148="","",INT((DAY(A148)-1)/7)+1)</f>
        <v/>
      </c>
      <c r="C148" s="9" t="n"/>
      <c r="D148" s="9" t="n"/>
      <c r="E148" s="9" t="n"/>
      <c r="F148" s="9" t="n"/>
      <c r="G148" s="9" t="n"/>
      <c r="H148" s="9" t="n"/>
      <c r="I148" s="9" t="n"/>
      <c r="J148" s="3" t="n"/>
      <c r="K148" s="9" t="n"/>
    </row>
    <row r="149">
      <c r="A149" s="4" t="n"/>
      <c r="B149" s="9">
        <f>IF(A149="","",INT((DAY(A149)-1)/7)+1)</f>
        <v/>
      </c>
      <c r="C149" s="9" t="n"/>
      <c r="D149" s="9" t="n"/>
      <c r="E149" s="9" t="n"/>
      <c r="F149" s="9" t="n"/>
      <c r="G149" s="9" t="n"/>
      <c r="H149" s="9" t="n"/>
      <c r="I149" s="9" t="n"/>
      <c r="J149" s="3" t="n"/>
      <c r="K149" s="9" t="n"/>
    </row>
    <row r="150">
      <c r="A150" s="4" t="n"/>
      <c r="B150" s="9">
        <f>IF(A150="","",INT((DAY(A150)-1)/7)+1)</f>
        <v/>
      </c>
      <c r="C150" s="9" t="n"/>
      <c r="D150" s="9" t="n"/>
      <c r="E150" s="9" t="n"/>
      <c r="F150" s="9" t="n"/>
      <c r="G150" s="9" t="n"/>
      <c r="H150" s="9" t="n"/>
      <c r="I150" s="9" t="n"/>
      <c r="J150" s="3" t="n"/>
      <c r="K150" s="9" t="n"/>
    </row>
    <row r="151">
      <c r="A151" s="4" t="n"/>
      <c r="B151" s="9">
        <f>IF(A151="","",INT((DAY(A151)-1)/7)+1)</f>
        <v/>
      </c>
      <c r="C151" s="9" t="n"/>
      <c r="D151" s="9" t="n"/>
      <c r="E151" s="9" t="n"/>
      <c r="F151" s="9" t="n"/>
      <c r="G151" s="9" t="n"/>
      <c r="H151" s="9" t="n"/>
      <c r="I151" s="9" t="n"/>
      <c r="J151" s="3" t="n"/>
      <c r="K151" s="9" t="n"/>
    </row>
    <row r="152">
      <c r="A152" s="4" t="n"/>
      <c r="B152" s="9">
        <f>IF(A152="","",INT((DAY(A152)-1)/7)+1)</f>
        <v/>
      </c>
      <c r="C152" s="9" t="n"/>
      <c r="D152" s="9" t="n"/>
      <c r="E152" s="9" t="n"/>
      <c r="F152" s="9" t="n"/>
      <c r="G152" s="9" t="n"/>
      <c r="H152" s="9" t="n"/>
      <c r="I152" s="9" t="n"/>
      <c r="J152" s="3" t="n"/>
      <c r="K152" s="9" t="n"/>
    </row>
    <row r="153">
      <c r="A153" s="4" t="n"/>
      <c r="B153" s="9">
        <f>IF(A153="","",INT((DAY(A153)-1)/7)+1)</f>
        <v/>
      </c>
      <c r="C153" s="9" t="n"/>
      <c r="D153" s="9" t="n"/>
      <c r="E153" s="9" t="n"/>
      <c r="F153" s="9" t="n"/>
      <c r="G153" s="9" t="n"/>
      <c r="H153" s="9" t="n"/>
      <c r="I153" s="9" t="n"/>
      <c r="J153" s="3" t="n"/>
      <c r="K153" s="9" t="n"/>
    </row>
    <row r="154">
      <c r="A154" s="4" t="n"/>
      <c r="B154" s="9">
        <f>IF(A154="","",INT((DAY(A154)-1)/7)+1)</f>
        <v/>
      </c>
      <c r="C154" s="9" t="n"/>
      <c r="D154" s="9" t="n"/>
      <c r="E154" s="9" t="n"/>
      <c r="F154" s="9" t="n"/>
      <c r="G154" s="9" t="n"/>
      <c r="H154" s="9" t="n"/>
      <c r="I154" s="9" t="n"/>
      <c r="J154" s="3" t="n"/>
      <c r="K154" s="9" t="n"/>
    </row>
    <row r="155">
      <c r="A155" s="4" t="n"/>
      <c r="B155" s="9">
        <f>IF(A155="","",INT((DAY(A155)-1)/7)+1)</f>
        <v/>
      </c>
      <c r="C155" s="9" t="n"/>
      <c r="D155" s="9" t="n"/>
      <c r="E155" s="9" t="n"/>
      <c r="F155" s="9" t="n"/>
      <c r="G155" s="9" t="n"/>
      <c r="H155" s="9" t="n"/>
      <c r="I155" s="9" t="n"/>
      <c r="J155" s="3" t="n"/>
      <c r="K155" s="9" t="n"/>
    </row>
    <row r="156">
      <c r="A156" s="4" t="n"/>
      <c r="B156" s="9">
        <f>IF(A156="","",INT((DAY(A156)-1)/7)+1)</f>
        <v/>
      </c>
      <c r="C156" s="9" t="n"/>
      <c r="D156" s="9" t="n"/>
      <c r="E156" s="9" t="n"/>
      <c r="F156" s="9" t="n"/>
      <c r="G156" s="9" t="n"/>
      <c r="H156" s="9" t="n"/>
      <c r="I156" s="9" t="n"/>
      <c r="J156" s="3" t="n"/>
      <c r="K156" s="9" t="n"/>
    </row>
    <row r="157">
      <c r="A157" s="4" t="n"/>
      <c r="B157" s="9">
        <f>IF(A157="","",INT((DAY(A157)-1)/7)+1)</f>
        <v/>
      </c>
      <c r="C157" s="9" t="n"/>
      <c r="D157" s="9" t="n"/>
      <c r="E157" s="9" t="n"/>
      <c r="F157" s="9" t="n"/>
      <c r="G157" s="9" t="n"/>
      <c r="H157" s="9" t="n"/>
      <c r="I157" s="9" t="n"/>
      <c r="J157" s="3" t="n"/>
      <c r="K157" s="9" t="n"/>
    </row>
    <row r="158">
      <c r="A158" s="4" t="n"/>
      <c r="B158" s="9">
        <f>IF(A158="","",INT((DAY(A158)-1)/7)+1)</f>
        <v/>
      </c>
      <c r="C158" s="9" t="n"/>
      <c r="D158" s="9" t="n"/>
      <c r="E158" s="9" t="n"/>
      <c r="F158" s="9" t="n"/>
      <c r="G158" s="9" t="n"/>
      <c r="H158" s="9" t="n"/>
      <c r="I158" s="9" t="n"/>
      <c r="J158" s="3" t="n"/>
      <c r="K158" s="9" t="n"/>
    </row>
    <row r="159">
      <c r="A159" s="4" t="n"/>
      <c r="B159" s="9">
        <f>IF(A159="","",INT((DAY(A159)-1)/7)+1)</f>
        <v/>
      </c>
      <c r="C159" s="9" t="n"/>
      <c r="D159" s="9" t="n"/>
      <c r="E159" s="9" t="n"/>
      <c r="F159" s="9" t="n"/>
      <c r="G159" s="9" t="n"/>
      <c r="H159" s="9" t="n"/>
      <c r="I159" s="9" t="n"/>
      <c r="J159" s="3" t="n"/>
      <c r="K159" s="9" t="n"/>
    </row>
    <row r="160">
      <c r="A160" s="4" t="n"/>
      <c r="B160" s="9">
        <f>IF(A160="","",INT((DAY(A160)-1)/7)+1)</f>
        <v/>
      </c>
      <c r="C160" s="9" t="n"/>
      <c r="D160" s="9" t="n"/>
      <c r="E160" s="9" t="n"/>
      <c r="F160" s="9" t="n"/>
      <c r="G160" s="9" t="n"/>
      <c r="H160" s="9" t="n"/>
      <c r="I160" s="9" t="n"/>
      <c r="J160" s="3" t="n"/>
      <c r="K160" s="9" t="n"/>
    </row>
    <row r="161">
      <c r="A161" s="4" t="n"/>
      <c r="B161" s="9">
        <f>IF(A161="","",INT((DAY(A161)-1)/7)+1)</f>
        <v/>
      </c>
      <c r="C161" s="9" t="n"/>
      <c r="D161" s="9" t="n"/>
      <c r="E161" s="9" t="n"/>
      <c r="F161" s="9" t="n"/>
      <c r="G161" s="9" t="n"/>
      <c r="H161" s="9" t="n"/>
      <c r="I161" s="9" t="n"/>
      <c r="J161" s="3" t="n"/>
      <c r="K161" s="9" t="n"/>
    </row>
    <row r="162">
      <c r="A162" s="4" t="n"/>
      <c r="B162" s="9">
        <f>IF(A162="","",INT((DAY(A162)-1)/7)+1)</f>
        <v/>
      </c>
      <c r="C162" s="9" t="n"/>
      <c r="D162" s="9" t="n"/>
      <c r="E162" s="9" t="n"/>
      <c r="F162" s="9" t="n"/>
      <c r="G162" s="9" t="n"/>
      <c r="H162" s="9" t="n"/>
      <c r="I162" s="9" t="n"/>
      <c r="J162" s="3" t="n"/>
      <c r="K162" s="9" t="n"/>
    </row>
    <row r="163">
      <c r="A163" s="4" t="n"/>
      <c r="B163" s="9">
        <f>IF(A163="","",INT((DAY(A163)-1)/7)+1)</f>
        <v/>
      </c>
      <c r="C163" s="9" t="n"/>
      <c r="D163" s="9" t="n"/>
      <c r="E163" s="9" t="n"/>
      <c r="F163" s="9" t="n"/>
      <c r="G163" s="9" t="n"/>
      <c r="H163" s="9" t="n"/>
      <c r="I163" s="9" t="n"/>
      <c r="J163" s="3" t="n"/>
      <c r="K163" s="9" t="n"/>
    </row>
    <row r="164">
      <c r="A164" s="4" t="n"/>
      <c r="B164" s="9">
        <f>IF(A164="","",INT((DAY(A164)-1)/7)+1)</f>
        <v/>
      </c>
      <c r="C164" s="9" t="n"/>
      <c r="D164" s="9" t="n"/>
      <c r="E164" s="9" t="n"/>
      <c r="F164" s="9" t="n"/>
      <c r="G164" s="9" t="n"/>
      <c r="H164" s="9" t="n"/>
      <c r="I164" s="9" t="n"/>
      <c r="J164" s="3" t="n"/>
      <c r="K164" s="9" t="n"/>
    </row>
    <row r="165">
      <c r="A165" s="4" t="n"/>
      <c r="B165" s="9">
        <f>IF(A165="","",INT((DAY(A165)-1)/7)+1)</f>
        <v/>
      </c>
      <c r="C165" s="9" t="n"/>
      <c r="D165" s="9" t="n"/>
      <c r="E165" s="9" t="n"/>
      <c r="F165" s="9" t="n"/>
      <c r="G165" s="9" t="n"/>
      <c r="H165" s="9" t="n"/>
      <c r="I165" s="9" t="n"/>
      <c r="J165" s="3" t="n"/>
      <c r="K165" s="9" t="n"/>
    </row>
    <row r="166">
      <c r="A166" s="4" t="n"/>
      <c r="B166" s="9">
        <f>IF(A166="","",INT((DAY(A166)-1)/7)+1)</f>
        <v/>
      </c>
      <c r="C166" s="9" t="n"/>
      <c r="D166" s="9" t="n"/>
      <c r="E166" s="9" t="n"/>
      <c r="F166" s="9" t="n"/>
      <c r="G166" s="9" t="n"/>
      <c r="H166" s="9" t="n"/>
      <c r="I166" s="9" t="n"/>
      <c r="J166" s="3" t="n"/>
      <c r="K166" s="9" t="n"/>
    </row>
    <row r="167">
      <c r="A167" s="4" t="n"/>
      <c r="B167" s="9">
        <f>IF(A167="","",INT((DAY(A167)-1)/7)+1)</f>
        <v/>
      </c>
      <c r="C167" s="9" t="n"/>
      <c r="D167" s="9" t="n"/>
      <c r="E167" s="9" t="n"/>
      <c r="F167" s="9" t="n"/>
      <c r="G167" s="9" t="n"/>
      <c r="H167" s="9" t="n"/>
      <c r="I167" s="9" t="n"/>
      <c r="J167" s="3" t="n"/>
      <c r="K167" s="9" t="n"/>
    </row>
    <row r="168">
      <c r="A168" s="4" t="n"/>
      <c r="B168" s="9">
        <f>IF(A168="","",INT((DAY(A168)-1)/7)+1)</f>
        <v/>
      </c>
      <c r="C168" s="9" t="n"/>
      <c r="D168" s="9" t="n"/>
      <c r="E168" s="9" t="n"/>
      <c r="F168" s="9" t="n"/>
      <c r="G168" s="9" t="n"/>
      <c r="H168" s="9" t="n"/>
      <c r="I168" s="9" t="n"/>
      <c r="J168" s="3" t="n"/>
      <c r="K168" s="9" t="n"/>
    </row>
    <row r="169">
      <c r="A169" s="4" t="n"/>
      <c r="B169" s="9">
        <f>IF(A169="","",INT((DAY(A169)-1)/7)+1)</f>
        <v/>
      </c>
      <c r="C169" s="9" t="n"/>
      <c r="D169" s="9" t="n"/>
      <c r="E169" s="9" t="n"/>
      <c r="F169" s="9" t="n"/>
      <c r="G169" s="9" t="n"/>
      <c r="H169" s="9" t="n"/>
      <c r="I169" s="9" t="n"/>
      <c r="J169" s="3" t="n"/>
      <c r="K169" s="9" t="n"/>
    </row>
    <row r="170">
      <c r="A170" s="4" t="n"/>
      <c r="B170" s="9">
        <f>IF(A170="","",INT((DAY(A170)-1)/7)+1)</f>
        <v/>
      </c>
      <c r="C170" s="9" t="n"/>
      <c r="D170" s="9" t="n"/>
      <c r="E170" s="9" t="n"/>
      <c r="F170" s="9" t="n"/>
      <c r="G170" s="9" t="n"/>
      <c r="H170" s="9" t="n"/>
      <c r="I170" s="9" t="n"/>
      <c r="J170" s="3" t="n"/>
      <c r="K170" s="9" t="n"/>
    </row>
    <row r="171">
      <c r="A171" s="4" t="n"/>
      <c r="B171" s="9">
        <f>IF(A171="","",INT((DAY(A171)-1)/7)+1)</f>
        <v/>
      </c>
      <c r="C171" s="9" t="n"/>
      <c r="D171" s="9" t="n"/>
      <c r="E171" s="9" t="n"/>
      <c r="F171" s="9" t="n"/>
      <c r="G171" s="9" t="n"/>
      <c r="H171" s="9" t="n"/>
      <c r="I171" s="9" t="n"/>
      <c r="J171" s="3" t="n"/>
      <c r="K171" s="9" t="n"/>
    </row>
    <row r="172">
      <c r="A172" s="4" t="n"/>
      <c r="B172" s="9">
        <f>IF(A172="","",INT((DAY(A172)-1)/7)+1)</f>
        <v/>
      </c>
      <c r="C172" s="9" t="n"/>
      <c r="D172" s="9" t="n"/>
      <c r="E172" s="9" t="n"/>
      <c r="F172" s="9" t="n"/>
      <c r="G172" s="9" t="n"/>
      <c r="H172" s="9" t="n"/>
      <c r="I172" s="9" t="n"/>
      <c r="J172" s="3" t="n"/>
      <c r="K172" s="9" t="n"/>
    </row>
    <row r="173">
      <c r="A173" s="4" t="n"/>
      <c r="B173" s="9">
        <f>IF(A173="","",INT((DAY(A173)-1)/7)+1)</f>
        <v/>
      </c>
      <c r="C173" s="9" t="n"/>
      <c r="D173" s="9" t="n"/>
      <c r="E173" s="9" t="n"/>
      <c r="F173" s="9" t="n"/>
      <c r="G173" s="9" t="n"/>
      <c r="H173" s="9" t="n"/>
      <c r="I173" s="9" t="n"/>
      <c r="J173" s="3" t="n"/>
      <c r="K173" s="9" t="n"/>
    </row>
    <row r="174">
      <c r="A174" s="4" t="n"/>
      <c r="B174" s="9">
        <f>IF(A174="","",INT((DAY(A174)-1)/7)+1)</f>
        <v/>
      </c>
      <c r="C174" s="9" t="n"/>
      <c r="D174" s="9" t="n"/>
      <c r="E174" s="9" t="n"/>
      <c r="F174" s="9" t="n"/>
      <c r="G174" s="9" t="n"/>
      <c r="H174" s="9" t="n"/>
      <c r="I174" s="9" t="n"/>
      <c r="J174" s="3" t="n"/>
      <c r="K174" s="9" t="n"/>
    </row>
    <row r="175">
      <c r="A175" s="4" t="n"/>
      <c r="B175" s="9">
        <f>IF(A175="","",INT((DAY(A175)-1)/7)+1)</f>
        <v/>
      </c>
      <c r="C175" s="9" t="n"/>
      <c r="D175" s="9" t="n"/>
      <c r="E175" s="9" t="n"/>
      <c r="F175" s="9" t="n"/>
      <c r="G175" s="9" t="n"/>
      <c r="H175" s="9" t="n"/>
      <c r="I175" s="9" t="n"/>
      <c r="J175" s="3" t="n"/>
      <c r="K175" s="9" t="n"/>
    </row>
    <row r="176">
      <c r="A176" s="4" t="n"/>
      <c r="B176" s="9">
        <f>IF(A176="","",INT((DAY(A176)-1)/7)+1)</f>
        <v/>
      </c>
      <c r="C176" s="9" t="n"/>
      <c r="D176" s="9" t="n"/>
      <c r="E176" s="9" t="n"/>
      <c r="F176" s="9" t="n"/>
      <c r="G176" s="9" t="n"/>
      <c r="H176" s="9" t="n"/>
      <c r="I176" s="9" t="n"/>
      <c r="J176" s="3" t="n"/>
      <c r="K176" s="9" t="n"/>
    </row>
    <row r="177">
      <c r="A177" s="4" t="n"/>
      <c r="B177" s="9">
        <f>IF(A177="","",INT((DAY(A177)-1)/7)+1)</f>
        <v/>
      </c>
      <c r="C177" s="9" t="n"/>
      <c r="D177" s="9" t="n"/>
      <c r="E177" s="9" t="n"/>
      <c r="F177" s="9" t="n"/>
      <c r="G177" s="9" t="n"/>
      <c r="H177" s="9" t="n"/>
      <c r="I177" s="9" t="n"/>
      <c r="J177" s="3" t="n"/>
      <c r="K177" s="9" t="n"/>
    </row>
    <row r="178">
      <c r="A178" s="4" t="n"/>
      <c r="B178" s="9">
        <f>IF(A178="","",INT((DAY(A178)-1)/7)+1)</f>
        <v/>
      </c>
      <c r="C178" s="9" t="n"/>
      <c r="D178" s="9" t="n"/>
      <c r="E178" s="9" t="n"/>
      <c r="F178" s="9" t="n"/>
      <c r="G178" s="9" t="n"/>
      <c r="H178" s="9" t="n"/>
      <c r="I178" s="9" t="n"/>
      <c r="J178" s="3" t="n"/>
      <c r="K178" s="9" t="n"/>
    </row>
    <row r="179">
      <c r="A179" s="4" t="n"/>
      <c r="B179" s="9">
        <f>IF(A179="","",INT((DAY(A179)-1)/7)+1)</f>
        <v/>
      </c>
      <c r="C179" s="9" t="n"/>
      <c r="D179" s="9" t="n"/>
      <c r="E179" s="9" t="n"/>
      <c r="F179" s="9" t="n"/>
      <c r="G179" s="9" t="n"/>
      <c r="H179" s="9" t="n"/>
      <c r="I179" s="9" t="n"/>
      <c r="J179" s="3" t="n"/>
      <c r="K179" s="9" t="n"/>
    </row>
    <row r="180">
      <c r="A180" s="4" t="n"/>
      <c r="B180" s="9">
        <f>IF(A180="","",INT((DAY(A180)-1)/7)+1)</f>
        <v/>
      </c>
      <c r="C180" s="9" t="n"/>
      <c r="D180" s="9" t="n"/>
      <c r="E180" s="9" t="n"/>
      <c r="F180" s="9" t="n"/>
      <c r="G180" s="9" t="n"/>
      <c r="H180" s="9" t="n"/>
      <c r="I180" s="9" t="n"/>
      <c r="J180" s="3" t="n"/>
      <c r="K180" s="9" t="n"/>
    </row>
    <row r="181">
      <c r="A181" s="4" t="n"/>
      <c r="B181" s="9">
        <f>IF(A181="","",INT((DAY(A181)-1)/7)+1)</f>
        <v/>
      </c>
      <c r="C181" s="9" t="n"/>
      <c r="D181" s="9" t="n"/>
      <c r="E181" s="9" t="n"/>
      <c r="F181" s="9" t="n"/>
      <c r="G181" s="9" t="n"/>
      <c r="H181" s="9" t="n"/>
      <c r="I181" s="9" t="n"/>
      <c r="J181" s="3" t="n"/>
      <c r="K181" s="9" t="n"/>
    </row>
    <row r="182">
      <c r="A182" s="4" t="n"/>
      <c r="B182" s="9">
        <f>IF(A182="","",INT((DAY(A182)-1)/7)+1)</f>
        <v/>
      </c>
      <c r="C182" s="9" t="n"/>
      <c r="D182" s="9" t="n"/>
      <c r="E182" s="9" t="n"/>
      <c r="F182" s="9" t="n"/>
      <c r="G182" s="9" t="n"/>
      <c r="H182" s="9" t="n"/>
      <c r="I182" s="9" t="n"/>
      <c r="J182" s="3" t="n"/>
      <c r="K182" s="9" t="n"/>
    </row>
    <row r="183">
      <c r="A183" s="4" t="n"/>
      <c r="B183" s="9">
        <f>IF(A183="","",INT((DAY(A183)-1)/7)+1)</f>
        <v/>
      </c>
      <c r="C183" s="9" t="n"/>
      <c r="D183" s="9" t="n"/>
      <c r="E183" s="9" t="n"/>
      <c r="F183" s="9" t="n"/>
      <c r="G183" s="9" t="n"/>
      <c r="H183" s="9" t="n"/>
      <c r="I183" s="9" t="n"/>
      <c r="J183" s="3" t="n"/>
      <c r="K183" s="9" t="n"/>
    </row>
    <row r="184">
      <c r="A184" s="4" t="n"/>
      <c r="B184" s="9">
        <f>IF(A184="","",INT((DAY(A184)-1)/7)+1)</f>
        <v/>
      </c>
      <c r="C184" s="9" t="n"/>
      <c r="D184" s="9" t="n"/>
      <c r="E184" s="9" t="n"/>
      <c r="F184" s="9" t="n"/>
      <c r="G184" s="9" t="n"/>
      <c r="H184" s="9" t="n"/>
      <c r="I184" s="9" t="n"/>
      <c r="J184" s="3" t="n"/>
      <c r="K184" s="9" t="n"/>
    </row>
    <row r="185">
      <c r="A185" s="4" t="n"/>
      <c r="B185" s="9">
        <f>IF(A185="","",INT((DAY(A185)-1)/7)+1)</f>
        <v/>
      </c>
      <c r="C185" s="9" t="n"/>
      <c r="D185" s="9" t="n"/>
      <c r="E185" s="9" t="n"/>
      <c r="F185" s="9" t="n"/>
      <c r="G185" s="9" t="n"/>
      <c r="H185" s="9" t="n"/>
      <c r="I185" s="9" t="n"/>
      <c r="J185" s="3" t="n"/>
      <c r="K185" s="9" t="n"/>
    </row>
    <row r="186">
      <c r="A186" s="4" t="n"/>
      <c r="B186" s="9">
        <f>IF(A186="","",INT((DAY(A186)-1)/7)+1)</f>
        <v/>
      </c>
      <c r="C186" s="9" t="n"/>
      <c r="D186" s="9" t="n"/>
      <c r="E186" s="9" t="n"/>
      <c r="F186" s="9" t="n"/>
      <c r="G186" s="9" t="n"/>
      <c r="H186" s="9" t="n"/>
      <c r="I186" s="9" t="n"/>
      <c r="J186" s="3" t="n"/>
      <c r="K186" s="9" t="n"/>
    </row>
    <row r="187">
      <c r="A187" s="4" t="n"/>
      <c r="B187" s="9">
        <f>IF(A187="","",INT((DAY(A187)-1)/7)+1)</f>
        <v/>
      </c>
      <c r="C187" s="9" t="n"/>
      <c r="D187" s="9" t="n"/>
      <c r="E187" s="9" t="n"/>
      <c r="F187" s="9" t="n"/>
      <c r="G187" s="9" t="n"/>
      <c r="H187" s="9" t="n"/>
      <c r="I187" s="9" t="n"/>
      <c r="J187" s="3" t="n"/>
      <c r="K187" s="9" t="n"/>
    </row>
    <row r="188">
      <c r="A188" s="4" t="n"/>
      <c r="B188" s="9">
        <f>IF(A188="","",INT((DAY(A188)-1)/7)+1)</f>
        <v/>
      </c>
      <c r="C188" s="9" t="n"/>
      <c r="D188" s="9" t="n"/>
      <c r="E188" s="9" t="n"/>
      <c r="F188" s="9" t="n"/>
      <c r="G188" s="9" t="n"/>
      <c r="H188" s="9" t="n"/>
      <c r="I188" s="9" t="n"/>
      <c r="J188" s="3" t="n"/>
      <c r="K188" s="9" t="n"/>
    </row>
    <row r="189">
      <c r="A189" s="4" t="n"/>
      <c r="B189" s="9">
        <f>IF(A189="","",INT((DAY(A189)-1)/7)+1)</f>
        <v/>
      </c>
      <c r="C189" s="9" t="n"/>
      <c r="D189" s="9" t="n"/>
      <c r="E189" s="9" t="n"/>
      <c r="F189" s="9" t="n"/>
      <c r="G189" s="9" t="n"/>
      <c r="H189" s="9" t="n"/>
      <c r="I189" s="9" t="n"/>
      <c r="J189" s="3" t="n"/>
      <c r="K189" s="9" t="n"/>
    </row>
    <row r="190">
      <c r="A190" s="4" t="n"/>
      <c r="B190" s="9">
        <f>IF(A190="","",INT((DAY(A190)-1)/7)+1)</f>
        <v/>
      </c>
      <c r="C190" s="9" t="n"/>
      <c r="D190" s="9" t="n"/>
      <c r="E190" s="9" t="n"/>
      <c r="F190" s="9" t="n"/>
      <c r="G190" s="9" t="n"/>
      <c r="H190" s="9" t="n"/>
      <c r="I190" s="9" t="n"/>
      <c r="J190" s="3" t="n"/>
      <c r="K190" s="9" t="n"/>
    </row>
    <row r="191">
      <c r="A191" s="4" t="n"/>
      <c r="B191" s="9">
        <f>IF(A191="","",INT((DAY(A191)-1)/7)+1)</f>
        <v/>
      </c>
      <c r="C191" s="9" t="n"/>
      <c r="D191" s="9" t="n"/>
      <c r="E191" s="9" t="n"/>
      <c r="F191" s="9" t="n"/>
      <c r="G191" s="9" t="n"/>
      <c r="H191" s="9" t="n"/>
      <c r="I191" s="9" t="n"/>
      <c r="J191" s="3" t="n"/>
      <c r="K191" s="9" t="n"/>
    </row>
    <row r="192">
      <c r="A192" s="4" t="n"/>
      <c r="B192" s="9">
        <f>IF(A192="","",INT((DAY(A192)-1)/7)+1)</f>
        <v/>
      </c>
      <c r="C192" s="9" t="n"/>
      <c r="D192" s="9" t="n"/>
      <c r="E192" s="9" t="n"/>
      <c r="F192" s="9" t="n"/>
      <c r="G192" s="9" t="n"/>
      <c r="H192" s="9" t="n"/>
      <c r="I192" s="9" t="n"/>
      <c r="J192" s="3" t="n"/>
      <c r="K192" s="9" t="n"/>
    </row>
    <row r="193">
      <c r="A193" s="4" t="n"/>
      <c r="B193" s="9">
        <f>IF(A193="","",INT((DAY(A193)-1)/7)+1)</f>
        <v/>
      </c>
      <c r="C193" s="9" t="n"/>
      <c r="D193" s="9" t="n"/>
      <c r="E193" s="9" t="n"/>
      <c r="F193" s="9" t="n"/>
      <c r="G193" s="9" t="n"/>
      <c r="H193" s="9" t="n"/>
      <c r="I193" s="9" t="n"/>
      <c r="J193" s="3" t="n"/>
      <c r="K193" s="9" t="n"/>
    </row>
    <row r="194">
      <c r="A194" s="4" t="n"/>
      <c r="B194" s="9">
        <f>IF(A194="","",INT((DAY(A194)-1)/7)+1)</f>
        <v/>
      </c>
      <c r="C194" s="9" t="n"/>
      <c r="D194" s="9" t="n"/>
      <c r="E194" s="9" t="n"/>
      <c r="F194" s="9" t="n"/>
      <c r="G194" s="9" t="n"/>
      <c r="H194" s="9" t="n"/>
      <c r="I194" s="9" t="n"/>
      <c r="J194" s="3" t="n"/>
      <c r="K194" s="9" t="n"/>
    </row>
    <row r="195">
      <c r="A195" s="4" t="n"/>
      <c r="B195" s="9">
        <f>IF(A195="","",INT((DAY(A195)-1)/7)+1)</f>
        <v/>
      </c>
      <c r="C195" s="9" t="n"/>
      <c r="D195" s="9" t="n"/>
      <c r="E195" s="9" t="n"/>
      <c r="F195" s="9" t="n"/>
      <c r="G195" s="9" t="n"/>
      <c r="H195" s="9" t="n"/>
      <c r="I195" s="9" t="n"/>
      <c r="J195" s="3" t="n"/>
      <c r="K195" s="9" t="n"/>
    </row>
    <row r="196">
      <c r="A196" s="4" t="n"/>
      <c r="B196" s="9">
        <f>IF(A196="","",INT((DAY(A196)-1)/7)+1)</f>
        <v/>
      </c>
      <c r="C196" s="9" t="n"/>
      <c r="D196" s="9" t="n"/>
      <c r="E196" s="9" t="n"/>
      <c r="F196" s="9" t="n"/>
      <c r="G196" s="9" t="n"/>
      <c r="H196" s="9" t="n"/>
      <c r="I196" s="9" t="n"/>
      <c r="J196" s="3" t="n"/>
      <c r="K196" s="9" t="n"/>
    </row>
    <row r="197">
      <c r="A197" s="4" t="n"/>
      <c r="B197" s="9">
        <f>IF(A197="","",INT((DAY(A197)-1)/7)+1)</f>
        <v/>
      </c>
      <c r="C197" s="9" t="n"/>
      <c r="D197" s="9" t="n"/>
      <c r="E197" s="9" t="n"/>
      <c r="F197" s="9" t="n"/>
      <c r="G197" s="9" t="n"/>
      <c r="H197" s="9" t="n"/>
      <c r="I197" s="9" t="n"/>
      <c r="J197" s="3" t="n"/>
      <c r="K197" s="9" t="n"/>
    </row>
    <row r="198">
      <c r="A198" s="4" t="n"/>
      <c r="B198" s="9">
        <f>IF(A198="","",INT((DAY(A198)-1)/7)+1)</f>
        <v/>
      </c>
      <c r="C198" s="9" t="n"/>
      <c r="D198" s="9" t="n"/>
      <c r="E198" s="9" t="n"/>
      <c r="F198" s="9" t="n"/>
      <c r="G198" s="9" t="n"/>
      <c r="H198" s="9" t="n"/>
      <c r="I198" s="9" t="n"/>
      <c r="J198" s="3" t="n"/>
      <c r="K198" s="9" t="n"/>
    </row>
    <row r="199">
      <c r="A199" s="4" t="n"/>
      <c r="B199" s="9">
        <f>IF(A199="","",INT((DAY(A199)-1)/7)+1)</f>
        <v/>
      </c>
      <c r="C199" s="9" t="n"/>
      <c r="D199" s="9" t="n"/>
      <c r="E199" s="9" t="n"/>
      <c r="F199" s="9" t="n"/>
      <c r="G199" s="9" t="n"/>
      <c r="H199" s="9" t="n"/>
      <c r="I199" s="9" t="n"/>
      <c r="J199" s="3" t="n"/>
      <c r="K199" s="9" t="n"/>
    </row>
    <row r="200">
      <c r="A200" s="4" t="n"/>
      <c r="B200" s="9">
        <f>IF(A200="","",INT((DAY(A200)-1)/7)+1)</f>
        <v/>
      </c>
      <c r="C200" s="9" t="n"/>
      <c r="D200" s="9" t="n"/>
      <c r="E200" s="9" t="n"/>
      <c r="F200" s="9" t="n"/>
      <c r="G200" s="9" t="n"/>
      <c r="H200" s="9" t="n"/>
      <c r="I200" s="9" t="n"/>
      <c r="J200" s="3" t="n"/>
      <c r="K200" s="9" t="n"/>
    </row>
    <row r="201">
      <c r="A201" s="4" t="n"/>
      <c r="B201" s="9">
        <f>IF(A201="","",INT((DAY(A201)-1)/7)+1)</f>
        <v/>
      </c>
      <c r="C201" s="9" t="n"/>
      <c r="D201" s="9" t="n"/>
      <c r="E201" s="9" t="n"/>
      <c r="F201" s="9" t="n"/>
      <c r="G201" s="9" t="n"/>
      <c r="H201" s="9" t="n"/>
      <c r="I201" s="9" t="n"/>
      <c r="J201" s="3" t="n"/>
      <c r="K201" s="9" t="n"/>
    </row>
    <row r="202">
      <c r="A202" s="4" t="n"/>
      <c r="B202" s="9">
        <f>IF(A202="","",INT((DAY(A202)-1)/7)+1)</f>
        <v/>
      </c>
      <c r="C202" s="9" t="n"/>
      <c r="D202" s="9" t="n"/>
      <c r="E202" s="9" t="n"/>
      <c r="F202" s="9" t="n"/>
      <c r="G202" s="9" t="n"/>
      <c r="H202" s="9" t="n"/>
      <c r="I202" s="9" t="n"/>
      <c r="J202" s="3" t="n"/>
      <c r="K202" s="9" t="n"/>
    </row>
    <row r="203">
      <c r="A203" s="4" t="n"/>
      <c r="B203" s="9">
        <f>IF(A203="","",INT((DAY(A203)-1)/7)+1)</f>
        <v/>
      </c>
      <c r="C203" s="9" t="n"/>
      <c r="D203" s="9" t="n"/>
      <c r="E203" s="9" t="n"/>
      <c r="F203" s="9" t="n"/>
      <c r="G203" s="9" t="n"/>
      <c r="H203" s="9" t="n"/>
      <c r="I203" s="9" t="n"/>
      <c r="J203" s="3" t="n"/>
      <c r="K203" s="9" t="n"/>
    </row>
    <row r="204">
      <c r="A204" s="4" t="n"/>
      <c r="B204" s="9">
        <f>IF(A204="","",INT((DAY(A204)-1)/7)+1)</f>
        <v/>
      </c>
      <c r="C204" s="9" t="n"/>
      <c r="D204" s="9" t="n"/>
      <c r="E204" s="9" t="n"/>
      <c r="F204" s="9" t="n"/>
      <c r="G204" s="9" t="n"/>
      <c r="H204" s="9" t="n"/>
      <c r="I204" s="9" t="n"/>
      <c r="J204" s="3" t="n"/>
      <c r="K204" s="9" t="n"/>
    </row>
    <row r="205">
      <c r="A205" s="4" t="n"/>
      <c r="B205" s="9">
        <f>IF(A205="","",INT((DAY(A205)-1)/7)+1)</f>
        <v/>
      </c>
      <c r="C205" s="9" t="n"/>
      <c r="D205" s="9" t="n"/>
      <c r="E205" s="9" t="n"/>
      <c r="F205" s="9" t="n"/>
      <c r="G205" s="9" t="n"/>
      <c r="H205" s="9" t="n"/>
      <c r="I205" s="9" t="n"/>
      <c r="J205" s="3" t="n"/>
      <c r="K205" s="9" t="n"/>
    </row>
    <row r="206">
      <c r="A206" s="4" t="n"/>
      <c r="B206" s="9">
        <f>IF(A206="","",INT((DAY(A206)-1)/7)+1)</f>
        <v/>
      </c>
      <c r="C206" s="9" t="n"/>
      <c r="D206" s="9" t="n"/>
      <c r="E206" s="9" t="n"/>
      <c r="F206" s="9" t="n"/>
      <c r="G206" s="9" t="n"/>
      <c r="H206" s="9" t="n"/>
      <c r="I206" s="9" t="n"/>
      <c r="J206" s="3" t="n"/>
      <c r="K206" s="9" t="n"/>
    </row>
    <row r="207">
      <c r="A207" s="4" t="n"/>
      <c r="B207" s="9">
        <f>IF(A207="","",INT((DAY(A207)-1)/7)+1)</f>
        <v/>
      </c>
      <c r="C207" s="9" t="n"/>
      <c r="D207" s="9" t="n"/>
      <c r="E207" s="9" t="n"/>
      <c r="F207" s="9" t="n"/>
      <c r="G207" s="9" t="n"/>
      <c r="H207" s="9" t="n"/>
      <c r="I207" s="9" t="n"/>
      <c r="J207" s="3" t="n"/>
      <c r="K207" s="9" t="n"/>
    </row>
    <row r="208">
      <c r="A208" s="4" t="n"/>
      <c r="B208" s="9">
        <f>IF(A208="","",INT((DAY(A208)-1)/7)+1)</f>
        <v/>
      </c>
      <c r="C208" s="9" t="n"/>
      <c r="D208" s="9" t="n"/>
      <c r="E208" s="9" t="n"/>
      <c r="F208" s="9" t="n"/>
      <c r="G208" s="9" t="n"/>
      <c r="H208" s="9" t="n"/>
      <c r="I208" s="9" t="n"/>
      <c r="J208" s="3" t="n"/>
      <c r="K208" s="9" t="n"/>
    </row>
    <row r="209">
      <c r="A209" s="4" t="n"/>
      <c r="B209" s="9">
        <f>IF(A209="","",INT((DAY(A209)-1)/7)+1)</f>
        <v/>
      </c>
      <c r="C209" s="9" t="n"/>
      <c r="D209" s="9" t="n"/>
      <c r="E209" s="9" t="n"/>
      <c r="F209" s="9" t="n"/>
      <c r="G209" s="9" t="n"/>
      <c r="H209" s="9" t="n"/>
      <c r="I209" s="9" t="n"/>
      <c r="J209" s="3" t="n"/>
      <c r="K209" s="9" t="n"/>
    </row>
    <row r="210">
      <c r="A210" s="4" t="n"/>
      <c r="B210" s="9">
        <f>IF(A210="","",INT((DAY(A210)-1)/7)+1)</f>
        <v/>
      </c>
      <c r="C210" s="9" t="n"/>
      <c r="D210" s="9" t="n"/>
      <c r="E210" s="9" t="n"/>
      <c r="F210" s="9" t="n"/>
      <c r="G210" s="9" t="n"/>
      <c r="H210" s="9" t="n"/>
      <c r="I210" s="9" t="n"/>
      <c r="J210" s="3" t="n"/>
      <c r="K210" s="9" t="n"/>
    </row>
    <row r="211">
      <c r="A211" s="4" t="n"/>
      <c r="B211" s="9">
        <f>IF(A211="","",INT((DAY(A211)-1)/7)+1)</f>
        <v/>
      </c>
      <c r="C211" s="9" t="n"/>
      <c r="D211" s="9" t="n"/>
      <c r="E211" s="9" t="n"/>
      <c r="F211" s="9" t="n"/>
      <c r="G211" s="9" t="n"/>
      <c r="H211" s="9" t="n"/>
      <c r="I211" s="9" t="n"/>
      <c r="J211" s="3" t="n"/>
      <c r="K211" s="9" t="n"/>
    </row>
    <row r="212">
      <c r="A212" s="4" t="n"/>
      <c r="B212" s="9">
        <f>IF(A212="","",INT((DAY(A212)-1)/7)+1)</f>
        <v/>
      </c>
      <c r="C212" s="9" t="n"/>
      <c r="D212" s="9" t="n"/>
      <c r="E212" s="9" t="n"/>
      <c r="F212" s="9" t="n"/>
      <c r="G212" s="9" t="n"/>
      <c r="H212" s="9" t="n"/>
      <c r="I212" s="9" t="n"/>
      <c r="J212" s="3" t="n"/>
      <c r="K212" s="9" t="n"/>
    </row>
    <row r="213">
      <c r="A213" s="4" t="n"/>
      <c r="B213" s="9">
        <f>IF(A213="","",INT((DAY(A213)-1)/7)+1)</f>
        <v/>
      </c>
      <c r="C213" s="9" t="n"/>
      <c r="D213" s="9" t="n"/>
      <c r="E213" s="9" t="n"/>
      <c r="F213" s="9" t="n"/>
      <c r="G213" s="9" t="n"/>
      <c r="H213" s="9" t="n"/>
      <c r="I213" s="9" t="n"/>
      <c r="J213" s="3" t="n"/>
      <c r="K213" s="9" t="n"/>
    </row>
    <row r="214">
      <c r="A214" s="4" t="n"/>
      <c r="B214" s="9">
        <f>IF(A214="","",INT((DAY(A214)-1)/7)+1)</f>
        <v/>
      </c>
      <c r="C214" s="9" t="n"/>
      <c r="D214" s="9" t="n"/>
      <c r="E214" s="9" t="n"/>
      <c r="F214" s="9" t="n"/>
      <c r="G214" s="9" t="n"/>
      <c r="H214" s="9" t="n"/>
      <c r="I214" s="9" t="n"/>
      <c r="J214" s="3" t="n"/>
      <c r="K214" s="9" t="n"/>
    </row>
    <row r="215">
      <c r="A215" s="4" t="n"/>
      <c r="B215" s="9">
        <f>IF(A215="","",INT((DAY(A215)-1)/7)+1)</f>
        <v/>
      </c>
      <c r="C215" s="9" t="n"/>
      <c r="D215" s="9" t="n"/>
      <c r="E215" s="9" t="n"/>
      <c r="F215" s="9" t="n"/>
      <c r="G215" s="9" t="n"/>
      <c r="H215" s="9" t="n"/>
      <c r="I215" s="9" t="n"/>
      <c r="J215" s="3" t="n"/>
      <c r="K215" s="9" t="n"/>
    </row>
    <row r="216">
      <c r="A216" s="4" t="n"/>
      <c r="B216" s="9">
        <f>IF(A216="","",INT((DAY(A216)-1)/7)+1)</f>
        <v/>
      </c>
      <c r="C216" s="9" t="n"/>
      <c r="D216" s="9" t="n"/>
      <c r="E216" s="9" t="n"/>
      <c r="F216" s="9" t="n"/>
      <c r="G216" s="9" t="n"/>
      <c r="H216" s="9" t="n"/>
      <c r="I216" s="9" t="n"/>
      <c r="J216" s="3" t="n"/>
      <c r="K216" s="9" t="n"/>
    </row>
    <row r="217">
      <c r="A217" s="4" t="n"/>
      <c r="B217" s="9">
        <f>IF(A217="","",INT((DAY(A217)-1)/7)+1)</f>
        <v/>
      </c>
      <c r="C217" s="9" t="n"/>
      <c r="D217" s="9" t="n"/>
      <c r="E217" s="9" t="n"/>
      <c r="F217" s="9" t="n"/>
      <c r="G217" s="9" t="n"/>
      <c r="H217" s="9" t="n"/>
      <c r="I217" s="9" t="n"/>
      <c r="J217" s="3" t="n"/>
      <c r="K217" s="9" t="n"/>
    </row>
    <row r="218">
      <c r="A218" s="4" t="n"/>
      <c r="B218" s="9">
        <f>IF(A218="","",INT((DAY(A218)-1)/7)+1)</f>
        <v/>
      </c>
      <c r="C218" s="9" t="n"/>
      <c r="D218" s="9" t="n"/>
      <c r="E218" s="9" t="n"/>
      <c r="F218" s="9" t="n"/>
      <c r="G218" s="9" t="n"/>
      <c r="H218" s="9" t="n"/>
      <c r="I218" s="9" t="n"/>
      <c r="J218" s="3" t="n"/>
      <c r="K218" s="9" t="n"/>
    </row>
    <row r="219">
      <c r="A219" s="4" t="n"/>
      <c r="B219" s="9">
        <f>IF(A219="","",INT((DAY(A219)-1)/7)+1)</f>
        <v/>
      </c>
      <c r="C219" s="9" t="n"/>
      <c r="D219" s="9" t="n"/>
      <c r="E219" s="9" t="n"/>
      <c r="F219" s="9" t="n"/>
      <c r="G219" s="9" t="n"/>
      <c r="H219" s="9" t="n"/>
      <c r="I219" s="9" t="n"/>
      <c r="J219" s="3" t="n"/>
      <c r="K219" s="9" t="n"/>
    </row>
    <row r="220">
      <c r="A220" s="4" t="n"/>
      <c r="B220" s="9">
        <f>IF(A220="","",INT((DAY(A220)-1)/7)+1)</f>
        <v/>
      </c>
      <c r="C220" s="9" t="n"/>
      <c r="D220" s="9" t="n"/>
      <c r="E220" s="9" t="n"/>
      <c r="F220" s="9" t="n"/>
      <c r="G220" s="9" t="n"/>
      <c r="H220" s="9" t="n"/>
      <c r="I220" s="9" t="n"/>
      <c r="J220" s="3" t="n"/>
      <c r="K220" s="9" t="n"/>
    </row>
    <row r="221">
      <c r="A221" s="4" t="n"/>
      <c r="B221" s="9">
        <f>IF(A221="","",INT((DAY(A221)-1)/7)+1)</f>
        <v/>
      </c>
      <c r="C221" s="9" t="n"/>
      <c r="D221" s="9" t="n"/>
      <c r="E221" s="9" t="n"/>
      <c r="F221" s="9" t="n"/>
      <c r="G221" s="9" t="n"/>
      <c r="H221" s="9" t="n"/>
      <c r="I221" s="9" t="n"/>
      <c r="J221" s="3" t="n"/>
      <c r="K221" s="9" t="n"/>
    </row>
    <row r="222">
      <c r="A222" s="4" t="n"/>
      <c r="B222" s="9">
        <f>IF(A222="","",INT((DAY(A222)-1)/7)+1)</f>
        <v/>
      </c>
      <c r="C222" s="9" t="n"/>
      <c r="D222" s="9" t="n"/>
      <c r="E222" s="9" t="n"/>
      <c r="F222" s="9" t="n"/>
      <c r="G222" s="9" t="n"/>
      <c r="H222" s="9" t="n"/>
      <c r="I222" s="9" t="n"/>
      <c r="J222" s="3" t="n"/>
      <c r="K222" s="9" t="n"/>
    </row>
    <row r="223">
      <c r="A223" s="4" t="n"/>
      <c r="B223" s="9">
        <f>IF(A223="","",INT((DAY(A223)-1)/7)+1)</f>
        <v/>
      </c>
      <c r="C223" s="9" t="n"/>
      <c r="D223" s="9" t="n"/>
      <c r="E223" s="9" t="n"/>
      <c r="F223" s="9" t="n"/>
      <c r="G223" s="9" t="n"/>
      <c r="H223" s="9" t="n"/>
      <c r="I223" s="9" t="n"/>
      <c r="J223" s="3" t="n"/>
      <c r="K223" s="9" t="n"/>
    </row>
    <row r="224">
      <c r="A224" s="4" t="n"/>
      <c r="B224" s="9">
        <f>IF(A224="","",INT((DAY(A224)-1)/7)+1)</f>
        <v/>
      </c>
      <c r="C224" s="9" t="n"/>
      <c r="D224" s="9" t="n"/>
      <c r="E224" s="9" t="n"/>
      <c r="F224" s="9" t="n"/>
      <c r="G224" s="9" t="n"/>
      <c r="H224" s="9" t="n"/>
      <c r="I224" s="9" t="n"/>
      <c r="J224" s="3" t="n"/>
      <c r="K224" s="9" t="n"/>
    </row>
    <row r="225">
      <c r="A225" s="4" t="n"/>
      <c r="B225" s="9">
        <f>IF(A225="","",INT((DAY(A225)-1)/7)+1)</f>
        <v/>
      </c>
      <c r="C225" s="9" t="n"/>
      <c r="D225" s="9" t="n"/>
      <c r="E225" s="9" t="n"/>
      <c r="F225" s="9" t="n"/>
      <c r="G225" s="9" t="n"/>
      <c r="H225" s="9" t="n"/>
      <c r="I225" s="9" t="n"/>
      <c r="J225" s="3" t="n"/>
      <c r="K225" s="9" t="n"/>
    </row>
    <row r="226">
      <c r="A226" s="4" t="n"/>
      <c r="B226" s="9">
        <f>IF(A226="","",INT((DAY(A226)-1)/7)+1)</f>
        <v/>
      </c>
      <c r="C226" s="9" t="n"/>
      <c r="D226" s="9" t="n"/>
      <c r="E226" s="9" t="n"/>
      <c r="F226" s="9" t="n"/>
      <c r="G226" s="9" t="n"/>
      <c r="H226" s="9" t="n"/>
      <c r="I226" s="9" t="n"/>
      <c r="J226" s="3" t="n"/>
      <c r="K226" s="9" t="n"/>
    </row>
    <row r="227">
      <c r="A227" s="4" t="n"/>
      <c r="B227" s="9">
        <f>IF(A227="","",INT((DAY(A227)-1)/7)+1)</f>
        <v/>
      </c>
      <c r="C227" s="9" t="n"/>
      <c r="D227" s="9" t="n"/>
      <c r="E227" s="9" t="n"/>
      <c r="F227" s="9" t="n"/>
      <c r="G227" s="9" t="n"/>
      <c r="H227" s="9" t="n"/>
      <c r="I227" s="9" t="n"/>
      <c r="J227" s="3" t="n"/>
      <c r="K227" s="9" t="n"/>
    </row>
    <row r="228">
      <c r="A228" s="4" t="n"/>
      <c r="B228" s="9">
        <f>IF(A228="","",INT((DAY(A228)-1)/7)+1)</f>
        <v/>
      </c>
      <c r="C228" s="9" t="n"/>
      <c r="D228" s="9" t="n"/>
      <c r="E228" s="9" t="n"/>
      <c r="F228" s="9" t="n"/>
      <c r="G228" s="9" t="n"/>
      <c r="H228" s="9" t="n"/>
      <c r="I228" s="9" t="n"/>
      <c r="J228" s="3" t="n"/>
      <c r="K228" s="9" t="n"/>
    </row>
    <row r="229">
      <c r="A229" s="4" t="n"/>
      <c r="B229" s="9">
        <f>IF(A229="","",INT((DAY(A229)-1)/7)+1)</f>
        <v/>
      </c>
      <c r="C229" s="9" t="n"/>
      <c r="D229" s="9" t="n"/>
      <c r="E229" s="9" t="n"/>
      <c r="F229" s="9" t="n"/>
      <c r="G229" s="9" t="n"/>
      <c r="H229" s="9" t="n"/>
      <c r="I229" s="9" t="n"/>
      <c r="J229" s="3" t="n"/>
      <c r="K229" s="9" t="n"/>
    </row>
    <row r="230">
      <c r="A230" s="4" t="n"/>
      <c r="B230" s="9">
        <f>IF(A230="","",INT((DAY(A230)-1)/7)+1)</f>
        <v/>
      </c>
      <c r="C230" s="9" t="n"/>
      <c r="D230" s="9" t="n"/>
      <c r="E230" s="9" t="n"/>
      <c r="F230" s="9" t="n"/>
      <c r="G230" s="9" t="n"/>
      <c r="H230" s="9" t="n"/>
      <c r="I230" s="9" t="n"/>
      <c r="J230" s="3" t="n"/>
      <c r="K230" s="9" t="n"/>
    </row>
    <row r="231">
      <c r="A231" s="4" t="n"/>
      <c r="B231" s="9">
        <f>IF(A231="","",INT((DAY(A231)-1)/7)+1)</f>
        <v/>
      </c>
      <c r="C231" s="9" t="n"/>
      <c r="D231" s="9" t="n"/>
      <c r="E231" s="9" t="n"/>
      <c r="F231" s="9" t="n"/>
      <c r="G231" s="9" t="n"/>
      <c r="H231" s="9" t="n"/>
      <c r="I231" s="9" t="n"/>
      <c r="J231" s="3" t="n"/>
      <c r="K231" s="9" t="n"/>
    </row>
    <row r="232">
      <c r="A232" s="4" t="n"/>
      <c r="B232" s="9">
        <f>IF(A232="","",INT((DAY(A232)-1)/7)+1)</f>
        <v/>
      </c>
      <c r="C232" s="9" t="n"/>
      <c r="D232" s="9" t="n"/>
      <c r="E232" s="9" t="n"/>
      <c r="F232" s="9" t="n"/>
      <c r="G232" s="9" t="n"/>
      <c r="H232" s="9" t="n"/>
      <c r="I232" s="9" t="n"/>
      <c r="J232" s="3" t="n"/>
      <c r="K232" s="9" t="n"/>
    </row>
    <row r="233">
      <c r="A233" s="4" t="n"/>
      <c r="B233" s="9">
        <f>IF(A233="","",INT((DAY(A233)-1)/7)+1)</f>
        <v/>
      </c>
      <c r="C233" s="9" t="n"/>
      <c r="D233" s="9" t="n"/>
      <c r="E233" s="9" t="n"/>
      <c r="F233" s="9" t="n"/>
      <c r="G233" s="9" t="n"/>
      <c r="H233" s="9" t="n"/>
      <c r="I233" s="9" t="n"/>
      <c r="J233" s="3" t="n"/>
      <c r="K233" s="9" t="n"/>
    </row>
    <row r="234">
      <c r="A234" s="4" t="n"/>
      <c r="B234" s="9">
        <f>IF(A234="","",INT((DAY(A234)-1)/7)+1)</f>
        <v/>
      </c>
      <c r="C234" s="9" t="n"/>
      <c r="D234" s="9" t="n"/>
      <c r="E234" s="9" t="n"/>
      <c r="F234" s="9" t="n"/>
      <c r="G234" s="9" t="n"/>
      <c r="H234" s="9" t="n"/>
      <c r="I234" s="9" t="n"/>
      <c r="J234" s="3" t="n"/>
      <c r="K234" s="9" t="n"/>
    </row>
    <row r="235">
      <c r="A235" s="4" t="n"/>
      <c r="B235" s="9">
        <f>IF(A235="","",INT((DAY(A235)-1)/7)+1)</f>
        <v/>
      </c>
      <c r="C235" s="9" t="n"/>
      <c r="D235" s="9" t="n"/>
      <c r="E235" s="9" t="n"/>
      <c r="F235" s="9" t="n"/>
      <c r="G235" s="9" t="n"/>
      <c r="H235" s="9" t="n"/>
      <c r="I235" s="9" t="n"/>
      <c r="J235" s="3" t="n"/>
      <c r="K235" s="9" t="n"/>
    </row>
    <row r="236">
      <c r="A236" s="4" t="n"/>
      <c r="B236" s="9">
        <f>IF(A236="","",INT((DAY(A236)-1)/7)+1)</f>
        <v/>
      </c>
      <c r="C236" s="9" t="n"/>
      <c r="D236" s="9" t="n"/>
      <c r="E236" s="9" t="n"/>
      <c r="F236" s="9" t="n"/>
      <c r="G236" s="9" t="n"/>
      <c r="H236" s="9" t="n"/>
      <c r="I236" s="9" t="n"/>
      <c r="J236" s="3" t="n"/>
      <c r="K236" s="9" t="n"/>
    </row>
    <row r="237">
      <c r="A237" s="4" t="n"/>
      <c r="B237" s="9">
        <f>IF(A237="","",INT((DAY(A237)-1)/7)+1)</f>
        <v/>
      </c>
      <c r="C237" s="9" t="n"/>
      <c r="D237" s="9" t="n"/>
      <c r="E237" s="9" t="n"/>
      <c r="F237" s="9" t="n"/>
      <c r="G237" s="9" t="n"/>
      <c r="H237" s="9" t="n"/>
      <c r="I237" s="9" t="n"/>
      <c r="J237" s="3" t="n"/>
      <c r="K237" s="9" t="n"/>
    </row>
    <row r="238">
      <c r="A238" s="4" t="n"/>
      <c r="B238" s="9">
        <f>IF(A238="","",INT((DAY(A238)-1)/7)+1)</f>
        <v/>
      </c>
      <c r="C238" s="9" t="n"/>
      <c r="D238" s="9" t="n"/>
      <c r="E238" s="9" t="n"/>
      <c r="F238" s="9" t="n"/>
      <c r="G238" s="9" t="n"/>
      <c r="H238" s="9" t="n"/>
      <c r="I238" s="9" t="n"/>
      <c r="J238" s="3" t="n"/>
      <c r="K238" s="9" t="n"/>
    </row>
    <row r="239">
      <c r="A239" s="4" t="n"/>
      <c r="B239" s="9">
        <f>IF(A239="","",INT((DAY(A239)-1)/7)+1)</f>
        <v/>
      </c>
      <c r="C239" s="9" t="n"/>
      <c r="D239" s="9" t="n"/>
      <c r="E239" s="9" t="n"/>
      <c r="F239" s="9" t="n"/>
      <c r="G239" s="9" t="n"/>
      <c r="H239" s="9" t="n"/>
      <c r="I239" s="9" t="n"/>
      <c r="J239" s="3" t="n"/>
      <c r="K239" s="9" t="n"/>
    </row>
    <row r="240">
      <c r="A240" s="4" t="n"/>
      <c r="B240" s="9">
        <f>IF(A240="","",INT((DAY(A240)-1)/7)+1)</f>
        <v/>
      </c>
      <c r="C240" s="9" t="n"/>
      <c r="D240" s="9" t="n"/>
      <c r="E240" s="9" t="n"/>
      <c r="F240" s="9" t="n"/>
      <c r="G240" s="9" t="n"/>
      <c r="H240" s="9" t="n"/>
      <c r="I240" s="9" t="n"/>
      <c r="J240" s="3" t="n"/>
      <c r="K240" s="9" t="n"/>
    </row>
    <row r="241">
      <c r="A241" s="4" t="n"/>
      <c r="B241" s="9">
        <f>IF(A241="","",INT((DAY(A241)-1)/7)+1)</f>
        <v/>
      </c>
      <c r="C241" s="9" t="n"/>
      <c r="D241" s="9" t="n"/>
      <c r="E241" s="9" t="n"/>
      <c r="F241" s="9" t="n"/>
      <c r="G241" s="9" t="n"/>
      <c r="H241" s="9" t="n"/>
      <c r="I241" s="9" t="n"/>
      <c r="J241" s="3" t="n"/>
      <c r="K241" s="9" t="n"/>
    </row>
    <row r="242">
      <c r="A242" s="4" t="n"/>
      <c r="B242" s="9">
        <f>IF(A242="","",INT((DAY(A242)-1)/7)+1)</f>
        <v/>
      </c>
      <c r="C242" s="9" t="n"/>
      <c r="D242" s="9" t="n"/>
      <c r="E242" s="9" t="n"/>
      <c r="F242" s="9" t="n"/>
      <c r="G242" s="9" t="n"/>
      <c r="H242" s="9" t="n"/>
      <c r="I242" s="9" t="n"/>
      <c r="J242" s="3" t="n"/>
      <c r="K242" s="9" t="n"/>
    </row>
    <row r="243">
      <c r="A243" s="4" t="n"/>
      <c r="B243" s="9">
        <f>IF(A243="","",INT((DAY(A243)-1)/7)+1)</f>
        <v/>
      </c>
      <c r="C243" s="9" t="n"/>
      <c r="D243" s="9" t="n"/>
      <c r="E243" s="9" t="n"/>
      <c r="F243" s="9" t="n"/>
      <c r="G243" s="9" t="n"/>
      <c r="H243" s="9" t="n"/>
      <c r="I243" s="9" t="n"/>
      <c r="J243" s="3" t="n"/>
      <c r="K243" s="9" t="n"/>
    </row>
    <row r="244">
      <c r="A244" s="4" t="n"/>
      <c r="B244" s="9">
        <f>IF(A244="","",INT((DAY(A244)-1)/7)+1)</f>
        <v/>
      </c>
      <c r="C244" s="9" t="n"/>
      <c r="D244" s="9" t="n"/>
      <c r="E244" s="9" t="n"/>
      <c r="F244" s="9" t="n"/>
      <c r="G244" s="9" t="n"/>
      <c r="H244" s="9" t="n"/>
      <c r="I244" s="9" t="n"/>
      <c r="J244" s="3" t="n"/>
      <c r="K244" s="9" t="n"/>
    </row>
    <row r="245">
      <c r="A245" s="4" t="n"/>
      <c r="B245" s="9">
        <f>IF(A245="","",INT((DAY(A245)-1)/7)+1)</f>
        <v/>
      </c>
      <c r="C245" s="9" t="n"/>
      <c r="D245" s="9" t="n"/>
      <c r="E245" s="9" t="n"/>
      <c r="F245" s="9" t="n"/>
      <c r="G245" s="9" t="n"/>
      <c r="H245" s="9" t="n"/>
      <c r="I245" s="9" t="n"/>
      <c r="J245" s="3" t="n"/>
      <c r="K245" s="9" t="n"/>
    </row>
    <row r="246">
      <c r="A246" s="4" t="n"/>
      <c r="B246" s="9">
        <f>IF(A246="","",INT((DAY(A246)-1)/7)+1)</f>
        <v/>
      </c>
      <c r="C246" s="9" t="n"/>
      <c r="D246" s="9" t="n"/>
      <c r="E246" s="9" t="n"/>
      <c r="F246" s="9" t="n"/>
      <c r="G246" s="9" t="n"/>
      <c r="H246" s="9" t="n"/>
      <c r="I246" s="9" t="n"/>
      <c r="J246" s="3" t="n"/>
      <c r="K246" s="9" t="n"/>
    </row>
    <row r="247">
      <c r="A247" s="4" t="n"/>
      <c r="B247" s="9">
        <f>IF(A247="","",INT((DAY(A247)-1)/7)+1)</f>
        <v/>
      </c>
      <c r="C247" s="9" t="n"/>
      <c r="D247" s="9" t="n"/>
      <c r="E247" s="9" t="n"/>
      <c r="F247" s="9" t="n"/>
      <c r="G247" s="9" t="n"/>
      <c r="H247" s="9" t="n"/>
      <c r="I247" s="9" t="n"/>
      <c r="J247" s="3" t="n"/>
      <c r="K247" s="9" t="n"/>
    </row>
    <row r="248">
      <c r="A248" s="4" t="n"/>
      <c r="B248" s="9">
        <f>IF(A248="","",INT((DAY(A248)-1)/7)+1)</f>
        <v/>
      </c>
      <c r="C248" s="9" t="n"/>
      <c r="D248" s="9" t="n"/>
      <c r="E248" s="9" t="n"/>
      <c r="F248" s="9" t="n"/>
      <c r="G248" s="9" t="n"/>
      <c r="H248" s="9" t="n"/>
      <c r="I248" s="9" t="n"/>
      <c r="J248" s="3" t="n"/>
      <c r="K248" s="9" t="n"/>
    </row>
    <row r="249">
      <c r="A249" s="4" t="n"/>
      <c r="B249" s="9">
        <f>IF(A249="","",INT((DAY(A249)-1)/7)+1)</f>
        <v/>
      </c>
      <c r="C249" s="9" t="n"/>
      <c r="D249" s="9" t="n"/>
      <c r="E249" s="9" t="n"/>
      <c r="F249" s="9" t="n"/>
      <c r="G249" s="9" t="n"/>
      <c r="H249" s="9" t="n"/>
      <c r="I249" s="9" t="n"/>
      <c r="J249" s="3" t="n"/>
      <c r="K249" s="9" t="n"/>
    </row>
    <row r="250">
      <c r="A250" s="4" t="n"/>
      <c r="B250" s="9">
        <f>IF(A250="","",INT((DAY(A250)-1)/7)+1)</f>
        <v/>
      </c>
      <c r="C250" s="9" t="n"/>
      <c r="D250" s="9" t="n"/>
      <c r="E250" s="9" t="n"/>
      <c r="F250" s="9" t="n"/>
      <c r="G250" s="9" t="n"/>
      <c r="H250" s="9" t="n"/>
      <c r="I250" s="9" t="n"/>
      <c r="J250" s="3" t="n"/>
      <c r="K250" s="9" t="n"/>
    </row>
    <row r="251">
      <c r="A251" s="4" t="n"/>
      <c r="B251" s="9">
        <f>IF(A251="","",INT((DAY(A251)-1)/7)+1)</f>
        <v/>
      </c>
      <c r="C251" s="9" t="n"/>
      <c r="D251" s="9" t="n"/>
      <c r="E251" s="9" t="n"/>
      <c r="F251" s="9" t="n"/>
      <c r="G251" s="9" t="n"/>
      <c r="H251" s="9" t="n"/>
      <c r="I251" s="9" t="n"/>
      <c r="J251" s="3" t="n"/>
      <c r="K251" s="9" t="n"/>
    </row>
    <row r="252">
      <c r="A252" s="4" t="n"/>
      <c r="B252" s="9">
        <f>IF(A252="","",INT((DAY(A252)-1)/7)+1)</f>
        <v/>
      </c>
      <c r="C252" s="9" t="n"/>
      <c r="D252" s="9" t="n"/>
      <c r="E252" s="9" t="n"/>
      <c r="F252" s="9" t="n"/>
      <c r="G252" s="9" t="n"/>
      <c r="H252" s="9" t="n"/>
      <c r="I252" s="9" t="n"/>
      <c r="J252" s="3" t="n"/>
      <c r="K252" s="9" t="n"/>
    </row>
    <row r="253">
      <c r="A253" s="4" t="n"/>
      <c r="B253" s="9">
        <f>IF(A253="","",INT((DAY(A253)-1)/7)+1)</f>
        <v/>
      </c>
      <c r="C253" s="9" t="n"/>
      <c r="D253" s="9" t="n"/>
      <c r="E253" s="9" t="n"/>
      <c r="F253" s="9" t="n"/>
      <c r="G253" s="9" t="n"/>
      <c r="H253" s="9" t="n"/>
      <c r="I253" s="9" t="n"/>
      <c r="J253" s="3" t="n"/>
      <c r="K253" s="9" t="n"/>
    </row>
    <row r="254">
      <c r="A254" s="4" t="n"/>
      <c r="B254" s="9">
        <f>IF(A254="","",INT((DAY(A254)-1)/7)+1)</f>
        <v/>
      </c>
      <c r="C254" s="9" t="n"/>
      <c r="D254" s="9" t="n"/>
      <c r="E254" s="9" t="n"/>
      <c r="F254" s="9" t="n"/>
      <c r="G254" s="9" t="n"/>
      <c r="H254" s="9" t="n"/>
      <c r="I254" s="9" t="n"/>
      <c r="J254" s="3" t="n"/>
      <c r="K254" s="9" t="n"/>
    </row>
    <row r="255">
      <c r="A255" s="4" t="n"/>
      <c r="B255" s="9">
        <f>IF(A255="","",INT((DAY(A255)-1)/7)+1)</f>
        <v/>
      </c>
      <c r="C255" s="9" t="n"/>
      <c r="D255" s="9" t="n"/>
      <c r="E255" s="9" t="n"/>
      <c r="F255" s="9" t="n"/>
      <c r="G255" s="9" t="n"/>
      <c r="H255" s="9" t="n"/>
      <c r="I255" s="9" t="n"/>
      <c r="J255" s="3" t="n"/>
      <c r="K255" s="9" t="n"/>
    </row>
    <row r="256">
      <c r="A256" s="4" t="n"/>
      <c r="B256" s="9">
        <f>IF(A256="","",INT((DAY(A256)-1)/7)+1)</f>
        <v/>
      </c>
      <c r="C256" s="9" t="n"/>
      <c r="D256" s="9" t="n"/>
      <c r="E256" s="9" t="n"/>
      <c r="F256" s="9" t="n"/>
      <c r="G256" s="9" t="n"/>
      <c r="H256" s="9" t="n"/>
      <c r="I256" s="9" t="n"/>
      <c r="J256" s="3" t="n"/>
      <c r="K256" s="9" t="n"/>
    </row>
    <row r="257">
      <c r="A257" s="4" t="n"/>
      <c r="B257" s="9">
        <f>IF(A257="","",INT((DAY(A257)-1)/7)+1)</f>
        <v/>
      </c>
      <c r="C257" s="9" t="n"/>
      <c r="D257" s="9" t="n"/>
      <c r="E257" s="9" t="n"/>
      <c r="F257" s="9" t="n"/>
      <c r="G257" s="9" t="n"/>
      <c r="H257" s="9" t="n"/>
      <c r="I257" s="9" t="n"/>
      <c r="J257" s="3" t="n"/>
      <c r="K257" s="9" t="n"/>
    </row>
    <row r="258">
      <c r="A258" s="4" t="n"/>
      <c r="B258" s="9">
        <f>IF(A258="","",INT((DAY(A258)-1)/7)+1)</f>
        <v/>
      </c>
      <c r="C258" s="9" t="n"/>
      <c r="D258" s="9" t="n"/>
      <c r="E258" s="9" t="n"/>
      <c r="F258" s="9" t="n"/>
      <c r="G258" s="9" t="n"/>
      <c r="H258" s="9" t="n"/>
      <c r="I258" s="9" t="n"/>
      <c r="J258" s="3" t="n"/>
      <c r="K258" s="9" t="n"/>
    </row>
    <row r="259">
      <c r="A259" s="4" t="n"/>
      <c r="B259" s="9">
        <f>IF(A259="","",INT((DAY(A259)-1)/7)+1)</f>
        <v/>
      </c>
      <c r="C259" s="9" t="n"/>
      <c r="D259" s="9" t="n"/>
      <c r="E259" s="9" t="n"/>
      <c r="F259" s="9" t="n"/>
      <c r="G259" s="9" t="n"/>
      <c r="H259" s="9" t="n"/>
      <c r="I259" s="9" t="n"/>
      <c r="J259" s="3" t="n"/>
      <c r="K259" s="9" t="n"/>
    </row>
    <row r="260">
      <c r="A260" s="4" t="n"/>
      <c r="B260" s="9">
        <f>IF(A260="","",INT((DAY(A260)-1)/7)+1)</f>
        <v/>
      </c>
      <c r="C260" s="9" t="n"/>
      <c r="D260" s="9" t="n"/>
      <c r="E260" s="9" t="n"/>
      <c r="F260" s="9" t="n"/>
      <c r="G260" s="9" t="n"/>
      <c r="H260" s="9" t="n"/>
      <c r="I260" s="9" t="n"/>
      <c r="J260" s="3" t="n"/>
      <c r="K260" s="9" t="n"/>
    </row>
    <row r="261">
      <c r="A261" s="4" t="n"/>
      <c r="B261" s="9">
        <f>IF(A261="","",INT((DAY(A261)-1)/7)+1)</f>
        <v/>
      </c>
      <c r="C261" s="9" t="n"/>
      <c r="D261" s="9" t="n"/>
      <c r="E261" s="9" t="n"/>
      <c r="F261" s="9" t="n"/>
      <c r="G261" s="9" t="n"/>
      <c r="H261" s="9" t="n"/>
      <c r="I261" s="9" t="n"/>
      <c r="J261" s="3" t="n"/>
      <c r="K261" s="9" t="n"/>
    </row>
    <row r="262">
      <c r="A262" s="4" t="n"/>
      <c r="B262" s="9">
        <f>IF(A262="","",INT((DAY(A262)-1)/7)+1)</f>
        <v/>
      </c>
      <c r="C262" s="9" t="n"/>
      <c r="D262" s="9" t="n"/>
      <c r="E262" s="9" t="n"/>
      <c r="F262" s="9" t="n"/>
      <c r="G262" s="9" t="n"/>
      <c r="H262" s="9" t="n"/>
      <c r="I262" s="9" t="n"/>
      <c r="J262" s="3" t="n"/>
      <c r="K262" s="9" t="n"/>
    </row>
    <row r="263">
      <c r="A263" s="4" t="n"/>
      <c r="B263" s="9">
        <f>IF(A263="","",INT((DAY(A263)-1)/7)+1)</f>
        <v/>
      </c>
      <c r="C263" s="9" t="n"/>
      <c r="D263" s="9" t="n"/>
      <c r="E263" s="9" t="n"/>
      <c r="F263" s="9" t="n"/>
      <c r="G263" s="9" t="n"/>
      <c r="H263" s="9" t="n"/>
      <c r="I263" s="9" t="n"/>
      <c r="J263" s="3" t="n"/>
      <c r="K263" s="9" t="n"/>
    </row>
    <row r="264">
      <c r="A264" s="4" t="n"/>
      <c r="B264" s="9">
        <f>IF(A264="","",INT((DAY(A264)-1)/7)+1)</f>
        <v/>
      </c>
      <c r="C264" s="9" t="n"/>
      <c r="D264" s="9" t="n"/>
      <c r="E264" s="9" t="n"/>
      <c r="F264" s="9" t="n"/>
      <c r="G264" s="9" t="n"/>
      <c r="H264" s="9" t="n"/>
      <c r="I264" s="9" t="n"/>
      <c r="J264" s="3" t="n"/>
      <c r="K264" s="9" t="n"/>
    </row>
    <row r="265">
      <c r="A265" s="4" t="n"/>
      <c r="B265" s="9">
        <f>IF(A265="","",INT((DAY(A265)-1)/7)+1)</f>
        <v/>
      </c>
      <c r="C265" s="9" t="n"/>
      <c r="D265" s="9" t="n"/>
      <c r="E265" s="9" t="n"/>
      <c r="F265" s="9" t="n"/>
      <c r="G265" s="9" t="n"/>
      <c r="H265" s="9" t="n"/>
      <c r="I265" s="9" t="n"/>
      <c r="J265" s="3" t="n"/>
      <c r="K265" s="9" t="n"/>
    </row>
    <row r="266">
      <c r="A266" s="4" t="n"/>
      <c r="B266" s="9">
        <f>IF(A266="","",INT((DAY(A266)-1)/7)+1)</f>
        <v/>
      </c>
      <c r="C266" s="9" t="n"/>
      <c r="D266" s="9" t="n"/>
      <c r="E266" s="9" t="n"/>
      <c r="F266" s="9" t="n"/>
      <c r="G266" s="9" t="n"/>
      <c r="H266" s="9" t="n"/>
      <c r="I266" s="9" t="n"/>
      <c r="J266" s="3" t="n"/>
      <c r="K266" s="9" t="n"/>
    </row>
    <row r="267">
      <c r="A267" s="4" t="n"/>
      <c r="B267" s="9">
        <f>IF(A267="","",INT((DAY(A267)-1)/7)+1)</f>
        <v/>
      </c>
      <c r="C267" s="9" t="n"/>
      <c r="D267" s="9" t="n"/>
      <c r="E267" s="9" t="n"/>
      <c r="F267" s="9" t="n"/>
      <c r="G267" s="9" t="n"/>
      <c r="H267" s="9" t="n"/>
      <c r="I267" s="9" t="n"/>
      <c r="J267" s="3" t="n"/>
      <c r="K267" s="9" t="n"/>
    </row>
    <row r="268">
      <c r="A268" s="4" t="n"/>
      <c r="B268" s="9">
        <f>IF(A268="","",INT((DAY(A268)-1)/7)+1)</f>
        <v/>
      </c>
      <c r="C268" s="9" t="n"/>
      <c r="D268" s="9" t="n"/>
      <c r="E268" s="9" t="n"/>
      <c r="F268" s="9" t="n"/>
      <c r="G268" s="9" t="n"/>
      <c r="H268" s="9" t="n"/>
      <c r="I268" s="9" t="n"/>
      <c r="J268" s="3" t="n"/>
      <c r="K268" s="9" t="n"/>
    </row>
    <row r="269">
      <c r="A269" s="4" t="n"/>
      <c r="B269" s="9">
        <f>IF(A269="","",INT((DAY(A269)-1)/7)+1)</f>
        <v/>
      </c>
      <c r="C269" s="9" t="n"/>
      <c r="D269" s="9" t="n"/>
      <c r="E269" s="9" t="n"/>
      <c r="F269" s="9" t="n"/>
      <c r="G269" s="9" t="n"/>
      <c r="H269" s="9" t="n"/>
      <c r="I269" s="9" t="n"/>
      <c r="J269" s="3" t="n"/>
      <c r="K269" s="9" t="n"/>
    </row>
    <row r="270">
      <c r="A270" s="4" t="n"/>
      <c r="B270" s="9">
        <f>IF(A270="","",INT((DAY(A270)-1)/7)+1)</f>
        <v/>
      </c>
      <c r="C270" s="9" t="n"/>
      <c r="D270" s="9" t="n"/>
      <c r="E270" s="9" t="n"/>
      <c r="F270" s="9" t="n"/>
      <c r="G270" s="9" t="n"/>
      <c r="H270" s="9" t="n"/>
      <c r="I270" s="9" t="n"/>
      <c r="J270" s="3" t="n"/>
      <c r="K270" s="9" t="n"/>
    </row>
    <row r="271">
      <c r="A271" s="4" t="n"/>
      <c r="B271" s="9">
        <f>IF(A271="","",INT((DAY(A271)-1)/7)+1)</f>
        <v/>
      </c>
      <c r="C271" s="9" t="n"/>
      <c r="D271" s="9" t="n"/>
      <c r="E271" s="9" t="n"/>
      <c r="F271" s="9" t="n"/>
      <c r="G271" s="9" t="n"/>
      <c r="H271" s="9" t="n"/>
      <c r="I271" s="9" t="n"/>
      <c r="J271" s="3" t="n"/>
      <c r="K271" s="9" t="n"/>
    </row>
    <row r="272">
      <c r="A272" s="4" t="n"/>
      <c r="B272" s="9">
        <f>IF(A272="","",INT((DAY(A272)-1)/7)+1)</f>
        <v/>
      </c>
      <c r="C272" s="9" t="n"/>
      <c r="D272" s="9" t="n"/>
      <c r="E272" s="9" t="n"/>
      <c r="F272" s="9" t="n"/>
      <c r="G272" s="9" t="n"/>
      <c r="H272" s="9" t="n"/>
      <c r="I272" s="9" t="n"/>
      <c r="J272" s="3" t="n"/>
      <c r="K272" s="9" t="n"/>
    </row>
    <row r="273">
      <c r="A273" s="4" t="n"/>
      <c r="B273" s="9">
        <f>IF(A273="","",INT((DAY(A273)-1)/7)+1)</f>
        <v/>
      </c>
      <c r="C273" s="9" t="n"/>
      <c r="D273" s="9" t="n"/>
      <c r="E273" s="9" t="n"/>
      <c r="F273" s="9" t="n"/>
      <c r="G273" s="9" t="n"/>
      <c r="H273" s="9" t="n"/>
      <c r="I273" s="9" t="n"/>
      <c r="J273" s="3" t="n"/>
      <c r="K273" s="9" t="n"/>
    </row>
    <row r="274">
      <c r="A274" s="4" t="n"/>
      <c r="B274" s="9">
        <f>IF(A274="","",INT((DAY(A274)-1)/7)+1)</f>
        <v/>
      </c>
      <c r="C274" s="9" t="n"/>
      <c r="D274" s="9" t="n"/>
      <c r="E274" s="9" t="n"/>
      <c r="F274" s="9" t="n"/>
      <c r="G274" s="9" t="n"/>
      <c r="H274" s="9" t="n"/>
      <c r="I274" s="9" t="n"/>
      <c r="J274" s="3" t="n"/>
      <c r="K274" s="9" t="n"/>
    </row>
    <row r="275">
      <c r="A275" s="4" t="n"/>
      <c r="B275" s="9">
        <f>IF(A275="","",INT((DAY(A275)-1)/7)+1)</f>
        <v/>
      </c>
      <c r="C275" s="9" t="n"/>
      <c r="D275" s="9" t="n"/>
      <c r="E275" s="9" t="n"/>
      <c r="F275" s="9" t="n"/>
      <c r="G275" s="9" t="n"/>
      <c r="H275" s="9" t="n"/>
      <c r="I275" s="9" t="n"/>
      <c r="J275" s="3" t="n"/>
      <c r="K275" s="9" t="n"/>
    </row>
    <row r="276">
      <c r="A276" s="4" t="n"/>
      <c r="B276" s="9">
        <f>IF(A276="","",INT((DAY(A276)-1)/7)+1)</f>
        <v/>
      </c>
      <c r="C276" s="9" t="n"/>
      <c r="D276" s="9" t="n"/>
      <c r="E276" s="9" t="n"/>
      <c r="F276" s="9" t="n"/>
      <c r="G276" s="9" t="n"/>
      <c r="H276" s="9" t="n"/>
      <c r="I276" s="9" t="n"/>
      <c r="J276" s="3" t="n"/>
      <c r="K276" s="9" t="n"/>
    </row>
    <row r="277">
      <c r="A277" s="4" t="n"/>
      <c r="B277" s="9">
        <f>IF(A277="","",INT((DAY(A277)-1)/7)+1)</f>
        <v/>
      </c>
      <c r="C277" s="9" t="n"/>
      <c r="D277" s="9" t="n"/>
      <c r="E277" s="9" t="n"/>
      <c r="F277" s="9" t="n"/>
      <c r="G277" s="9" t="n"/>
      <c r="H277" s="9" t="n"/>
      <c r="I277" s="9" t="n"/>
      <c r="J277" s="3" t="n"/>
      <c r="K277" s="9" t="n"/>
    </row>
    <row r="278">
      <c r="A278" s="4" t="n"/>
      <c r="B278" s="9">
        <f>IF(A278="","",INT((DAY(A278)-1)/7)+1)</f>
        <v/>
      </c>
      <c r="C278" s="9" t="n"/>
      <c r="D278" s="9" t="n"/>
      <c r="E278" s="9" t="n"/>
      <c r="F278" s="9" t="n"/>
      <c r="G278" s="9" t="n"/>
      <c r="H278" s="9" t="n"/>
      <c r="I278" s="9" t="n"/>
      <c r="J278" s="3" t="n"/>
      <c r="K278" s="9" t="n"/>
    </row>
    <row r="279">
      <c r="A279" s="4" t="n"/>
      <c r="B279" s="9">
        <f>IF(A279="","",INT((DAY(A279)-1)/7)+1)</f>
        <v/>
      </c>
      <c r="C279" s="9" t="n"/>
      <c r="D279" s="9" t="n"/>
      <c r="E279" s="9" t="n"/>
      <c r="F279" s="9" t="n"/>
      <c r="G279" s="9" t="n"/>
      <c r="H279" s="9" t="n"/>
      <c r="I279" s="9" t="n"/>
      <c r="J279" s="3" t="n"/>
      <c r="K279" s="9" t="n"/>
    </row>
    <row r="280">
      <c r="A280" s="4" t="n"/>
      <c r="B280" s="9">
        <f>IF(A280="","",INT((DAY(A280)-1)/7)+1)</f>
        <v/>
      </c>
      <c r="C280" s="9" t="n"/>
      <c r="D280" s="9" t="n"/>
      <c r="E280" s="9" t="n"/>
      <c r="F280" s="9" t="n"/>
      <c r="G280" s="9" t="n"/>
      <c r="H280" s="9" t="n"/>
      <c r="I280" s="9" t="n"/>
      <c r="J280" s="3" t="n"/>
      <c r="K280" s="9" t="n"/>
    </row>
    <row r="281">
      <c r="A281" s="4" t="n"/>
      <c r="B281" s="9">
        <f>IF(A281="","",INT((DAY(A281)-1)/7)+1)</f>
        <v/>
      </c>
      <c r="C281" s="9" t="n"/>
      <c r="D281" s="9" t="n"/>
      <c r="E281" s="9" t="n"/>
      <c r="F281" s="9" t="n"/>
      <c r="G281" s="9" t="n"/>
      <c r="H281" s="9" t="n"/>
      <c r="I281" s="9" t="n"/>
      <c r="J281" s="3" t="n"/>
      <c r="K281" s="9" t="n"/>
    </row>
    <row r="282">
      <c r="A282" s="4" t="n"/>
      <c r="B282" s="9">
        <f>IF(A282="","",INT((DAY(A282)-1)/7)+1)</f>
        <v/>
      </c>
      <c r="C282" s="9" t="n"/>
      <c r="D282" s="9" t="n"/>
      <c r="E282" s="9" t="n"/>
      <c r="F282" s="9" t="n"/>
      <c r="G282" s="9" t="n"/>
      <c r="H282" s="9" t="n"/>
      <c r="I282" s="9" t="n"/>
      <c r="J282" s="3" t="n"/>
      <c r="K282" s="9" t="n"/>
    </row>
    <row r="283">
      <c r="A283" s="4" t="n"/>
      <c r="B283" s="9">
        <f>IF(A283="","",INT((DAY(A283)-1)/7)+1)</f>
        <v/>
      </c>
      <c r="C283" s="9" t="n"/>
      <c r="D283" s="9" t="n"/>
      <c r="E283" s="9" t="n"/>
      <c r="F283" s="9" t="n"/>
      <c r="G283" s="9" t="n"/>
      <c r="H283" s="9" t="n"/>
      <c r="I283" s="9" t="n"/>
      <c r="J283" s="3" t="n"/>
      <c r="K283" s="9" t="n"/>
    </row>
    <row r="284">
      <c r="A284" s="4" t="n"/>
      <c r="B284" s="9">
        <f>IF(A284="","",INT((DAY(A284)-1)/7)+1)</f>
        <v/>
      </c>
      <c r="C284" s="9" t="n"/>
      <c r="D284" s="9" t="n"/>
      <c r="E284" s="9" t="n"/>
      <c r="F284" s="9" t="n"/>
      <c r="G284" s="9" t="n"/>
      <c r="H284" s="9" t="n"/>
      <c r="I284" s="9" t="n"/>
      <c r="J284" s="3" t="n"/>
      <c r="K284" s="9" t="n"/>
    </row>
    <row r="285">
      <c r="A285" s="4" t="n"/>
      <c r="B285" s="9">
        <f>IF(A285="","",INT((DAY(A285)-1)/7)+1)</f>
        <v/>
      </c>
      <c r="C285" s="9" t="n"/>
      <c r="D285" s="9" t="n"/>
      <c r="E285" s="9" t="n"/>
      <c r="F285" s="9" t="n"/>
      <c r="G285" s="9" t="n"/>
      <c r="H285" s="9" t="n"/>
      <c r="I285" s="9" t="n"/>
      <c r="J285" s="3" t="n"/>
      <c r="K285" s="9" t="n"/>
    </row>
    <row r="286">
      <c r="A286" s="4" t="n"/>
      <c r="B286" s="9">
        <f>IF(A286="","",INT((DAY(A286)-1)/7)+1)</f>
        <v/>
      </c>
      <c r="C286" s="9" t="n"/>
      <c r="D286" s="9" t="n"/>
      <c r="E286" s="9" t="n"/>
      <c r="F286" s="9" t="n"/>
      <c r="G286" s="9" t="n"/>
      <c r="H286" s="9" t="n"/>
      <c r="I286" s="9" t="n"/>
      <c r="J286" s="3" t="n"/>
      <c r="K286" s="9" t="n"/>
    </row>
    <row r="287">
      <c r="A287" s="4" t="n"/>
      <c r="B287" s="9">
        <f>IF(A287="","",INT((DAY(A287)-1)/7)+1)</f>
        <v/>
      </c>
      <c r="C287" s="9" t="n"/>
      <c r="D287" s="9" t="n"/>
      <c r="E287" s="9" t="n"/>
      <c r="F287" s="9" t="n"/>
      <c r="G287" s="9" t="n"/>
      <c r="H287" s="9" t="n"/>
      <c r="I287" s="9" t="n"/>
      <c r="J287" s="3" t="n"/>
      <c r="K287" s="9" t="n"/>
    </row>
    <row r="288">
      <c r="A288" s="4" t="n"/>
      <c r="B288" s="9">
        <f>IF(A288="","",INT((DAY(A288)-1)/7)+1)</f>
        <v/>
      </c>
      <c r="C288" s="9" t="n"/>
      <c r="D288" s="9" t="n"/>
      <c r="E288" s="9" t="n"/>
      <c r="F288" s="9" t="n"/>
      <c r="G288" s="9" t="n"/>
      <c r="H288" s="9" t="n"/>
      <c r="I288" s="9" t="n"/>
      <c r="J288" s="3" t="n"/>
      <c r="K288" s="9" t="n"/>
    </row>
    <row r="289">
      <c r="A289" s="4" t="n"/>
      <c r="B289" s="9">
        <f>IF(A289="","",INT((DAY(A289)-1)/7)+1)</f>
        <v/>
      </c>
      <c r="C289" s="9" t="n"/>
      <c r="D289" s="9" t="n"/>
      <c r="E289" s="9" t="n"/>
      <c r="F289" s="9" t="n"/>
      <c r="G289" s="9" t="n"/>
      <c r="H289" s="9" t="n"/>
      <c r="I289" s="9" t="n"/>
      <c r="J289" s="3" t="n"/>
      <c r="K289" s="9" t="n"/>
    </row>
    <row r="290">
      <c r="A290" s="4" t="n"/>
      <c r="B290" s="9">
        <f>IF(A290="","",INT((DAY(A290)-1)/7)+1)</f>
        <v/>
      </c>
      <c r="C290" s="9" t="n"/>
      <c r="D290" s="9" t="n"/>
      <c r="E290" s="9" t="n"/>
      <c r="F290" s="9" t="n"/>
      <c r="G290" s="9" t="n"/>
      <c r="H290" s="9" t="n"/>
      <c r="I290" s="9" t="n"/>
      <c r="J290" s="3" t="n"/>
      <c r="K290" s="9" t="n"/>
    </row>
    <row r="291">
      <c r="A291" s="4" t="n"/>
      <c r="B291" s="9">
        <f>IF(A291="","",INT((DAY(A291)-1)/7)+1)</f>
        <v/>
      </c>
      <c r="C291" s="9" t="n"/>
      <c r="D291" s="9" t="n"/>
      <c r="E291" s="9" t="n"/>
      <c r="F291" s="9" t="n"/>
      <c r="G291" s="9" t="n"/>
      <c r="H291" s="9" t="n"/>
      <c r="I291" s="9" t="n"/>
      <c r="J291" s="3" t="n"/>
      <c r="K291" s="9" t="n"/>
    </row>
    <row r="292">
      <c r="A292" s="4" t="n"/>
      <c r="B292" s="9">
        <f>IF(A292="","",INT((DAY(A292)-1)/7)+1)</f>
        <v/>
      </c>
      <c r="C292" s="9" t="n"/>
      <c r="D292" s="9" t="n"/>
      <c r="E292" s="9" t="n"/>
      <c r="F292" s="9" t="n"/>
      <c r="G292" s="9" t="n"/>
      <c r="H292" s="9" t="n"/>
      <c r="I292" s="9" t="n"/>
      <c r="J292" s="3" t="n"/>
      <c r="K292" s="9" t="n"/>
    </row>
    <row r="293">
      <c r="A293" s="4" t="n"/>
      <c r="B293" s="9">
        <f>IF(A293="","",INT((DAY(A293)-1)/7)+1)</f>
        <v/>
      </c>
      <c r="C293" s="9" t="n"/>
      <c r="D293" s="9" t="n"/>
      <c r="E293" s="9" t="n"/>
      <c r="F293" s="9" t="n"/>
      <c r="G293" s="9" t="n"/>
      <c r="H293" s="9" t="n"/>
      <c r="I293" s="9" t="n"/>
      <c r="J293" s="3" t="n"/>
      <c r="K293" s="9" t="n"/>
    </row>
    <row r="294">
      <c r="A294" s="4" t="n"/>
      <c r="B294" s="9">
        <f>IF(A294="","",INT((DAY(A294)-1)/7)+1)</f>
        <v/>
      </c>
      <c r="C294" s="9" t="n"/>
      <c r="D294" s="9" t="n"/>
      <c r="E294" s="9" t="n"/>
      <c r="F294" s="9" t="n"/>
      <c r="G294" s="9" t="n"/>
      <c r="H294" s="9" t="n"/>
      <c r="I294" s="9" t="n"/>
      <c r="J294" s="3" t="n"/>
      <c r="K294" s="9" t="n"/>
    </row>
    <row r="295">
      <c r="A295" s="4" t="n"/>
      <c r="B295" s="9">
        <f>IF(A295="","",INT((DAY(A295)-1)/7)+1)</f>
        <v/>
      </c>
      <c r="C295" s="9" t="n"/>
      <c r="D295" s="9" t="n"/>
      <c r="E295" s="9" t="n"/>
      <c r="F295" s="9" t="n"/>
      <c r="G295" s="9" t="n"/>
      <c r="H295" s="9" t="n"/>
      <c r="I295" s="9" t="n"/>
      <c r="J295" s="3" t="n"/>
      <c r="K295" s="9" t="n"/>
    </row>
    <row r="296">
      <c r="A296" s="4" t="n"/>
      <c r="B296" s="9">
        <f>IF(A296="","",INT((DAY(A296)-1)/7)+1)</f>
        <v/>
      </c>
      <c r="C296" s="9" t="n"/>
      <c r="D296" s="9" t="n"/>
      <c r="E296" s="9" t="n"/>
      <c r="F296" s="9" t="n"/>
      <c r="G296" s="9" t="n"/>
      <c r="H296" s="9" t="n"/>
      <c r="I296" s="9" t="n"/>
      <c r="J296" s="3" t="n"/>
      <c r="K296" s="9" t="n"/>
    </row>
    <row r="297">
      <c r="A297" s="4" t="n"/>
      <c r="B297" s="9">
        <f>IF(A297="","",INT((DAY(A297)-1)/7)+1)</f>
        <v/>
      </c>
      <c r="C297" s="9" t="n"/>
      <c r="D297" s="9" t="n"/>
      <c r="E297" s="9" t="n"/>
      <c r="F297" s="9" t="n"/>
      <c r="G297" s="9" t="n"/>
      <c r="H297" s="9" t="n"/>
      <c r="I297" s="9" t="n"/>
      <c r="J297" s="3" t="n"/>
      <c r="K297" s="9" t="n"/>
    </row>
    <row r="298">
      <c r="A298" s="4" t="n"/>
      <c r="B298" s="9">
        <f>IF(A298="","",INT((DAY(A298)-1)/7)+1)</f>
        <v/>
      </c>
      <c r="C298" s="9" t="n"/>
      <c r="D298" s="9" t="n"/>
      <c r="E298" s="9" t="n"/>
      <c r="F298" s="9" t="n"/>
      <c r="G298" s="9" t="n"/>
      <c r="H298" s="9" t="n"/>
      <c r="I298" s="9" t="n"/>
      <c r="J298" s="3" t="n"/>
      <c r="K298" s="9" t="n"/>
    </row>
    <row r="299">
      <c r="A299" s="4" t="n"/>
      <c r="B299" s="9">
        <f>IF(A299="","",INT((DAY(A299)-1)/7)+1)</f>
        <v/>
      </c>
      <c r="C299" s="9" t="n"/>
      <c r="D299" s="9" t="n"/>
      <c r="E299" s="9" t="n"/>
      <c r="F299" s="9" t="n"/>
      <c r="G299" s="9" t="n"/>
      <c r="H299" s="9" t="n"/>
      <c r="I299" s="9" t="n"/>
      <c r="J299" s="3" t="n"/>
      <c r="K299" s="9" t="n"/>
    </row>
    <row r="300">
      <c r="A300" s="4" t="n"/>
      <c r="B300" s="9">
        <f>IF(A300="","",INT((DAY(A300)-1)/7)+1)</f>
        <v/>
      </c>
      <c r="C300" s="9" t="n"/>
      <c r="D300" s="9" t="n"/>
      <c r="E300" s="9" t="n"/>
      <c r="F300" s="9" t="n"/>
      <c r="G300" s="9" t="n"/>
      <c r="H300" s="9" t="n"/>
      <c r="I300" s="9" t="n"/>
      <c r="J300" s="3" t="n"/>
      <c r="K300" s="9" t="n"/>
    </row>
    <row r="301">
      <c r="A301" s="4" t="n"/>
      <c r="B301" s="9">
        <f>IF(A301="","",INT((DAY(A301)-1)/7)+1)</f>
        <v/>
      </c>
      <c r="C301" s="9" t="n"/>
      <c r="D301" s="9" t="n"/>
      <c r="E301" s="9" t="n"/>
      <c r="F301" s="9" t="n"/>
      <c r="G301" s="9" t="n"/>
      <c r="H301" s="9" t="n"/>
      <c r="I301" s="9" t="n"/>
      <c r="J301" s="3" t="n"/>
      <c r="K301" s="9" t="n"/>
    </row>
    <row r="302">
      <c r="A302" s="4" t="n"/>
      <c r="B302" s="9">
        <f>IF(A302="","",INT((DAY(A302)-1)/7)+1)</f>
        <v/>
      </c>
      <c r="C302" s="9" t="n"/>
      <c r="D302" s="9" t="n"/>
      <c r="E302" s="9" t="n"/>
      <c r="F302" s="9" t="n"/>
      <c r="G302" s="9" t="n"/>
      <c r="H302" s="9" t="n"/>
      <c r="I302" s="9" t="n"/>
      <c r="J302" s="3" t="n"/>
      <c r="K302" s="9" t="n"/>
    </row>
    <row r="303">
      <c r="A303" s="4" t="n"/>
      <c r="B303" s="9">
        <f>IF(A303="","",INT((DAY(A303)-1)/7)+1)</f>
        <v/>
      </c>
      <c r="C303" s="9" t="n"/>
      <c r="D303" s="9" t="n"/>
      <c r="E303" s="9" t="n"/>
      <c r="F303" s="9" t="n"/>
      <c r="G303" s="9" t="n"/>
      <c r="H303" s="9" t="n"/>
      <c r="I303" s="9" t="n"/>
      <c r="J303" s="3" t="n"/>
      <c r="K303" s="9" t="n"/>
    </row>
    <row r="304">
      <c r="A304" s="4" t="n"/>
      <c r="B304" s="9">
        <f>IF(A304="","",INT((DAY(A304)-1)/7)+1)</f>
        <v/>
      </c>
      <c r="C304" s="9" t="n"/>
      <c r="D304" s="9" t="n"/>
      <c r="E304" s="9" t="n"/>
      <c r="F304" s="9" t="n"/>
      <c r="G304" s="9" t="n"/>
      <c r="H304" s="9" t="n"/>
      <c r="I304" s="9" t="n"/>
      <c r="J304" s="3" t="n"/>
      <c r="K304" s="9" t="n"/>
    </row>
    <row r="305">
      <c r="A305" s="4" t="n"/>
      <c r="B305" s="9">
        <f>IF(A305="","",INT((DAY(A305)-1)/7)+1)</f>
        <v/>
      </c>
      <c r="C305" s="9" t="n"/>
      <c r="D305" s="9" t="n"/>
      <c r="E305" s="9" t="n"/>
      <c r="F305" s="9" t="n"/>
      <c r="G305" s="9" t="n"/>
      <c r="H305" s="9" t="n"/>
      <c r="I305" s="9" t="n"/>
      <c r="J305" s="3" t="n"/>
      <c r="K305" s="9" t="n"/>
    </row>
    <row r="306">
      <c r="A306" s="4" t="n"/>
      <c r="B306" s="9">
        <f>IF(A306="","",INT((DAY(A306)-1)/7)+1)</f>
        <v/>
      </c>
      <c r="C306" s="9" t="n"/>
      <c r="D306" s="9" t="n"/>
      <c r="E306" s="9" t="n"/>
      <c r="F306" s="9" t="n"/>
      <c r="G306" s="9" t="n"/>
      <c r="H306" s="9" t="n"/>
      <c r="I306" s="9" t="n"/>
      <c r="J306" s="3" t="n"/>
      <c r="K306" s="9" t="n"/>
    </row>
    <row r="307">
      <c r="A307" s="4" t="n"/>
      <c r="B307" s="9">
        <f>IF(A307="","",INT((DAY(A307)-1)/7)+1)</f>
        <v/>
      </c>
      <c r="C307" s="9" t="n"/>
      <c r="D307" s="9" t="n"/>
      <c r="E307" s="9" t="n"/>
      <c r="F307" s="9" t="n"/>
      <c r="G307" s="9" t="n"/>
      <c r="H307" s="9" t="n"/>
      <c r="I307" s="9" t="n"/>
      <c r="J307" s="3" t="n"/>
      <c r="K307" s="9" t="n"/>
    </row>
    <row r="308">
      <c r="A308" s="4" t="n"/>
      <c r="B308" s="9">
        <f>IF(A308="","",INT((DAY(A308)-1)/7)+1)</f>
        <v/>
      </c>
      <c r="C308" s="9" t="n"/>
      <c r="D308" s="9" t="n"/>
      <c r="E308" s="9" t="n"/>
      <c r="F308" s="9" t="n"/>
      <c r="G308" s="9" t="n"/>
      <c r="H308" s="9" t="n"/>
      <c r="I308" s="9" t="n"/>
      <c r="J308" s="3" t="n"/>
      <c r="K308" s="9" t="n"/>
    </row>
    <row r="309">
      <c r="A309" s="4" t="n"/>
      <c r="B309" s="9">
        <f>IF(A309="","",INT((DAY(A309)-1)/7)+1)</f>
        <v/>
      </c>
      <c r="C309" s="9" t="n"/>
      <c r="D309" s="9" t="n"/>
      <c r="E309" s="9" t="n"/>
      <c r="F309" s="9" t="n"/>
      <c r="G309" s="9" t="n"/>
      <c r="H309" s="9" t="n"/>
      <c r="I309" s="9" t="n"/>
      <c r="J309" s="3" t="n"/>
      <c r="K309" s="9" t="n"/>
    </row>
    <row r="310">
      <c r="A310" s="4" t="n"/>
      <c r="B310" s="9">
        <f>IF(A310="","",INT((DAY(A310)-1)/7)+1)</f>
        <v/>
      </c>
      <c r="C310" s="9" t="n"/>
      <c r="D310" s="9" t="n"/>
      <c r="E310" s="9" t="n"/>
      <c r="F310" s="9" t="n"/>
      <c r="G310" s="9" t="n"/>
      <c r="H310" s="9" t="n"/>
      <c r="I310" s="9" t="n"/>
      <c r="J310" s="3" t="n"/>
      <c r="K310" s="9" t="n"/>
    </row>
    <row r="311">
      <c r="A311" s="4" t="n"/>
      <c r="B311" s="9">
        <f>IF(A311="","",INT((DAY(A311)-1)/7)+1)</f>
        <v/>
      </c>
      <c r="C311" s="9" t="n"/>
      <c r="D311" s="9" t="n"/>
      <c r="E311" s="9" t="n"/>
      <c r="F311" s="9" t="n"/>
      <c r="G311" s="9" t="n"/>
      <c r="H311" s="9" t="n"/>
      <c r="I311" s="9" t="n"/>
      <c r="J311" s="3" t="n"/>
      <c r="K311" s="9" t="n"/>
    </row>
    <row r="312">
      <c r="A312" s="4" t="n"/>
      <c r="B312" s="9">
        <f>IF(A312="","",INT((DAY(A312)-1)/7)+1)</f>
        <v/>
      </c>
      <c r="C312" s="9" t="n"/>
      <c r="D312" s="9" t="n"/>
      <c r="E312" s="9" t="n"/>
      <c r="F312" s="9" t="n"/>
      <c r="G312" s="9" t="n"/>
      <c r="H312" s="9" t="n"/>
      <c r="I312" s="9" t="n"/>
      <c r="J312" s="3" t="n"/>
      <c r="K312" s="9" t="n"/>
    </row>
    <row r="313">
      <c r="A313" s="4" t="n"/>
      <c r="B313" s="9">
        <f>IF(A313="","",INT((DAY(A313)-1)/7)+1)</f>
        <v/>
      </c>
      <c r="C313" s="9" t="n"/>
      <c r="D313" s="9" t="n"/>
      <c r="E313" s="9" t="n"/>
      <c r="F313" s="9" t="n"/>
      <c r="G313" s="9" t="n"/>
      <c r="H313" s="9" t="n"/>
      <c r="I313" s="9" t="n"/>
      <c r="J313" s="3" t="n"/>
      <c r="K313" s="9" t="n"/>
    </row>
    <row r="314">
      <c r="A314" s="4" t="n"/>
      <c r="B314" s="9">
        <f>IF(A314="","",INT((DAY(A314)-1)/7)+1)</f>
        <v/>
      </c>
      <c r="C314" s="9" t="n"/>
      <c r="D314" s="9" t="n"/>
      <c r="E314" s="9" t="n"/>
      <c r="F314" s="9" t="n"/>
      <c r="G314" s="9" t="n"/>
      <c r="H314" s="9" t="n"/>
      <c r="I314" s="9" t="n"/>
      <c r="J314" s="3" t="n"/>
      <c r="K314" s="9" t="n"/>
    </row>
    <row r="315">
      <c r="A315" s="4" t="n"/>
      <c r="B315" s="9">
        <f>IF(A315="","",INT((DAY(A315)-1)/7)+1)</f>
        <v/>
      </c>
      <c r="C315" s="9" t="n"/>
      <c r="D315" s="9" t="n"/>
      <c r="E315" s="9" t="n"/>
      <c r="F315" s="9" t="n"/>
      <c r="G315" s="9" t="n"/>
      <c r="H315" s="9" t="n"/>
      <c r="I315" s="9" t="n"/>
      <c r="J315" s="3" t="n"/>
      <c r="K315" s="9" t="n"/>
    </row>
    <row r="316">
      <c r="A316" s="4" t="n"/>
      <c r="B316" s="9">
        <f>IF(A316="","",INT((DAY(A316)-1)/7)+1)</f>
        <v/>
      </c>
      <c r="C316" s="9" t="n"/>
      <c r="D316" s="9" t="n"/>
      <c r="E316" s="9" t="n"/>
      <c r="F316" s="9" t="n"/>
      <c r="G316" s="9" t="n"/>
      <c r="H316" s="9" t="n"/>
      <c r="I316" s="9" t="n"/>
      <c r="J316" s="3" t="n"/>
      <c r="K316" s="9" t="n"/>
    </row>
    <row r="317">
      <c r="A317" s="4" t="n"/>
      <c r="B317" s="9">
        <f>IF(A317="","",INT((DAY(A317)-1)/7)+1)</f>
        <v/>
      </c>
      <c r="C317" s="9" t="n"/>
      <c r="D317" s="9" t="n"/>
      <c r="E317" s="9" t="n"/>
      <c r="F317" s="9" t="n"/>
      <c r="G317" s="9" t="n"/>
      <c r="H317" s="9" t="n"/>
      <c r="I317" s="9" t="n"/>
      <c r="J317" s="3" t="n"/>
      <c r="K317" s="9" t="n"/>
    </row>
    <row r="318">
      <c r="A318" s="4" t="n"/>
      <c r="B318" s="9">
        <f>IF(A318="","",INT((DAY(A318)-1)/7)+1)</f>
        <v/>
      </c>
      <c r="C318" s="9" t="n"/>
      <c r="D318" s="9" t="n"/>
      <c r="E318" s="9" t="n"/>
      <c r="F318" s="9" t="n"/>
      <c r="G318" s="9" t="n"/>
      <c r="H318" s="9" t="n"/>
      <c r="I318" s="9" t="n"/>
      <c r="J318" s="3" t="n"/>
      <c r="K318" s="9" t="n"/>
    </row>
    <row r="319">
      <c r="A319" s="4" t="n"/>
      <c r="B319" s="9">
        <f>IF(A319="","",INT((DAY(A319)-1)/7)+1)</f>
        <v/>
      </c>
      <c r="C319" s="9" t="n"/>
      <c r="D319" s="9" t="n"/>
      <c r="E319" s="9" t="n"/>
      <c r="F319" s="9" t="n"/>
      <c r="G319" s="9" t="n"/>
      <c r="H319" s="9" t="n"/>
      <c r="I319" s="9" t="n"/>
      <c r="J319" s="3" t="n"/>
      <c r="K319" s="9" t="n"/>
    </row>
    <row r="320">
      <c r="A320" s="4" t="n"/>
      <c r="B320" s="9">
        <f>IF(A320="","",INT((DAY(A320)-1)/7)+1)</f>
        <v/>
      </c>
      <c r="C320" s="9" t="n"/>
      <c r="D320" s="9" t="n"/>
      <c r="E320" s="9" t="n"/>
      <c r="F320" s="9" t="n"/>
      <c r="G320" s="9" t="n"/>
      <c r="H320" s="9" t="n"/>
      <c r="I320" s="9" t="n"/>
      <c r="J320" s="3" t="n"/>
      <c r="K320" s="9" t="n"/>
    </row>
    <row r="321">
      <c r="A321" s="4" t="n"/>
      <c r="B321" s="9">
        <f>IF(A321="","",INT((DAY(A321)-1)/7)+1)</f>
        <v/>
      </c>
      <c r="C321" s="9" t="n"/>
      <c r="D321" s="9" t="n"/>
      <c r="E321" s="9" t="n"/>
      <c r="F321" s="9" t="n"/>
      <c r="G321" s="9" t="n"/>
      <c r="H321" s="9" t="n"/>
      <c r="I321" s="9" t="n"/>
      <c r="J321" s="3" t="n"/>
      <c r="K321" s="9" t="n"/>
    </row>
    <row r="322">
      <c r="A322" s="4" t="n"/>
      <c r="B322" s="9">
        <f>IF(A322="","",INT((DAY(A322)-1)/7)+1)</f>
        <v/>
      </c>
      <c r="C322" s="9" t="n"/>
      <c r="D322" s="9" t="n"/>
      <c r="E322" s="9" t="n"/>
      <c r="F322" s="9" t="n"/>
      <c r="G322" s="9" t="n"/>
      <c r="H322" s="9" t="n"/>
      <c r="I322" s="9" t="n"/>
      <c r="J322" s="3" t="n"/>
      <c r="K322" s="9" t="n"/>
    </row>
    <row r="323">
      <c r="A323" s="4" t="n"/>
      <c r="B323" s="9">
        <f>IF(A323="","",INT((DAY(A323)-1)/7)+1)</f>
        <v/>
      </c>
      <c r="C323" s="9" t="n"/>
      <c r="D323" s="9" t="n"/>
      <c r="E323" s="9" t="n"/>
      <c r="F323" s="9" t="n"/>
      <c r="G323" s="9" t="n"/>
      <c r="H323" s="9" t="n"/>
      <c r="I323" s="9" t="n"/>
      <c r="J323" s="3" t="n"/>
      <c r="K323" s="9" t="n"/>
    </row>
    <row r="324">
      <c r="A324" s="4" t="n"/>
      <c r="B324" s="9">
        <f>IF(A324="","",INT((DAY(A324)-1)/7)+1)</f>
        <v/>
      </c>
      <c r="C324" s="9" t="n"/>
      <c r="D324" s="9" t="n"/>
      <c r="E324" s="9" t="n"/>
      <c r="F324" s="9" t="n"/>
      <c r="G324" s="9" t="n"/>
      <c r="H324" s="9" t="n"/>
      <c r="I324" s="9" t="n"/>
      <c r="J324" s="3" t="n"/>
      <c r="K324" s="9" t="n"/>
    </row>
    <row r="325">
      <c r="A325" s="4" t="n"/>
      <c r="B325" s="9">
        <f>IF(A325="","",INT((DAY(A325)-1)/7)+1)</f>
        <v/>
      </c>
      <c r="C325" s="9" t="n"/>
      <c r="D325" s="9" t="n"/>
      <c r="E325" s="9" t="n"/>
      <c r="F325" s="9" t="n"/>
      <c r="G325" s="9" t="n"/>
      <c r="H325" s="9" t="n"/>
      <c r="I325" s="9" t="n"/>
      <c r="J325" s="3" t="n"/>
      <c r="K325" s="9" t="n"/>
    </row>
    <row r="326">
      <c r="A326" s="4" t="n"/>
      <c r="B326" s="9">
        <f>IF(A326="","",INT((DAY(A326)-1)/7)+1)</f>
        <v/>
      </c>
      <c r="C326" s="9" t="n"/>
      <c r="D326" s="9" t="n"/>
      <c r="E326" s="9" t="n"/>
      <c r="F326" s="9" t="n"/>
      <c r="G326" s="9" t="n"/>
      <c r="H326" s="9" t="n"/>
      <c r="I326" s="9" t="n"/>
      <c r="J326" s="3" t="n"/>
      <c r="K326" s="9" t="n"/>
    </row>
    <row r="327">
      <c r="A327" s="4" t="n"/>
      <c r="B327" s="9">
        <f>IF(A327="","",INT((DAY(A327)-1)/7)+1)</f>
        <v/>
      </c>
      <c r="C327" s="9" t="n"/>
      <c r="D327" s="9" t="n"/>
      <c r="E327" s="9" t="n"/>
      <c r="F327" s="9" t="n"/>
      <c r="G327" s="9" t="n"/>
      <c r="H327" s="9" t="n"/>
      <c r="I327" s="9" t="n"/>
      <c r="J327" s="3" t="n"/>
      <c r="K327" s="9" t="n"/>
    </row>
    <row r="328">
      <c r="A328" s="4" t="n"/>
      <c r="B328" s="9">
        <f>IF(A328="","",INT((DAY(A328)-1)/7)+1)</f>
        <v/>
      </c>
      <c r="C328" s="9" t="n"/>
      <c r="D328" s="9" t="n"/>
      <c r="E328" s="9" t="n"/>
      <c r="F328" s="9" t="n"/>
      <c r="G328" s="9" t="n"/>
      <c r="H328" s="9" t="n"/>
      <c r="I328" s="9" t="n"/>
      <c r="J328" s="3" t="n"/>
      <c r="K328" s="9" t="n"/>
    </row>
    <row r="329">
      <c r="A329" s="4" t="n"/>
      <c r="B329" s="9">
        <f>IF(A329="","",INT((DAY(A329)-1)/7)+1)</f>
        <v/>
      </c>
      <c r="C329" s="9" t="n"/>
      <c r="D329" s="9" t="n"/>
      <c r="E329" s="9" t="n"/>
      <c r="F329" s="9" t="n"/>
      <c r="G329" s="9" t="n"/>
      <c r="H329" s="9" t="n"/>
      <c r="I329" s="9" t="n"/>
      <c r="J329" s="3" t="n"/>
      <c r="K329" s="9" t="n"/>
    </row>
    <row r="330">
      <c r="A330" s="4" t="n"/>
      <c r="B330" s="9">
        <f>IF(A330="","",INT((DAY(A330)-1)/7)+1)</f>
        <v/>
      </c>
      <c r="C330" s="9" t="n"/>
      <c r="D330" s="9" t="n"/>
      <c r="E330" s="9" t="n"/>
      <c r="F330" s="9" t="n"/>
      <c r="G330" s="9" t="n"/>
      <c r="H330" s="9" t="n"/>
      <c r="I330" s="9" t="n"/>
      <c r="J330" s="3" t="n"/>
      <c r="K330" s="9" t="n"/>
    </row>
    <row r="331">
      <c r="A331" s="4" t="n"/>
      <c r="B331" s="9">
        <f>IF(A331="","",INT((DAY(A331)-1)/7)+1)</f>
        <v/>
      </c>
      <c r="C331" s="9" t="n"/>
      <c r="D331" s="9" t="n"/>
      <c r="E331" s="9" t="n"/>
      <c r="F331" s="9" t="n"/>
      <c r="G331" s="9" t="n"/>
      <c r="H331" s="9" t="n"/>
      <c r="I331" s="9" t="n"/>
      <c r="J331" s="3" t="n"/>
      <c r="K331" s="9" t="n"/>
    </row>
    <row r="332">
      <c r="A332" s="4" t="n"/>
      <c r="B332" s="9">
        <f>IF(A332="","",INT((DAY(A332)-1)/7)+1)</f>
        <v/>
      </c>
      <c r="C332" s="9" t="n"/>
      <c r="D332" s="9" t="n"/>
      <c r="E332" s="9" t="n"/>
      <c r="F332" s="9" t="n"/>
      <c r="G332" s="9" t="n"/>
      <c r="H332" s="9" t="n"/>
      <c r="I332" s="9" t="n"/>
      <c r="J332" s="3" t="n"/>
      <c r="K332" s="9" t="n"/>
    </row>
    <row r="333">
      <c r="A333" s="4" t="n"/>
      <c r="B333" s="9">
        <f>IF(A333="","",INT((DAY(A333)-1)/7)+1)</f>
        <v/>
      </c>
      <c r="C333" s="9" t="n"/>
      <c r="D333" s="9" t="n"/>
      <c r="E333" s="9" t="n"/>
      <c r="F333" s="9" t="n"/>
      <c r="G333" s="9" t="n"/>
      <c r="H333" s="9" t="n"/>
      <c r="I333" s="9" t="n"/>
      <c r="J333" s="3" t="n"/>
      <c r="K333" s="9" t="n"/>
    </row>
    <row r="334">
      <c r="A334" s="4" t="n"/>
      <c r="B334" s="9">
        <f>IF(A334="","",INT((DAY(A334)-1)/7)+1)</f>
        <v/>
      </c>
      <c r="C334" s="9" t="n"/>
      <c r="D334" s="9" t="n"/>
      <c r="E334" s="9" t="n"/>
      <c r="F334" s="9" t="n"/>
      <c r="G334" s="9" t="n"/>
      <c r="H334" s="9" t="n"/>
      <c r="I334" s="9" t="n"/>
      <c r="J334" s="3" t="n"/>
      <c r="K334" s="9" t="n"/>
    </row>
    <row r="335">
      <c r="A335" s="4" t="n"/>
      <c r="B335" s="9">
        <f>IF(A335="","",INT((DAY(A335)-1)/7)+1)</f>
        <v/>
      </c>
      <c r="C335" s="9" t="n"/>
      <c r="D335" s="9" t="n"/>
      <c r="E335" s="9" t="n"/>
      <c r="F335" s="9" t="n"/>
      <c r="G335" s="9" t="n"/>
      <c r="H335" s="9" t="n"/>
      <c r="I335" s="9" t="n"/>
      <c r="J335" s="3" t="n"/>
      <c r="K335" s="9" t="n"/>
    </row>
    <row r="336">
      <c r="A336" s="4" t="n"/>
      <c r="B336" s="9">
        <f>IF(A336="","",INT((DAY(A336)-1)/7)+1)</f>
        <v/>
      </c>
      <c r="C336" s="9" t="n"/>
      <c r="D336" s="9" t="n"/>
      <c r="E336" s="9" t="n"/>
      <c r="F336" s="9" t="n"/>
      <c r="G336" s="9" t="n"/>
      <c r="H336" s="9" t="n"/>
      <c r="I336" s="9" t="n"/>
      <c r="J336" s="3" t="n"/>
      <c r="K336" s="9" t="n"/>
    </row>
    <row r="337">
      <c r="A337" s="4" t="n"/>
      <c r="B337" s="9">
        <f>IF(A337="","",INT((DAY(A337)-1)/7)+1)</f>
        <v/>
      </c>
      <c r="C337" s="9" t="n"/>
      <c r="D337" s="9" t="n"/>
      <c r="E337" s="9" t="n"/>
      <c r="F337" s="9" t="n"/>
      <c r="G337" s="9" t="n"/>
      <c r="H337" s="9" t="n"/>
      <c r="I337" s="9" t="n"/>
      <c r="J337" s="3" t="n"/>
      <c r="K337" s="9" t="n"/>
    </row>
    <row r="338">
      <c r="A338" s="4" t="n"/>
      <c r="B338" s="9">
        <f>IF(A338="","",INT((DAY(A338)-1)/7)+1)</f>
        <v/>
      </c>
      <c r="C338" s="9" t="n"/>
      <c r="D338" s="9" t="n"/>
      <c r="E338" s="9" t="n"/>
      <c r="F338" s="9" t="n"/>
      <c r="G338" s="9" t="n"/>
      <c r="H338" s="9" t="n"/>
      <c r="I338" s="9" t="n"/>
      <c r="J338" s="3" t="n"/>
      <c r="K338" s="9" t="n"/>
    </row>
    <row r="339">
      <c r="A339" s="4" t="n"/>
      <c r="B339" s="9">
        <f>IF(A339="","",INT((DAY(A339)-1)/7)+1)</f>
        <v/>
      </c>
      <c r="C339" s="9" t="n"/>
      <c r="D339" s="9" t="n"/>
      <c r="E339" s="9" t="n"/>
      <c r="F339" s="9" t="n"/>
      <c r="G339" s="9" t="n"/>
      <c r="H339" s="9" t="n"/>
      <c r="I339" s="9" t="n"/>
      <c r="J339" s="3" t="n"/>
      <c r="K339" s="9" t="n"/>
    </row>
    <row r="340">
      <c r="A340" s="4" t="n"/>
      <c r="B340" s="9">
        <f>IF(A340="","",INT((DAY(A340)-1)/7)+1)</f>
        <v/>
      </c>
      <c r="C340" s="9" t="n"/>
      <c r="D340" s="9" t="n"/>
      <c r="E340" s="9" t="n"/>
      <c r="F340" s="9" t="n"/>
      <c r="G340" s="9" t="n"/>
      <c r="H340" s="9" t="n"/>
      <c r="I340" s="9" t="n"/>
      <c r="J340" s="3" t="n"/>
      <c r="K340" s="9" t="n"/>
    </row>
    <row r="341">
      <c r="A341" s="4" t="n"/>
      <c r="B341" s="9">
        <f>IF(A341="","",INT((DAY(A341)-1)/7)+1)</f>
        <v/>
      </c>
      <c r="C341" s="9" t="n"/>
      <c r="D341" s="9" t="n"/>
      <c r="E341" s="9" t="n"/>
      <c r="F341" s="9" t="n"/>
      <c r="G341" s="9" t="n"/>
      <c r="H341" s="9" t="n"/>
      <c r="I341" s="9" t="n"/>
      <c r="J341" s="3" t="n"/>
      <c r="K341" s="9" t="n"/>
    </row>
    <row r="342">
      <c r="A342" s="4" t="n"/>
      <c r="B342" s="9">
        <f>IF(A342="","",INT((DAY(A342)-1)/7)+1)</f>
        <v/>
      </c>
      <c r="C342" s="9" t="n"/>
      <c r="D342" s="9" t="n"/>
      <c r="E342" s="9" t="n"/>
      <c r="F342" s="9" t="n"/>
      <c r="G342" s="9" t="n"/>
      <c r="H342" s="9" t="n"/>
      <c r="I342" s="9" t="n"/>
      <c r="J342" s="3" t="n"/>
      <c r="K342" s="9" t="n"/>
    </row>
    <row r="343">
      <c r="A343" s="4" t="n"/>
      <c r="B343" s="9">
        <f>IF(A343="","",INT((DAY(A343)-1)/7)+1)</f>
        <v/>
      </c>
      <c r="C343" s="9" t="n"/>
      <c r="D343" s="9" t="n"/>
      <c r="E343" s="9" t="n"/>
      <c r="F343" s="9" t="n"/>
      <c r="G343" s="9" t="n"/>
      <c r="H343" s="9" t="n"/>
      <c r="I343" s="9" t="n"/>
      <c r="J343" s="3" t="n"/>
      <c r="K343" s="9" t="n"/>
    </row>
    <row r="344">
      <c r="A344" s="4" t="n"/>
      <c r="B344" s="9">
        <f>IF(A344="","",INT((DAY(A344)-1)/7)+1)</f>
        <v/>
      </c>
      <c r="C344" s="9" t="n"/>
      <c r="D344" s="9" t="n"/>
      <c r="E344" s="9" t="n"/>
      <c r="F344" s="9" t="n"/>
      <c r="G344" s="9" t="n"/>
      <c r="H344" s="9" t="n"/>
      <c r="I344" s="9" t="n"/>
      <c r="J344" s="3" t="n"/>
      <c r="K344" s="9" t="n"/>
    </row>
    <row r="345">
      <c r="A345" s="4" t="n"/>
      <c r="B345" s="9">
        <f>IF(A345="","",INT((DAY(A345)-1)/7)+1)</f>
        <v/>
      </c>
      <c r="C345" s="9" t="n"/>
      <c r="D345" s="9" t="n"/>
      <c r="E345" s="9" t="n"/>
      <c r="F345" s="9" t="n"/>
      <c r="G345" s="9" t="n"/>
      <c r="H345" s="9" t="n"/>
      <c r="I345" s="9" t="n"/>
      <c r="J345" s="3" t="n"/>
      <c r="K345" s="9" t="n"/>
    </row>
    <row r="346">
      <c r="A346" s="4" t="n"/>
      <c r="B346" s="9">
        <f>IF(A346="","",INT((DAY(A346)-1)/7)+1)</f>
        <v/>
      </c>
      <c r="C346" s="9" t="n"/>
      <c r="D346" s="9" t="n"/>
      <c r="E346" s="9" t="n"/>
      <c r="F346" s="9" t="n"/>
      <c r="G346" s="9" t="n"/>
      <c r="H346" s="9" t="n"/>
      <c r="I346" s="9" t="n"/>
      <c r="J346" s="3" t="n"/>
      <c r="K346" s="9" t="n"/>
    </row>
    <row r="347">
      <c r="A347" s="4" t="n"/>
      <c r="B347" s="9">
        <f>IF(A347="","",INT((DAY(A347)-1)/7)+1)</f>
        <v/>
      </c>
      <c r="C347" s="9" t="n"/>
      <c r="D347" s="9" t="n"/>
      <c r="E347" s="9" t="n"/>
      <c r="F347" s="9" t="n"/>
      <c r="G347" s="9" t="n"/>
      <c r="H347" s="9" t="n"/>
      <c r="I347" s="9" t="n"/>
      <c r="J347" s="3" t="n"/>
      <c r="K347" s="9" t="n"/>
    </row>
    <row r="348">
      <c r="A348" s="4" t="n"/>
      <c r="B348" s="9">
        <f>IF(A348="","",INT((DAY(A348)-1)/7)+1)</f>
        <v/>
      </c>
      <c r="C348" s="9" t="n"/>
      <c r="D348" s="9" t="n"/>
      <c r="E348" s="9" t="n"/>
      <c r="F348" s="9" t="n"/>
      <c r="G348" s="9" t="n"/>
      <c r="H348" s="9" t="n"/>
      <c r="I348" s="9" t="n"/>
      <c r="J348" s="3" t="n"/>
      <c r="K348" s="9" t="n"/>
    </row>
    <row r="349">
      <c r="A349" s="4" t="n"/>
      <c r="B349" s="9">
        <f>IF(A349="","",INT((DAY(A349)-1)/7)+1)</f>
        <v/>
      </c>
      <c r="C349" s="9" t="n"/>
      <c r="D349" s="9" t="n"/>
      <c r="E349" s="9" t="n"/>
      <c r="F349" s="9" t="n"/>
      <c r="G349" s="9" t="n"/>
      <c r="H349" s="9" t="n"/>
      <c r="I349" s="9" t="n"/>
      <c r="J349" s="3" t="n"/>
      <c r="K349" s="9" t="n"/>
    </row>
    <row r="350">
      <c r="A350" s="4" t="n"/>
      <c r="B350" s="9">
        <f>IF(A350="","",INT((DAY(A350)-1)/7)+1)</f>
        <v/>
      </c>
      <c r="C350" s="9" t="n"/>
      <c r="D350" s="9" t="n"/>
      <c r="E350" s="9" t="n"/>
      <c r="F350" s="9" t="n"/>
      <c r="G350" s="9" t="n"/>
      <c r="H350" s="9" t="n"/>
      <c r="I350" s="9" t="n"/>
      <c r="J350" s="3" t="n"/>
      <c r="K350" s="9" t="n"/>
    </row>
    <row r="351">
      <c r="A351" s="4" t="n"/>
      <c r="B351" s="9">
        <f>IF(A351="","",INT((DAY(A351)-1)/7)+1)</f>
        <v/>
      </c>
      <c r="C351" s="9" t="n"/>
      <c r="D351" s="9" t="n"/>
      <c r="E351" s="9" t="n"/>
      <c r="F351" s="9" t="n"/>
      <c r="G351" s="9" t="n"/>
      <c r="H351" s="9" t="n"/>
      <c r="I351" s="9" t="n"/>
      <c r="J351" s="3" t="n"/>
      <c r="K351" s="9" t="n"/>
    </row>
    <row r="352">
      <c r="A352" s="4" t="n"/>
      <c r="B352" s="9">
        <f>IF(A352="","",INT((DAY(A352)-1)/7)+1)</f>
        <v/>
      </c>
      <c r="C352" s="9" t="n"/>
      <c r="D352" s="9" t="n"/>
      <c r="E352" s="9" t="n"/>
      <c r="F352" s="9" t="n"/>
      <c r="G352" s="9" t="n"/>
      <c r="H352" s="9" t="n"/>
      <c r="I352" s="9" t="n"/>
      <c r="J352" s="3" t="n"/>
      <c r="K352" s="9" t="n"/>
    </row>
    <row r="353">
      <c r="A353" s="4" t="n"/>
      <c r="B353" s="9">
        <f>IF(A353="","",INT((DAY(A353)-1)/7)+1)</f>
        <v/>
      </c>
      <c r="C353" s="9" t="n"/>
      <c r="D353" s="9" t="n"/>
      <c r="E353" s="9" t="n"/>
      <c r="F353" s="9" t="n"/>
      <c r="G353" s="9" t="n"/>
      <c r="H353" s="9" t="n"/>
      <c r="I353" s="9" t="n"/>
      <c r="J353" s="3" t="n"/>
      <c r="K353" s="9" t="n"/>
    </row>
    <row r="354">
      <c r="A354" s="4" t="n"/>
      <c r="B354" s="9">
        <f>IF(A354="","",INT((DAY(A354)-1)/7)+1)</f>
        <v/>
      </c>
      <c r="C354" s="9" t="n"/>
      <c r="D354" s="9" t="n"/>
      <c r="E354" s="9" t="n"/>
      <c r="F354" s="9" t="n"/>
      <c r="G354" s="9" t="n"/>
      <c r="H354" s="9" t="n"/>
      <c r="I354" s="9" t="n"/>
      <c r="J354" s="3" t="n"/>
      <c r="K354" s="9" t="n"/>
    </row>
    <row r="355">
      <c r="A355" s="4" t="n"/>
      <c r="B355" s="9">
        <f>IF(A355="","",INT((DAY(A355)-1)/7)+1)</f>
        <v/>
      </c>
      <c r="C355" s="9" t="n"/>
      <c r="D355" s="9" t="n"/>
      <c r="E355" s="9" t="n"/>
      <c r="F355" s="9" t="n"/>
      <c r="G355" s="9" t="n"/>
      <c r="H355" s="9" t="n"/>
      <c r="I355" s="9" t="n"/>
      <c r="J355" s="3" t="n"/>
      <c r="K355" s="9" t="n"/>
    </row>
    <row r="356">
      <c r="A356" s="4" t="n"/>
      <c r="B356" s="9">
        <f>IF(A356="","",INT((DAY(A356)-1)/7)+1)</f>
        <v/>
      </c>
      <c r="C356" s="9" t="n"/>
      <c r="D356" s="9" t="n"/>
      <c r="E356" s="9" t="n"/>
      <c r="F356" s="9" t="n"/>
      <c r="G356" s="9" t="n"/>
      <c r="H356" s="9" t="n"/>
      <c r="I356" s="9" t="n"/>
      <c r="J356" s="3" t="n"/>
      <c r="K356" s="9" t="n"/>
    </row>
    <row r="357">
      <c r="A357" s="4" t="n"/>
      <c r="B357" s="9">
        <f>IF(A357="","",INT((DAY(A357)-1)/7)+1)</f>
        <v/>
      </c>
      <c r="C357" s="9" t="n"/>
      <c r="D357" s="9" t="n"/>
      <c r="E357" s="9" t="n"/>
      <c r="F357" s="9" t="n"/>
      <c r="G357" s="9" t="n"/>
      <c r="H357" s="9" t="n"/>
      <c r="I357" s="9" t="n"/>
      <c r="J357" s="3" t="n"/>
      <c r="K357" s="9" t="n"/>
    </row>
    <row r="358">
      <c r="A358" s="4" t="n"/>
      <c r="B358" s="9">
        <f>IF(A358="","",INT((DAY(A358)-1)/7)+1)</f>
        <v/>
      </c>
      <c r="C358" s="9" t="n"/>
      <c r="D358" s="9" t="n"/>
      <c r="E358" s="9" t="n"/>
      <c r="F358" s="9" t="n"/>
      <c r="G358" s="9" t="n"/>
      <c r="H358" s="9" t="n"/>
      <c r="I358" s="9" t="n"/>
      <c r="J358" s="3" t="n"/>
      <c r="K358" s="9" t="n"/>
    </row>
    <row r="359">
      <c r="A359" s="4" t="n"/>
      <c r="B359" s="9">
        <f>IF(A359="","",INT((DAY(A359)-1)/7)+1)</f>
        <v/>
      </c>
      <c r="C359" s="9" t="n"/>
      <c r="D359" s="9" t="n"/>
      <c r="E359" s="9" t="n"/>
      <c r="F359" s="9" t="n"/>
      <c r="G359" s="9" t="n"/>
      <c r="H359" s="9" t="n"/>
      <c r="I359" s="9" t="n"/>
      <c r="J359" s="3" t="n"/>
      <c r="K359" s="9" t="n"/>
    </row>
    <row r="360">
      <c r="A360" s="4" t="n"/>
      <c r="B360" s="9">
        <f>IF(A360="","",INT((DAY(A360)-1)/7)+1)</f>
        <v/>
      </c>
      <c r="C360" s="9" t="n"/>
      <c r="D360" s="9" t="n"/>
      <c r="E360" s="9" t="n"/>
      <c r="F360" s="9" t="n"/>
      <c r="G360" s="9" t="n"/>
      <c r="H360" s="9" t="n"/>
      <c r="I360" s="9" t="n"/>
      <c r="J360" s="3" t="n"/>
      <c r="K360" s="9" t="n"/>
    </row>
    <row r="361">
      <c r="A361" s="4" t="n"/>
      <c r="B361" s="9">
        <f>IF(A361="","",INT((DAY(A361)-1)/7)+1)</f>
        <v/>
      </c>
      <c r="C361" s="9" t="n"/>
      <c r="D361" s="9" t="n"/>
      <c r="E361" s="9" t="n"/>
      <c r="F361" s="9" t="n"/>
      <c r="G361" s="9" t="n"/>
      <c r="H361" s="9" t="n"/>
      <c r="I361" s="9" t="n"/>
      <c r="J361" s="3" t="n"/>
      <c r="K361" s="9" t="n"/>
    </row>
    <row r="362">
      <c r="A362" s="4" t="n"/>
      <c r="B362" s="9">
        <f>IF(A362="","",INT((DAY(A362)-1)/7)+1)</f>
        <v/>
      </c>
      <c r="C362" s="9" t="n"/>
      <c r="D362" s="9" t="n"/>
      <c r="E362" s="9" t="n"/>
      <c r="F362" s="9" t="n"/>
      <c r="G362" s="9" t="n"/>
      <c r="H362" s="9" t="n"/>
      <c r="I362" s="9" t="n"/>
      <c r="J362" s="3" t="n"/>
      <c r="K362" s="9" t="n"/>
    </row>
    <row r="363">
      <c r="A363" s="4" t="n"/>
      <c r="B363" s="9">
        <f>IF(A363="","",INT((DAY(A363)-1)/7)+1)</f>
        <v/>
      </c>
      <c r="C363" s="9" t="n"/>
      <c r="D363" s="9" t="n"/>
      <c r="E363" s="9" t="n"/>
      <c r="F363" s="9" t="n"/>
      <c r="G363" s="9" t="n"/>
      <c r="H363" s="9" t="n"/>
      <c r="I363" s="9" t="n"/>
      <c r="J363" s="3" t="n"/>
      <c r="K363" s="9" t="n"/>
    </row>
    <row r="364">
      <c r="A364" s="4" t="n"/>
      <c r="B364" s="9">
        <f>IF(A364="","",INT((DAY(A364)-1)/7)+1)</f>
        <v/>
      </c>
      <c r="C364" s="9" t="n"/>
      <c r="D364" s="9" t="n"/>
      <c r="E364" s="9" t="n"/>
      <c r="F364" s="9" t="n"/>
      <c r="G364" s="9" t="n"/>
      <c r="H364" s="9" t="n"/>
      <c r="I364" s="9" t="n"/>
      <c r="J364" s="3" t="n"/>
      <c r="K364" s="9" t="n"/>
    </row>
    <row r="365">
      <c r="A365" s="4" t="n"/>
      <c r="B365" s="9">
        <f>IF(A365="","",INT((DAY(A365)-1)/7)+1)</f>
        <v/>
      </c>
      <c r="C365" s="9" t="n"/>
      <c r="D365" s="9" t="n"/>
      <c r="E365" s="9" t="n"/>
      <c r="F365" s="9" t="n"/>
      <c r="G365" s="9" t="n"/>
      <c r="H365" s="9" t="n"/>
      <c r="I365" s="9" t="n"/>
      <c r="J365" s="3" t="n"/>
      <c r="K365" s="9" t="n"/>
    </row>
    <row r="366">
      <c r="A366" s="4" t="n"/>
      <c r="B366" s="9">
        <f>IF(A366="","",INT((DAY(A366)-1)/7)+1)</f>
        <v/>
      </c>
      <c r="C366" s="9" t="n"/>
      <c r="D366" s="9" t="n"/>
      <c r="E366" s="9" t="n"/>
      <c r="F366" s="9" t="n"/>
      <c r="G366" s="9" t="n"/>
      <c r="H366" s="9" t="n"/>
      <c r="I366" s="9" t="n"/>
      <c r="J366" s="3" t="n"/>
      <c r="K366" s="9" t="n"/>
    </row>
    <row r="367">
      <c r="A367" s="4" t="n"/>
      <c r="B367" s="9">
        <f>IF(A367="","",INT((DAY(A367)-1)/7)+1)</f>
        <v/>
      </c>
      <c r="C367" s="9" t="n"/>
      <c r="D367" s="9" t="n"/>
      <c r="E367" s="9" t="n"/>
      <c r="F367" s="9" t="n"/>
      <c r="G367" s="9" t="n"/>
      <c r="H367" s="9" t="n"/>
      <c r="I367" s="9" t="n"/>
      <c r="J367" s="3" t="n"/>
      <c r="K367" s="9" t="n"/>
    </row>
    <row r="368">
      <c r="A368" s="4" t="n"/>
      <c r="B368" s="9">
        <f>IF(A368="","",INT((DAY(A368)-1)/7)+1)</f>
        <v/>
      </c>
      <c r="C368" s="9" t="n"/>
      <c r="D368" s="9" t="n"/>
      <c r="E368" s="9" t="n"/>
      <c r="F368" s="9" t="n"/>
      <c r="G368" s="9" t="n"/>
      <c r="H368" s="9" t="n"/>
      <c r="I368" s="9" t="n"/>
      <c r="J368" s="3" t="n"/>
      <c r="K368" s="9" t="n"/>
    </row>
    <row r="369">
      <c r="A369" s="4" t="n"/>
      <c r="B369" s="9">
        <f>IF(A369="","",INT((DAY(A369)-1)/7)+1)</f>
        <v/>
      </c>
      <c r="C369" s="9" t="n"/>
      <c r="D369" s="9" t="n"/>
      <c r="E369" s="9" t="n"/>
      <c r="F369" s="9" t="n"/>
      <c r="G369" s="9" t="n"/>
      <c r="H369" s="9" t="n"/>
      <c r="I369" s="9" t="n"/>
      <c r="J369" s="3" t="n"/>
      <c r="K369" s="9" t="n"/>
    </row>
    <row r="370">
      <c r="A370" s="4" t="n"/>
      <c r="B370" s="9">
        <f>IF(A370="","",INT((DAY(A370)-1)/7)+1)</f>
        <v/>
      </c>
      <c r="C370" s="9" t="n"/>
      <c r="D370" s="9" t="n"/>
      <c r="E370" s="9" t="n"/>
      <c r="F370" s="9" t="n"/>
      <c r="G370" s="9" t="n"/>
      <c r="H370" s="9" t="n"/>
      <c r="I370" s="9" t="n"/>
      <c r="J370" s="3" t="n"/>
      <c r="K370" s="9" t="n"/>
    </row>
    <row r="371">
      <c r="A371" s="4" t="n"/>
      <c r="B371" s="9">
        <f>IF(A371="","",INT((DAY(A371)-1)/7)+1)</f>
        <v/>
      </c>
      <c r="C371" s="9" t="n"/>
      <c r="D371" s="9" t="n"/>
      <c r="E371" s="9" t="n"/>
      <c r="F371" s="9" t="n"/>
      <c r="G371" s="9" t="n"/>
      <c r="H371" s="9" t="n"/>
      <c r="I371" s="9" t="n"/>
      <c r="J371" s="3" t="n"/>
      <c r="K371" s="9" t="n"/>
    </row>
    <row r="372">
      <c r="A372" s="4" t="n"/>
      <c r="B372" s="9">
        <f>IF(A372="","",INT((DAY(A372)-1)/7)+1)</f>
        <v/>
      </c>
      <c r="C372" s="9" t="n"/>
      <c r="D372" s="9" t="n"/>
      <c r="E372" s="9" t="n"/>
      <c r="F372" s="9" t="n"/>
      <c r="G372" s="9" t="n"/>
      <c r="H372" s="9" t="n"/>
      <c r="I372" s="9" t="n"/>
      <c r="J372" s="3" t="n"/>
      <c r="K372" s="9" t="n"/>
    </row>
    <row r="373">
      <c r="A373" s="4" t="n"/>
      <c r="B373" s="9">
        <f>IF(A373="","",INT((DAY(A373)-1)/7)+1)</f>
        <v/>
      </c>
      <c r="C373" s="9" t="n"/>
      <c r="D373" s="9" t="n"/>
      <c r="E373" s="9" t="n"/>
      <c r="F373" s="9" t="n"/>
      <c r="G373" s="9" t="n"/>
      <c r="H373" s="9" t="n"/>
      <c r="I373" s="9" t="n"/>
      <c r="J373" s="3" t="n"/>
      <c r="K373" s="9" t="n"/>
    </row>
    <row r="374">
      <c r="A374" s="4" t="n"/>
      <c r="B374" s="9">
        <f>IF(A374="","",INT((DAY(A374)-1)/7)+1)</f>
        <v/>
      </c>
      <c r="C374" s="9" t="n"/>
      <c r="D374" s="9" t="n"/>
      <c r="E374" s="9" t="n"/>
      <c r="F374" s="9" t="n"/>
      <c r="G374" s="9" t="n"/>
      <c r="H374" s="9" t="n"/>
      <c r="I374" s="9" t="n"/>
      <c r="J374" s="3" t="n"/>
      <c r="K374" s="9" t="n"/>
    </row>
    <row r="375">
      <c r="A375" s="4" t="n"/>
      <c r="B375" s="9">
        <f>IF(A375="","",INT((DAY(A375)-1)/7)+1)</f>
        <v/>
      </c>
      <c r="C375" s="9" t="n"/>
      <c r="D375" s="9" t="n"/>
      <c r="E375" s="9" t="n"/>
      <c r="F375" s="9" t="n"/>
      <c r="G375" s="9" t="n"/>
      <c r="H375" s="9" t="n"/>
      <c r="I375" s="9" t="n"/>
      <c r="J375" s="3" t="n"/>
      <c r="K375" s="9" t="n"/>
    </row>
    <row r="376">
      <c r="A376" s="4" t="n"/>
      <c r="B376" s="9">
        <f>IF(A376="","",INT((DAY(A376)-1)/7)+1)</f>
        <v/>
      </c>
      <c r="C376" s="9" t="n"/>
      <c r="D376" s="9" t="n"/>
      <c r="E376" s="9" t="n"/>
      <c r="F376" s="9" t="n"/>
      <c r="G376" s="9" t="n"/>
      <c r="H376" s="9" t="n"/>
      <c r="I376" s="9" t="n"/>
      <c r="J376" s="3" t="n"/>
      <c r="K376" s="9" t="n"/>
    </row>
    <row r="377">
      <c r="A377" s="4" t="n"/>
      <c r="B377" s="9">
        <f>IF(A377="","",INT((DAY(A377)-1)/7)+1)</f>
        <v/>
      </c>
      <c r="C377" s="9" t="n"/>
      <c r="D377" s="9" t="n"/>
      <c r="E377" s="9" t="n"/>
      <c r="F377" s="9" t="n"/>
      <c r="G377" s="9" t="n"/>
      <c r="H377" s="9" t="n"/>
      <c r="I377" s="9" t="n"/>
      <c r="J377" s="3" t="n"/>
      <c r="K377" s="9" t="n"/>
    </row>
    <row r="378">
      <c r="A378" s="4" t="n"/>
      <c r="B378" s="9">
        <f>IF(A378="","",INT((DAY(A378)-1)/7)+1)</f>
        <v/>
      </c>
      <c r="C378" s="9" t="n"/>
      <c r="D378" s="9" t="n"/>
      <c r="E378" s="9" t="n"/>
      <c r="F378" s="9" t="n"/>
      <c r="G378" s="9" t="n"/>
      <c r="H378" s="9" t="n"/>
      <c r="I378" s="9" t="n"/>
      <c r="J378" s="3" t="n"/>
      <c r="K378" s="9" t="n"/>
    </row>
    <row r="379">
      <c r="A379" s="4" t="n"/>
      <c r="B379" s="9">
        <f>IF(A379="","",INT((DAY(A379)-1)/7)+1)</f>
        <v/>
      </c>
      <c r="C379" s="9" t="n"/>
      <c r="D379" s="9" t="n"/>
      <c r="E379" s="9" t="n"/>
      <c r="F379" s="9" t="n"/>
      <c r="G379" s="9" t="n"/>
      <c r="H379" s="9" t="n"/>
      <c r="I379" s="9" t="n"/>
      <c r="J379" s="3" t="n"/>
      <c r="K379" s="9" t="n"/>
    </row>
    <row r="380">
      <c r="A380" s="4" t="n"/>
      <c r="B380" s="9">
        <f>IF(A380="","",INT((DAY(A380)-1)/7)+1)</f>
        <v/>
      </c>
      <c r="C380" s="9" t="n"/>
      <c r="D380" s="9" t="n"/>
      <c r="E380" s="9" t="n"/>
      <c r="F380" s="9" t="n"/>
      <c r="G380" s="9" t="n"/>
      <c r="H380" s="9" t="n"/>
      <c r="I380" s="9" t="n"/>
      <c r="J380" s="3" t="n"/>
      <c r="K380" s="9" t="n"/>
    </row>
    <row r="381">
      <c r="A381" s="4" t="n"/>
      <c r="B381" s="9">
        <f>IF(A381="","",INT((DAY(A381)-1)/7)+1)</f>
        <v/>
      </c>
      <c r="C381" s="9" t="n"/>
      <c r="D381" s="9" t="n"/>
      <c r="E381" s="9" t="n"/>
      <c r="F381" s="9" t="n"/>
      <c r="G381" s="9" t="n"/>
      <c r="H381" s="9" t="n"/>
      <c r="I381" s="9" t="n"/>
      <c r="J381" s="3" t="n"/>
      <c r="K381" s="9" t="n"/>
    </row>
    <row r="382">
      <c r="A382" s="4" t="n"/>
      <c r="B382" s="9">
        <f>IF(A382="","",INT((DAY(A382)-1)/7)+1)</f>
        <v/>
      </c>
      <c r="C382" s="9" t="n"/>
      <c r="D382" s="9" t="n"/>
      <c r="E382" s="9" t="n"/>
      <c r="F382" s="9" t="n"/>
      <c r="G382" s="9" t="n"/>
      <c r="H382" s="9" t="n"/>
      <c r="I382" s="9" t="n"/>
      <c r="J382" s="3" t="n"/>
      <c r="K382" s="9" t="n"/>
    </row>
    <row r="383">
      <c r="A383" s="4" t="n"/>
      <c r="B383" s="9">
        <f>IF(A383="","",INT((DAY(A383)-1)/7)+1)</f>
        <v/>
      </c>
      <c r="C383" s="9" t="n"/>
      <c r="D383" s="9" t="n"/>
      <c r="E383" s="9" t="n"/>
      <c r="F383" s="9" t="n"/>
      <c r="G383" s="9" t="n"/>
      <c r="H383" s="9" t="n"/>
      <c r="I383" s="9" t="n"/>
      <c r="J383" s="3" t="n"/>
      <c r="K383" s="9" t="n"/>
    </row>
    <row r="384">
      <c r="A384" s="4" t="n"/>
      <c r="B384" s="9">
        <f>IF(A384="","",INT((DAY(A384)-1)/7)+1)</f>
        <v/>
      </c>
      <c r="C384" s="9" t="n"/>
      <c r="D384" s="9" t="n"/>
      <c r="E384" s="9" t="n"/>
      <c r="F384" s="9" t="n"/>
      <c r="G384" s="9" t="n"/>
      <c r="H384" s="9" t="n"/>
      <c r="I384" s="9" t="n"/>
      <c r="J384" s="3" t="n"/>
      <c r="K384" s="9" t="n"/>
    </row>
    <row r="385">
      <c r="A385" s="4" t="n"/>
      <c r="B385" s="9">
        <f>IF(A385="","",INT((DAY(A385)-1)/7)+1)</f>
        <v/>
      </c>
      <c r="C385" s="9" t="n"/>
      <c r="D385" s="9" t="n"/>
      <c r="E385" s="9" t="n"/>
      <c r="F385" s="9" t="n"/>
      <c r="G385" s="9" t="n"/>
      <c r="H385" s="9" t="n"/>
      <c r="I385" s="9" t="n"/>
      <c r="J385" s="3" t="n"/>
      <c r="K385" s="9" t="n"/>
    </row>
    <row r="386">
      <c r="A386" s="4" t="n"/>
      <c r="B386" s="9">
        <f>IF(A386="","",INT((DAY(A386)-1)/7)+1)</f>
        <v/>
      </c>
      <c r="C386" s="9" t="n"/>
      <c r="D386" s="9" t="n"/>
      <c r="E386" s="9" t="n"/>
      <c r="F386" s="9" t="n"/>
      <c r="G386" s="9" t="n"/>
      <c r="H386" s="9" t="n"/>
      <c r="I386" s="9" t="n"/>
      <c r="J386" s="3" t="n"/>
      <c r="K386" s="9" t="n"/>
    </row>
    <row r="387">
      <c r="A387" s="4" t="n"/>
      <c r="B387" s="9">
        <f>IF(A387="","",INT((DAY(A387)-1)/7)+1)</f>
        <v/>
      </c>
      <c r="C387" s="9" t="n"/>
      <c r="D387" s="9" t="n"/>
      <c r="E387" s="9" t="n"/>
      <c r="F387" s="9" t="n"/>
      <c r="G387" s="9" t="n"/>
      <c r="H387" s="9" t="n"/>
      <c r="I387" s="9" t="n"/>
      <c r="J387" s="3" t="n"/>
      <c r="K387" s="9" t="n"/>
    </row>
    <row r="388">
      <c r="A388" s="4" t="n"/>
      <c r="B388" s="9">
        <f>IF(A388="","",INT((DAY(A388)-1)/7)+1)</f>
        <v/>
      </c>
      <c r="C388" s="9" t="n"/>
      <c r="D388" s="9" t="n"/>
      <c r="E388" s="9" t="n"/>
      <c r="F388" s="9" t="n"/>
      <c r="G388" s="9" t="n"/>
      <c r="H388" s="9" t="n"/>
      <c r="I388" s="9" t="n"/>
      <c r="J388" s="3" t="n"/>
      <c r="K388" s="9" t="n"/>
    </row>
    <row r="389">
      <c r="A389" s="4" t="n"/>
      <c r="B389" s="9">
        <f>IF(A389="","",INT((DAY(A389)-1)/7)+1)</f>
        <v/>
      </c>
      <c r="C389" s="9" t="n"/>
      <c r="D389" s="9" t="n"/>
      <c r="E389" s="9" t="n"/>
      <c r="F389" s="9" t="n"/>
      <c r="G389" s="9" t="n"/>
      <c r="H389" s="9" t="n"/>
      <c r="I389" s="9" t="n"/>
      <c r="J389" s="3" t="n"/>
      <c r="K389" s="9" t="n"/>
    </row>
    <row r="390">
      <c r="A390" s="4" t="n"/>
      <c r="B390" s="9">
        <f>IF(A390="","",INT((DAY(A390)-1)/7)+1)</f>
        <v/>
      </c>
      <c r="C390" s="9" t="n"/>
      <c r="D390" s="9" t="n"/>
      <c r="E390" s="9" t="n"/>
      <c r="F390" s="9" t="n"/>
      <c r="G390" s="9" t="n"/>
      <c r="H390" s="9" t="n"/>
      <c r="I390" s="9" t="n"/>
      <c r="J390" s="3" t="n"/>
      <c r="K390" s="9" t="n"/>
    </row>
    <row r="391">
      <c r="A391" s="4" t="n"/>
      <c r="B391" s="9">
        <f>IF(A391="","",INT((DAY(A391)-1)/7)+1)</f>
        <v/>
      </c>
      <c r="C391" s="9" t="n"/>
      <c r="D391" s="9" t="n"/>
      <c r="E391" s="9" t="n"/>
      <c r="F391" s="9" t="n"/>
      <c r="G391" s="9" t="n"/>
      <c r="H391" s="9" t="n"/>
      <c r="I391" s="9" t="n"/>
      <c r="J391" s="3" t="n"/>
      <c r="K391" s="9" t="n"/>
    </row>
    <row r="392">
      <c r="A392" s="4" t="n"/>
      <c r="B392" s="9">
        <f>IF(A392="","",INT((DAY(A392)-1)/7)+1)</f>
        <v/>
      </c>
      <c r="C392" s="9" t="n"/>
      <c r="D392" s="9" t="n"/>
      <c r="E392" s="9" t="n"/>
      <c r="F392" s="9" t="n"/>
      <c r="G392" s="9" t="n"/>
      <c r="H392" s="9" t="n"/>
      <c r="I392" s="9" t="n"/>
      <c r="J392" s="3" t="n"/>
      <c r="K392" s="9" t="n"/>
    </row>
    <row r="393">
      <c r="A393" s="4" t="n"/>
      <c r="B393" s="9">
        <f>IF(A393="","",INT((DAY(A393)-1)/7)+1)</f>
        <v/>
      </c>
      <c r="C393" s="9" t="n"/>
      <c r="D393" s="9" t="n"/>
      <c r="E393" s="9" t="n"/>
      <c r="F393" s="9" t="n"/>
      <c r="G393" s="9" t="n"/>
      <c r="H393" s="9" t="n"/>
      <c r="I393" s="9" t="n"/>
      <c r="J393" s="3" t="n"/>
      <c r="K393" s="9" t="n"/>
    </row>
    <row r="394">
      <c r="A394" s="4" t="n"/>
      <c r="B394" s="9">
        <f>IF(A394="","",INT((DAY(A394)-1)/7)+1)</f>
        <v/>
      </c>
      <c r="C394" s="9" t="n"/>
      <c r="D394" s="9" t="n"/>
      <c r="E394" s="9" t="n"/>
      <c r="F394" s="9" t="n"/>
      <c r="G394" s="9" t="n"/>
      <c r="H394" s="9" t="n"/>
      <c r="I394" s="9" t="n"/>
      <c r="J394" s="3" t="n"/>
      <c r="K394" s="9" t="n"/>
    </row>
    <row r="395">
      <c r="A395" s="4" t="n"/>
      <c r="B395" s="9">
        <f>IF(A395="","",INT((DAY(A395)-1)/7)+1)</f>
        <v/>
      </c>
      <c r="C395" s="9" t="n"/>
      <c r="D395" s="9" t="n"/>
      <c r="E395" s="9" t="n"/>
      <c r="F395" s="9" t="n"/>
      <c r="G395" s="9" t="n"/>
      <c r="H395" s="9" t="n"/>
      <c r="I395" s="9" t="n"/>
      <c r="J395" s="3" t="n"/>
      <c r="K395" s="9" t="n"/>
    </row>
    <row r="396">
      <c r="A396" s="4" t="n"/>
      <c r="B396" s="9">
        <f>IF(A396="","",INT((DAY(A396)-1)/7)+1)</f>
        <v/>
      </c>
      <c r="C396" s="9" t="n"/>
      <c r="D396" s="9" t="n"/>
      <c r="E396" s="9" t="n"/>
      <c r="F396" s="9" t="n"/>
      <c r="G396" s="9" t="n"/>
      <c r="H396" s="9" t="n"/>
      <c r="I396" s="9" t="n"/>
      <c r="J396" s="3" t="n"/>
      <c r="K396" s="9" t="n"/>
    </row>
    <row r="397">
      <c r="A397" s="4" t="n"/>
      <c r="B397" s="9">
        <f>IF(A397="","",INT((DAY(A397)-1)/7)+1)</f>
        <v/>
      </c>
      <c r="C397" s="9" t="n"/>
      <c r="D397" s="9" t="n"/>
      <c r="E397" s="9" t="n"/>
      <c r="F397" s="9" t="n"/>
      <c r="G397" s="9" t="n"/>
      <c r="H397" s="9" t="n"/>
      <c r="I397" s="9" t="n"/>
      <c r="J397" s="3" t="n"/>
      <c r="K397" s="9" t="n"/>
    </row>
    <row r="398">
      <c r="A398" s="4" t="n"/>
      <c r="B398" s="9">
        <f>IF(A398="","",INT((DAY(A398)-1)/7)+1)</f>
        <v/>
      </c>
      <c r="C398" s="9" t="n"/>
      <c r="D398" s="9" t="n"/>
      <c r="E398" s="9" t="n"/>
      <c r="F398" s="9" t="n"/>
      <c r="G398" s="9" t="n"/>
      <c r="H398" s="9" t="n"/>
      <c r="I398" s="9" t="n"/>
      <c r="J398" s="3" t="n"/>
      <c r="K398" s="9" t="n"/>
    </row>
    <row r="399">
      <c r="A399" s="4" t="n"/>
      <c r="B399" s="9">
        <f>IF(A399="","",INT((DAY(A399)-1)/7)+1)</f>
        <v/>
      </c>
      <c r="C399" s="9" t="n"/>
      <c r="D399" s="9" t="n"/>
      <c r="E399" s="9" t="n"/>
      <c r="F399" s="9" t="n"/>
      <c r="G399" s="9" t="n"/>
      <c r="H399" s="9" t="n"/>
      <c r="I399" s="9" t="n"/>
      <c r="J399" s="3" t="n"/>
      <c r="K399" s="9" t="n"/>
    </row>
    <row r="400">
      <c r="A400" s="4" t="n"/>
      <c r="B400" s="9">
        <f>IF(A400="","",INT((DAY(A400)-1)/7)+1)</f>
        <v/>
      </c>
      <c r="C400" s="9" t="n"/>
      <c r="D400" s="9" t="n"/>
      <c r="E400" s="9" t="n"/>
      <c r="F400" s="9" t="n"/>
      <c r="G400" s="9" t="n"/>
      <c r="H400" s="9" t="n"/>
      <c r="I400" s="9" t="n"/>
      <c r="J400" s="3" t="n"/>
      <c r="K400" s="9" t="n"/>
    </row>
    <row r="401">
      <c r="A401" s="4" t="n"/>
      <c r="B401" s="9">
        <f>IF(A401="","",INT((DAY(A401)-1)/7)+1)</f>
        <v/>
      </c>
      <c r="C401" s="9" t="n"/>
      <c r="D401" s="9" t="n"/>
      <c r="E401" s="9" t="n"/>
      <c r="F401" s="9" t="n"/>
      <c r="G401" s="9" t="n"/>
      <c r="H401" s="9" t="n"/>
      <c r="I401" s="9" t="n"/>
      <c r="J401" s="3" t="n"/>
      <c r="K401" s="9" t="n"/>
    </row>
    <row r="402">
      <c r="A402" s="4" t="n"/>
      <c r="B402" s="9">
        <f>IF(A402="","",INT((DAY(A402)-1)/7)+1)</f>
        <v/>
      </c>
      <c r="C402" s="9" t="n"/>
      <c r="D402" s="9" t="n"/>
      <c r="E402" s="9" t="n"/>
      <c r="F402" s="9" t="n"/>
      <c r="G402" s="9" t="n"/>
      <c r="H402" s="9" t="n"/>
      <c r="I402" s="9" t="n"/>
      <c r="J402" s="3" t="n"/>
      <c r="K402" s="9" t="n"/>
    </row>
    <row r="403">
      <c r="A403" s="4" t="n"/>
      <c r="B403" s="9">
        <f>IF(A403="","",INT((DAY(A403)-1)/7)+1)</f>
        <v/>
      </c>
      <c r="C403" s="9" t="n"/>
      <c r="D403" s="9" t="n"/>
      <c r="E403" s="9" t="n"/>
      <c r="F403" s="9" t="n"/>
      <c r="G403" s="9" t="n"/>
      <c r="H403" s="9" t="n"/>
      <c r="I403" s="9" t="n"/>
      <c r="J403" s="3" t="n"/>
      <c r="K403" s="9" t="n"/>
    </row>
    <row r="404">
      <c r="A404" s="4" t="n"/>
      <c r="B404" s="9">
        <f>IF(A404="","",INT((DAY(A404)-1)/7)+1)</f>
        <v/>
      </c>
      <c r="C404" s="9" t="n"/>
      <c r="D404" s="9" t="n"/>
      <c r="E404" s="9" t="n"/>
      <c r="F404" s="9" t="n"/>
      <c r="G404" s="9" t="n"/>
      <c r="H404" s="9" t="n"/>
      <c r="I404" s="9" t="n"/>
      <c r="J404" s="3" t="n"/>
      <c r="K404" s="9" t="n"/>
    </row>
    <row r="405">
      <c r="A405" s="4" t="n"/>
      <c r="B405" s="9">
        <f>IF(A405="","",INT((DAY(A405)-1)/7)+1)</f>
        <v/>
      </c>
      <c r="C405" s="9" t="n"/>
      <c r="D405" s="9" t="n"/>
      <c r="E405" s="9" t="n"/>
      <c r="F405" s="9" t="n"/>
      <c r="G405" s="9" t="n"/>
      <c r="H405" s="9" t="n"/>
      <c r="I405" s="9" t="n"/>
      <c r="J405" s="3" t="n"/>
      <c r="K405" s="9" t="n"/>
    </row>
    <row r="406">
      <c r="A406" s="4" t="n"/>
      <c r="B406" s="9">
        <f>IF(A406="","",INT((DAY(A406)-1)/7)+1)</f>
        <v/>
      </c>
      <c r="C406" s="9" t="n"/>
      <c r="D406" s="9" t="n"/>
      <c r="E406" s="9" t="n"/>
      <c r="F406" s="9" t="n"/>
      <c r="G406" s="9" t="n"/>
      <c r="H406" s="9" t="n"/>
      <c r="I406" s="9" t="n"/>
      <c r="J406" s="3" t="n"/>
      <c r="K406" s="9" t="n"/>
    </row>
    <row r="407">
      <c r="A407" s="4" t="n"/>
      <c r="B407" s="9">
        <f>IF(A407="","",INT((DAY(A407)-1)/7)+1)</f>
        <v/>
      </c>
      <c r="C407" s="9" t="n"/>
      <c r="D407" s="9" t="n"/>
      <c r="E407" s="9" t="n"/>
      <c r="F407" s="9" t="n"/>
      <c r="G407" s="9" t="n"/>
      <c r="H407" s="9" t="n"/>
      <c r="I407" s="9" t="n"/>
      <c r="J407" s="3" t="n"/>
      <c r="K407" s="9" t="n"/>
    </row>
    <row r="408">
      <c r="A408" s="4" t="n"/>
      <c r="B408" s="9">
        <f>IF(A408="","",INT((DAY(A408)-1)/7)+1)</f>
        <v/>
      </c>
      <c r="C408" s="9" t="n"/>
      <c r="D408" s="9" t="n"/>
      <c r="E408" s="9" t="n"/>
      <c r="F408" s="9" t="n"/>
      <c r="G408" s="9" t="n"/>
      <c r="H408" s="9" t="n"/>
      <c r="I408" s="9" t="n"/>
      <c r="J408" s="3" t="n"/>
      <c r="K408" s="9" t="n"/>
    </row>
    <row r="409">
      <c r="A409" s="4" t="n"/>
      <c r="B409" s="9">
        <f>IF(A409="","",INT((DAY(A409)-1)/7)+1)</f>
        <v/>
      </c>
      <c r="C409" s="9" t="n"/>
      <c r="D409" s="9" t="n"/>
      <c r="E409" s="9" t="n"/>
      <c r="F409" s="9" t="n"/>
      <c r="G409" s="9" t="n"/>
      <c r="H409" s="9" t="n"/>
      <c r="I409" s="9" t="n"/>
      <c r="J409" s="3" t="n"/>
      <c r="K409" s="9" t="n"/>
    </row>
    <row r="410">
      <c r="A410" s="4" t="n"/>
      <c r="B410" s="9">
        <f>IF(A410="","",INT((DAY(A410)-1)/7)+1)</f>
        <v/>
      </c>
      <c r="C410" s="9" t="n"/>
      <c r="D410" s="9" t="n"/>
      <c r="E410" s="9" t="n"/>
      <c r="F410" s="9" t="n"/>
      <c r="G410" s="9" t="n"/>
      <c r="H410" s="9" t="n"/>
      <c r="I410" s="9" t="n"/>
      <c r="J410" s="3" t="n"/>
      <c r="K410" s="9" t="n"/>
    </row>
    <row r="411">
      <c r="A411" s="4" t="n"/>
      <c r="B411" s="9">
        <f>IF(A411="","",INT((DAY(A411)-1)/7)+1)</f>
        <v/>
      </c>
      <c r="C411" s="9" t="n"/>
      <c r="D411" s="9" t="n"/>
      <c r="E411" s="9" t="n"/>
      <c r="F411" s="9" t="n"/>
      <c r="G411" s="9" t="n"/>
      <c r="H411" s="9" t="n"/>
      <c r="I411" s="9" t="n"/>
      <c r="J411" s="3" t="n"/>
      <c r="K411" s="9" t="n"/>
    </row>
    <row r="412">
      <c r="A412" s="4" t="n"/>
      <c r="B412" s="9">
        <f>IF(A412="","",INT((DAY(A412)-1)/7)+1)</f>
        <v/>
      </c>
      <c r="C412" s="9" t="n"/>
      <c r="D412" s="9" t="n"/>
      <c r="E412" s="9" t="n"/>
      <c r="F412" s="9" t="n"/>
      <c r="G412" s="9" t="n"/>
      <c r="H412" s="9" t="n"/>
      <c r="I412" s="9" t="n"/>
      <c r="J412" s="3" t="n"/>
      <c r="K412" s="9" t="n"/>
    </row>
    <row r="413">
      <c r="A413" s="4" t="n"/>
      <c r="B413" s="9">
        <f>IF(A413="","",INT((DAY(A413)-1)/7)+1)</f>
        <v/>
      </c>
      <c r="C413" s="9" t="n"/>
      <c r="D413" s="9" t="n"/>
      <c r="E413" s="9" t="n"/>
      <c r="F413" s="9" t="n"/>
      <c r="G413" s="9" t="n"/>
      <c r="H413" s="9" t="n"/>
      <c r="I413" s="9" t="n"/>
      <c r="J413" s="3" t="n"/>
      <c r="K413" s="9" t="n"/>
    </row>
    <row r="414">
      <c r="A414" s="4" t="n"/>
      <c r="B414" s="9">
        <f>IF(A414="","",INT((DAY(A414)-1)/7)+1)</f>
        <v/>
      </c>
      <c r="C414" s="9" t="n"/>
      <c r="D414" s="9" t="n"/>
      <c r="E414" s="9" t="n"/>
      <c r="F414" s="9" t="n"/>
      <c r="G414" s="9" t="n"/>
      <c r="H414" s="9" t="n"/>
      <c r="I414" s="9" t="n"/>
      <c r="J414" s="3" t="n"/>
      <c r="K414" s="9" t="n"/>
    </row>
    <row r="415">
      <c r="A415" s="4" t="n"/>
      <c r="B415" s="9">
        <f>IF(A415="","",INT((DAY(A415)-1)/7)+1)</f>
        <v/>
      </c>
      <c r="C415" s="9" t="n"/>
      <c r="D415" s="9" t="n"/>
      <c r="E415" s="9" t="n"/>
      <c r="F415" s="9" t="n"/>
      <c r="G415" s="9" t="n"/>
      <c r="H415" s="9" t="n"/>
      <c r="I415" s="9" t="n"/>
      <c r="J415" s="3" t="n"/>
      <c r="K415" s="9" t="n"/>
    </row>
    <row r="416">
      <c r="A416" s="4" t="n"/>
      <c r="B416" s="9">
        <f>IF(A416="","",INT((DAY(A416)-1)/7)+1)</f>
        <v/>
      </c>
      <c r="C416" s="9" t="n"/>
      <c r="D416" s="9" t="n"/>
      <c r="E416" s="9" t="n"/>
      <c r="F416" s="9" t="n"/>
      <c r="G416" s="9" t="n"/>
      <c r="H416" s="9" t="n"/>
      <c r="I416" s="9" t="n"/>
      <c r="J416" s="3" t="n"/>
      <c r="K416" s="9" t="n"/>
    </row>
    <row r="417">
      <c r="A417" s="4" t="n"/>
      <c r="B417" s="9">
        <f>IF(A417="","",INT((DAY(A417)-1)/7)+1)</f>
        <v/>
      </c>
      <c r="C417" s="9" t="n"/>
      <c r="D417" s="9" t="n"/>
      <c r="E417" s="9" t="n"/>
      <c r="F417" s="9" t="n"/>
      <c r="G417" s="9" t="n"/>
      <c r="H417" s="9" t="n"/>
      <c r="I417" s="9" t="n"/>
      <c r="J417" s="3" t="n"/>
      <c r="K417" s="9" t="n"/>
    </row>
    <row r="418">
      <c r="A418" s="4" t="n"/>
      <c r="B418" s="9">
        <f>IF(A418="","",INT((DAY(A418)-1)/7)+1)</f>
        <v/>
      </c>
      <c r="C418" s="9" t="n"/>
      <c r="D418" s="9" t="n"/>
      <c r="E418" s="9" t="n"/>
      <c r="F418" s="9" t="n"/>
      <c r="G418" s="9" t="n"/>
      <c r="H418" s="9" t="n"/>
      <c r="I418" s="9" t="n"/>
      <c r="J418" s="3" t="n"/>
      <c r="K418" s="9" t="n"/>
    </row>
    <row r="419">
      <c r="A419" s="4" t="n"/>
      <c r="B419" s="9">
        <f>IF(A419="","",INT((DAY(A419)-1)/7)+1)</f>
        <v/>
      </c>
      <c r="C419" s="9" t="n"/>
      <c r="D419" s="9" t="n"/>
      <c r="E419" s="9" t="n"/>
      <c r="F419" s="9" t="n"/>
      <c r="G419" s="9" t="n"/>
      <c r="H419" s="9" t="n"/>
      <c r="I419" s="9" t="n"/>
      <c r="J419" s="3" t="n"/>
      <c r="K419" s="9" t="n"/>
    </row>
    <row r="420">
      <c r="A420" s="4" t="n"/>
      <c r="B420" s="9">
        <f>IF(A420="","",INT((DAY(A420)-1)/7)+1)</f>
        <v/>
      </c>
      <c r="C420" s="9" t="n"/>
      <c r="D420" s="9" t="n"/>
      <c r="E420" s="9" t="n"/>
      <c r="F420" s="9" t="n"/>
      <c r="G420" s="9" t="n"/>
      <c r="H420" s="9" t="n"/>
      <c r="I420" s="9" t="n"/>
      <c r="J420" s="3" t="n"/>
      <c r="K420" s="9" t="n"/>
    </row>
    <row r="421">
      <c r="A421" s="4" t="n"/>
      <c r="B421" s="9">
        <f>IF(A421="","",INT((DAY(A421)-1)/7)+1)</f>
        <v/>
      </c>
      <c r="C421" s="9" t="n"/>
      <c r="D421" s="9" t="n"/>
      <c r="E421" s="9" t="n"/>
      <c r="F421" s="9" t="n"/>
      <c r="G421" s="9" t="n"/>
      <c r="H421" s="9" t="n"/>
      <c r="I421" s="9" t="n"/>
      <c r="J421" s="3" t="n"/>
      <c r="K421" s="9" t="n"/>
    </row>
    <row r="422">
      <c r="A422" s="4" t="n"/>
      <c r="B422" s="9">
        <f>IF(A422="","",INT((DAY(A422)-1)/7)+1)</f>
        <v/>
      </c>
      <c r="C422" s="9" t="n"/>
      <c r="D422" s="9" t="n"/>
      <c r="E422" s="9" t="n"/>
      <c r="F422" s="9" t="n"/>
      <c r="G422" s="9" t="n"/>
      <c r="H422" s="9" t="n"/>
      <c r="I422" s="9" t="n"/>
      <c r="J422" s="3" t="n"/>
      <c r="K422" s="9" t="n"/>
    </row>
    <row r="423">
      <c r="A423" s="4" t="n"/>
      <c r="B423" s="9">
        <f>IF(A423="","",INT((DAY(A423)-1)/7)+1)</f>
        <v/>
      </c>
      <c r="C423" s="9" t="n"/>
      <c r="D423" s="9" t="n"/>
      <c r="E423" s="9" t="n"/>
      <c r="F423" s="9" t="n"/>
      <c r="G423" s="9" t="n"/>
      <c r="H423" s="9" t="n"/>
      <c r="I423" s="9" t="n"/>
      <c r="J423" s="3" t="n"/>
      <c r="K423" s="9" t="n"/>
    </row>
    <row r="424">
      <c r="A424" s="4" t="n"/>
      <c r="B424" s="9">
        <f>IF(A424="","",INT((DAY(A424)-1)/7)+1)</f>
        <v/>
      </c>
      <c r="C424" s="9" t="n"/>
      <c r="D424" s="9" t="n"/>
      <c r="E424" s="9" t="n"/>
      <c r="F424" s="9" t="n"/>
      <c r="G424" s="9" t="n"/>
      <c r="H424" s="9" t="n"/>
      <c r="I424" s="9" t="n"/>
      <c r="J424" s="3" t="n"/>
      <c r="K424" s="9" t="n"/>
    </row>
    <row r="425">
      <c r="A425" s="4" t="n"/>
      <c r="B425" s="9">
        <f>IF(A425="","",INT((DAY(A425)-1)/7)+1)</f>
        <v/>
      </c>
      <c r="C425" s="9" t="n"/>
      <c r="D425" s="9" t="n"/>
      <c r="E425" s="9" t="n"/>
      <c r="F425" s="9" t="n"/>
      <c r="G425" s="9" t="n"/>
      <c r="H425" s="9" t="n"/>
      <c r="I425" s="9" t="n"/>
      <c r="J425" s="3" t="n"/>
      <c r="K425" s="9" t="n"/>
    </row>
    <row r="426">
      <c r="A426" s="4" t="n"/>
      <c r="B426" s="9">
        <f>IF(A426="","",INT((DAY(A426)-1)/7)+1)</f>
        <v/>
      </c>
      <c r="C426" s="9" t="n"/>
      <c r="D426" s="9" t="n"/>
      <c r="E426" s="9" t="n"/>
      <c r="F426" s="9" t="n"/>
      <c r="G426" s="9" t="n"/>
      <c r="H426" s="9" t="n"/>
      <c r="I426" s="9" t="n"/>
      <c r="J426" s="3" t="n"/>
      <c r="K426" s="9" t="n"/>
    </row>
    <row r="427">
      <c r="A427" s="4" t="n"/>
      <c r="B427" s="9">
        <f>IF(A427="","",INT((DAY(A427)-1)/7)+1)</f>
        <v/>
      </c>
      <c r="C427" s="9" t="n"/>
      <c r="D427" s="9" t="n"/>
      <c r="E427" s="9" t="n"/>
      <c r="F427" s="9" t="n"/>
      <c r="G427" s="9" t="n"/>
      <c r="H427" s="9" t="n"/>
      <c r="I427" s="9" t="n"/>
      <c r="J427" s="3" t="n"/>
      <c r="K427" s="9" t="n"/>
    </row>
    <row r="428">
      <c r="A428" s="4" t="n"/>
      <c r="B428" s="9">
        <f>IF(A428="","",INT((DAY(A428)-1)/7)+1)</f>
        <v/>
      </c>
      <c r="C428" s="9" t="n"/>
      <c r="D428" s="9" t="n"/>
      <c r="E428" s="9" t="n"/>
      <c r="F428" s="9" t="n"/>
      <c r="G428" s="9" t="n"/>
      <c r="H428" s="9" t="n"/>
      <c r="I428" s="9" t="n"/>
      <c r="J428" s="3" t="n"/>
      <c r="K428" s="9" t="n"/>
    </row>
    <row r="429">
      <c r="A429" s="4" t="n"/>
      <c r="B429" s="9">
        <f>IF(A429="","",INT((DAY(A429)-1)/7)+1)</f>
        <v/>
      </c>
      <c r="C429" s="9" t="n"/>
      <c r="D429" s="9" t="n"/>
      <c r="E429" s="9" t="n"/>
      <c r="F429" s="9" t="n"/>
      <c r="G429" s="9" t="n"/>
      <c r="H429" s="9" t="n"/>
      <c r="I429" s="9" t="n"/>
      <c r="J429" s="3" t="n"/>
      <c r="K429" s="9" t="n"/>
    </row>
    <row r="430">
      <c r="A430" s="4" t="n"/>
      <c r="B430" s="9">
        <f>IF(A430="","",INT((DAY(A430)-1)/7)+1)</f>
        <v/>
      </c>
      <c r="C430" s="9" t="n"/>
      <c r="D430" s="9" t="n"/>
      <c r="E430" s="9" t="n"/>
      <c r="F430" s="9" t="n"/>
      <c r="G430" s="9" t="n"/>
      <c r="H430" s="9" t="n"/>
      <c r="I430" s="9" t="n"/>
      <c r="J430" s="3" t="n"/>
      <c r="K430" s="9" t="n"/>
    </row>
    <row r="431">
      <c r="A431" s="4" t="n"/>
      <c r="B431" s="9">
        <f>IF(A431="","",INT((DAY(A431)-1)/7)+1)</f>
        <v/>
      </c>
      <c r="C431" s="9" t="n"/>
      <c r="D431" s="9" t="n"/>
      <c r="E431" s="9" t="n"/>
      <c r="F431" s="9" t="n"/>
      <c r="G431" s="9" t="n"/>
      <c r="H431" s="9" t="n"/>
      <c r="I431" s="9" t="n"/>
      <c r="J431" s="3" t="n"/>
      <c r="K431" s="9" t="n"/>
    </row>
    <row r="432">
      <c r="A432" s="4" t="n"/>
      <c r="B432" s="9">
        <f>IF(A432="","",INT((DAY(A432)-1)/7)+1)</f>
        <v/>
      </c>
      <c r="C432" s="9" t="n"/>
      <c r="D432" s="9" t="n"/>
      <c r="E432" s="9" t="n"/>
      <c r="F432" s="9" t="n"/>
      <c r="G432" s="9" t="n"/>
      <c r="H432" s="9" t="n"/>
      <c r="I432" s="9" t="n"/>
      <c r="J432" s="3" t="n"/>
      <c r="K432" s="9" t="n"/>
    </row>
    <row r="433">
      <c r="A433" s="4" t="n"/>
      <c r="B433" s="9">
        <f>IF(A433="","",INT((DAY(A433)-1)/7)+1)</f>
        <v/>
      </c>
      <c r="C433" s="9" t="n"/>
      <c r="D433" s="9" t="n"/>
      <c r="E433" s="9" t="n"/>
      <c r="F433" s="9" t="n"/>
      <c r="G433" s="9" t="n"/>
      <c r="H433" s="9" t="n"/>
      <c r="I433" s="9" t="n"/>
      <c r="J433" s="3" t="n"/>
      <c r="K433" s="9" t="n"/>
    </row>
    <row r="434">
      <c r="A434" s="4" t="n"/>
      <c r="B434" s="9">
        <f>IF(A434="","",INT((DAY(A434)-1)/7)+1)</f>
        <v/>
      </c>
      <c r="C434" s="9" t="n"/>
      <c r="D434" s="9" t="n"/>
      <c r="E434" s="9" t="n"/>
      <c r="F434" s="9" t="n"/>
      <c r="G434" s="9" t="n"/>
      <c r="H434" s="9" t="n"/>
      <c r="I434" s="9" t="n"/>
      <c r="J434" s="3" t="n"/>
      <c r="K434" s="9" t="n"/>
    </row>
    <row r="435">
      <c r="A435" s="4" t="n"/>
      <c r="B435" s="9">
        <f>IF(A435="","",INT((DAY(A435)-1)/7)+1)</f>
        <v/>
      </c>
      <c r="C435" s="9" t="n"/>
      <c r="D435" s="9" t="n"/>
      <c r="E435" s="9" t="n"/>
      <c r="F435" s="9" t="n"/>
      <c r="G435" s="9" t="n"/>
      <c r="H435" s="9" t="n"/>
      <c r="I435" s="9" t="n"/>
      <c r="J435" s="3" t="n"/>
      <c r="K435" s="9" t="n"/>
    </row>
    <row r="436">
      <c r="A436" s="4" t="n"/>
      <c r="B436" s="9">
        <f>IF(A436="","",INT((DAY(A436)-1)/7)+1)</f>
        <v/>
      </c>
      <c r="C436" s="9" t="n"/>
      <c r="D436" s="9" t="n"/>
      <c r="E436" s="9" t="n"/>
      <c r="F436" s="9" t="n"/>
      <c r="G436" s="9" t="n"/>
      <c r="H436" s="9" t="n"/>
      <c r="I436" s="9" t="n"/>
      <c r="J436" s="3" t="n"/>
      <c r="K436" s="9" t="n"/>
    </row>
    <row r="437">
      <c r="A437" s="4" t="n"/>
      <c r="B437" s="9">
        <f>IF(A437="","",INT((DAY(A437)-1)/7)+1)</f>
        <v/>
      </c>
      <c r="C437" s="9" t="n"/>
      <c r="D437" s="9" t="n"/>
      <c r="E437" s="9" t="n"/>
      <c r="F437" s="9" t="n"/>
      <c r="G437" s="9" t="n"/>
      <c r="H437" s="9" t="n"/>
      <c r="I437" s="9" t="n"/>
      <c r="J437" s="3" t="n"/>
      <c r="K437" s="9" t="n"/>
    </row>
    <row r="438">
      <c r="A438" s="4" t="n"/>
      <c r="B438" s="9">
        <f>IF(A438="","",INT((DAY(A438)-1)/7)+1)</f>
        <v/>
      </c>
      <c r="C438" s="9" t="n"/>
      <c r="D438" s="9" t="n"/>
      <c r="E438" s="9" t="n"/>
      <c r="F438" s="9" t="n"/>
      <c r="G438" s="9" t="n"/>
      <c r="H438" s="9" t="n"/>
      <c r="I438" s="9" t="n"/>
      <c r="J438" s="3" t="n"/>
      <c r="K438" s="9" t="n"/>
    </row>
    <row r="439">
      <c r="A439" s="4" t="n"/>
      <c r="B439" s="9">
        <f>IF(A439="","",INT((DAY(A439)-1)/7)+1)</f>
        <v/>
      </c>
      <c r="C439" s="9" t="n"/>
      <c r="D439" s="9" t="n"/>
      <c r="E439" s="9" t="n"/>
      <c r="F439" s="9" t="n"/>
      <c r="G439" s="9" t="n"/>
      <c r="H439" s="9" t="n"/>
      <c r="I439" s="9" t="n"/>
      <c r="J439" s="3" t="n"/>
      <c r="K439" s="9" t="n"/>
    </row>
    <row r="440">
      <c r="A440" s="4" t="n"/>
      <c r="B440" s="9">
        <f>IF(A440="","",INT((DAY(A440)-1)/7)+1)</f>
        <v/>
      </c>
      <c r="C440" s="9" t="n"/>
      <c r="D440" s="9" t="n"/>
      <c r="E440" s="9" t="n"/>
      <c r="F440" s="9" t="n"/>
      <c r="G440" s="9" t="n"/>
      <c r="H440" s="9" t="n"/>
      <c r="I440" s="9" t="n"/>
      <c r="J440" s="3" t="n"/>
      <c r="K440" s="9" t="n"/>
    </row>
    <row r="441">
      <c r="A441" s="4" t="n"/>
      <c r="B441" s="9">
        <f>IF(A441="","",INT((DAY(A441)-1)/7)+1)</f>
        <v/>
      </c>
      <c r="C441" s="9" t="n"/>
      <c r="D441" s="9" t="n"/>
      <c r="E441" s="9" t="n"/>
      <c r="F441" s="9" t="n"/>
      <c r="G441" s="9" t="n"/>
      <c r="H441" s="9" t="n"/>
      <c r="I441" s="9" t="n"/>
      <c r="J441" s="3" t="n"/>
      <c r="K441" s="9" t="n"/>
    </row>
    <row r="442">
      <c r="A442" s="4" t="n"/>
      <c r="B442" s="9">
        <f>IF(A442="","",INT((DAY(A442)-1)/7)+1)</f>
        <v/>
      </c>
      <c r="C442" s="9" t="n"/>
      <c r="D442" s="9" t="n"/>
      <c r="E442" s="9" t="n"/>
      <c r="F442" s="9" t="n"/>
      <c r="G442" s="9" t="n"/>
      <c r="H442" s="9" t="n"/>
      <c r="I442" s="9" t="n"/>
      <c r="J442" s="3" t="n"/>
      <c r="K442" s="9" t="n"/>
    </row>
    <row r="443">
      <c r="A443" s="4" t="n"/>
      <c r="B443" s="9">
        <f>IF(A443="","",INT((DAY(A443)-1)/7)+1)</f>
        <v/>
      </c>
      <c r="C443" s="9" t="n"/>
      <c r="D443" s="9" t="n"/>
      <c r="E443" s="9" t="n"/>
      <c r="F443" s="9" t="n"/>
      <c r="G443" s="9" t="n"/>
      <c r="H443" s="9" t="n"/>
      <c r="I443" s="9" t="n"/>
      <c r="J443" s="3" t="n"/>
      <c r="K443" s="9" t="n"/>
    </row>
    <row r="444">
      <c r="A444" s="4" t="n"/>
      <c r="B444" s="9">
        <f>IF(A444="","",INT((DAY(A444)-1)/7)+1)</f>
        <v/>
      </c>
      <c r="C444" s="9" t="n"/>
      <c r="D444" s="9" t="n"/>
      <c r="E444" s="9" t="n"/>
      <c r="F444" s="9" t="n"/>
      <c r="G444" s="9" t="n"/>
      <c r="H444" s="9" t="n"/>
      <c r="I444" s="9" t="n"/>
      <c r="J444" s="3" t="n"/>
      <c r="K444" s="9" t="n"/>
    </row>
    <row r="445">
      <c r="A445" s="4" t="n"/>
      <c r="B445" s="9">
        <f>IF(A445="","",INT((DAY(A445)-1)/7)+1)</f>
        <v/>
      </c>
      <c r="C445" s="9" t="n"/>
      <c r="D445" s="9" t="n"/>
      <c r="E445" s="9" t="n"/>
      <c r="F445" s="9" t="n"/>
      <c r="G445" s="9" t="n"/>
      <c r="H445" s="9" t="n"/>
      <c r="I445" s="9" t="n"/>
      <c r="J445" s="3" t="n"/>
      <c r="K445" s="9" t="n"/>
    </row>
    <row r="446">
      <c r="A446" s="4" t="n"/>
      <c r="B446" s="9">
        <f>IF(A446="","",INT((DAY(A446)-1)/7)+1)</f>
        <v/>
      </c>
      <c r="C446" s="9" t="n"/>
      <c r="D446" s="9" t="n"/>
      <c r="E446" s="9" t="n"/>
      <c r="F446" s="9" t="n"/>
      <c r="G446" s="9" t="n"/>
      <c r="H446" s="9" t="n"/>
      <c r="I446" s="9" t="n"/>
      <c r="J446" s="3" t="n"/>
      <c r="K446" s="9" t="n"/>
    </row>
    <row r="447">
      <c r="A447" s="4" t="n"/>
      <c r="B447" s="9">
        <f>IF(A447="","",INT((DAY(A447)-1)/7)+1)</f>
        <v/>
      </c>
      <c r="C447" s="9" t="n"/>
      <c r="D447" s="9" t="n"/>
      <c r="E447" s="9" t="n"/>
      <c r="F447" s="9" t="n"/>
      <c r="G447" s="9" t="n"/>
      <c r="H447" s="9" t="n"/>
      <c r="I447" s="9" t="n"/>
      <c r="J447" s="3" t="n"/>
      <c r="K447" s="9" t="n"/>
    </row>
    <row r="448">
      <c r="A448" s="4" t="n"/>
      <c r="B448" s="9">
        <f>IF(A448="","",INT((DAY(A448)-1)/7)+1)</f>
        <v/>
      </c>
      <c r="C448" s="9" t="n"/>
      <c r="D448" s="9" t="n"/>
      <c r="E448" s="9" t="n"/>
      <c r="F448" s="9" t="n"/>
      <c r="G448" s="9" t="n"/>
      <c r="H448" s="9" t="n"/>
      <c r="I448" s="9" t="n"/>
      <c r="J448" s="3" t="n"/>
      <c r="K448" s="9" t="n"/>
    </row>
    <row r="449">
      <c r="A449" s="4" t="n"/>
      <c r="B449" s="9">
        <f>IF(A449="","",INT((DAY(A449)-1)/7)+1)</f>
        <v/>
      </c>
      <c r="C449" s="9" t="n"/>
      <c r="D449" s="9" t="n"/>
      <c r="E449" s="9" t="n"/>
      <c r="F449" s="9" t="n"/>
      <c r="G449" s="9" t="n"/>
      <c r="H449" s="9" t="n"/>
      <c r="I449" s="9" t="n"/>
      <c r="J449" s="3" t="n"/>
      <c r="K449" s="9" t="n"/>
    </row>
    <row r="450">
      <c r="A450" s="4" t="n"/>
      <c r="B450" s="9">
        <f>IF(A450="","",INT((DAY(A450)-1)/7)+1)</f>
        <v/>
      </c>
      <c r="C450" s="9" t="n"/>
      <c r="D450" s="9" t="n"/>
      <c r="E450" s="9" t="n"/>
      <c r="F450" s="9" t="n"/>
      <c r="G450" s="9" t="n"/>
      <c r="H450" s="9" t="n"/>
      <c r="I450" s="9" t="n"/>
      <c r="J450" s="3" t="n"/>
      <c r="K450" s="9" t="n"/>
    </row>
    <row r="451">
      <c r="A451" s="4" t="n"/>
      <c r="B451" s="9">
        <f>IF(A451="","",INT((DAY(A451)-1)/7)+1)</f>
        <v/>
      </c>
      <c r="C451" s="9" t="n"/>
      <c r="D451" s="9" t="n"/>
      <c r="E451" s="9" t="n"/>
      <c r="F451" s="9" t="n"/>
      <c r="G451" s="9" t="n"/>
      <c r="H451" s="9" t="n"/>
      <c r="I451" s="9" t="n"/>
      <c r="J451" s="3" t="n"/>
      <c r="K451" s="9" t="n"/>
    </row>
    <row r="452">
      <c r="A452" s="4" t="n"/>
      <c r="B452" s="9">
        <f>IF(A452="","",INT((DAY(A452)-1)/7)+1)</f>
        <v/>
      </c>
      <c r="C452" s="9" t="n"/>
      <c r="D452" s="9" t="n"/>
      <c r="E452" s="9" t="n"/>
      <c r="F452" s="9" t="n"/>
      <c r="G452" s="9" t="n"/>
      <c r="H452" s="9" t="n"/>
      <c r="I452" s="9" t="n"/>
      <c r="J452" s="3" t="n"/>
      <c r="K452" s="9" t="n"/>
    </row>
    <row r="453">
      <c r="A453" s="4" t="n"/>
      <c r="B453" s="9">
        <f>IF(A453="","",INT((DAY(A453)-1)/7)+1)</f>
        <v/>
      </c>
      <c r="C453" s="9" t="n"/>
      <c r="D453" s="9" t="n"/>
      <c r="E453" s="9" t="n"/>
      <c r="F453" s="9" t="n"/>
      <c r="G453" s="9" t="n"/>
      <c r="H453" s="9" t="n"/>
      <c r="I453" s="9" t="n"/>
      <c r="J453" s="3" t="n"/>
      <c r="K453" s="9" t="n"/>
    </row>
    <row r="454">
      <c r="A454" s="4" t="n"/>
      <c r="B454" s="9">
        <f>IF(A454="","",INT((DAY(A454)-1)/7)+1)</f>
        <v/>
      </c>
      <c r="C454" s="9" t="n"/>
      <c r="D454" s="9" t="n"/>
      <c r="E454" s="9" t="n"/>
      <c r="F454" s="9" t="n"/>
      <c r="G454" s="9" t="n"/>
      <c r="H454" s="9" t="n"/>
      <c r="I454" s="9" t="n"/>
      <c r="J454" s="3" t="n"/>
      <c r="K454" s="9" t="n"/>
    </row>
    <row r="455">
      <c r="A455" s="4" t="n"/>
      <c r="B455" s="9">
        <f>IF(A455="","",INT((DAY(A455)-1)/7)+1)</f>
        <v/>
      </c>
      <c r="C455" s="9" t="n"/>
      <c r="D455" s="9" t="n"/>
      <c r="E455" s="9" t="n"/>
      <c r="F455" s="9" t="n"/>
      <c r="G455" s="9" t="n"/>
      <c r="H455" s="9" t="n"/>
      <c r="I455" s="9" t="n"/>
      <c r="J455" s="3" t="n"/>
      <c r="K455" s="9" t="n"/>
    </row>
    <row r="456">
      <c r="A456" s="4" t="n"/>
      <c r="B456" s="9">
        <f>IF(A456="","",INT((DAY(A456)-1)/7)+1)</f>
        <v/>
      </c>
      <c r="C456" s="9" t="n"/>
      <c r="D456" s="9" t="n"/>
      <c r="E456" s="9" t="n"/>
      <c r="F456" s="9" t="n"/>
      <c r="G456" s="9" t="n"/>
      <c r="H456" s="9" t="n"/>
      <c r="I456" s="9" t="n"/>
      <c r="J456" s="3" t="n"/>
      <c r="K456" s="9" t="n"/>
    </row>
    <row r="457">
      <c r="A457" s="4" t="n"/>
      <c r="B457" s="9">
        <f>IF(A457="","",INT((DAY(A457)-1)/7)+1)</f>
        <v/>
      </c>
      <c r="C457" s="9" t="n"/>
      <c r="D457" s="9" t="n"/>
      <c r="E457" s="9" t="n"/>
      <c r="F457" s="9" t="n"/>
      <c r="G457" s="9" t="n"/>
      <c r="H457" s="9" t="n"/>
      <c r="I457" s="9" t="n"/>
      <c r="J457" s="3" t="n"/>
      <c r="K457" s="9" t="n"/>
    </row>
    <row r="458">
      <c r="A458" s="4" t="n"/>
      <c r="B458" s="9">
        <f>IF(A458="","",INT((DAY(A458)-1)/7)+1)</f>
        <v/>
      </c>
      <c r="C458" s="9" t="n"/>
      <c r="D458" s="9" t="n"/>
      <c r="E458" s="9" t="n"/>
      <c r="F458" s="9" t="n"/>
      <c r="G458" s="9" t="n"/>
      <c r="H458" s="9" t="n"/>
      <c r="I458" s="9" t="n"/>
      <c r="J458" s="3" t="n"/>
      <c r="K458" s="9" t="n"/>
    </row>
    <row r="459">
      <c r="A459" s="4" t="n"/>
      <c r="B459" s="9">
        <f>IF(A459="","",INT((DAY(A459)-1)/7)+1)</f>
        <v/>
      </c>
      <c r="C459" s="9" t="n"/>
      <c r="D459" s="9" t="n"/>
      <c r="E459" s="9" t="n"/>
      <c r="F459" s="9" t="n"/>
      <c r="G459" s="9" t="n"/>
      <c r="H459" s="9" t="n"/>
      <c r="I459" s="9" t="n"/>
      <c r="J459" s="3" t="n"/>
      <c r="K459" s="9" t="n"/>
    </row>
    <row r="460">
      <c r="A460" s="4" t="n"/>
      <c r="B460" s="9">
        <f>IF(A460="","",INT((DAY(A460)-1)/7)+1)</f>
        <v/>
      </c>
      <c r="C460" s="9" t="n"/>
      <c r="D460" s="9" t="n"/>
      <c r="E460" s="9" t="n"/>
      <c r="F460" s="9" t="n"/>
      <c r="G460" s="9" t="n"/>
      <c r="H460" s="9" t="n"/>
      <c r="I460" s="9" t="n"/>
      <c r="J460" s="3" t="n"/>
      <c r="K460" s="9" t="n"/>
    </row>
    <row r="461">
      <c r="A461" s="4" t="n"/>
      <c r="B461" s="9">
        <f>IF(A461="","",INT((DAY(A461)-1)/7)+1)</f>
        <v/>
      </c>
      <c r="C461" s="9" t="n"/>
      <c r="D461" s="9" t="n"/>
      <c r="E461" s="9" t="n"/>
      <c r="F461" s="9" t="n"/>
      <c r="G461" s="9" t="n"/>
      <c r="H461" s="9" t="n"/>
      <c r="I461" s="9" t="n"/>
      <c r="J461" s="3" t="n"/>
      <c r="K461" s="9" t="n"/>
    </row>
    <row r="462">
      <c r="A462" s="4" t="n"/>
      <c r="B462" s="9">
        <f>IF(A462="","",INT((DAY(A462)-1)/7)+1)</f>
        <v/>
      </c>
      <c r="C462" s="9" t="n"/>
      <c r="D462" s="9" t="n"/>
      <c r="E462" s="9" t="n"/>
      <c r="F462" s="9" t="n"/>
      <c r="G462" s="9" t="n"/>
      <c r="H462" s="9" t="n"/>
      <c r="I462" s="9" t="n"/>
      <c r="J462" s="3" t="n"/>
      <c r="K462" s="9" t="n"/>
    </row>
    <row r="463">
      <c r="A463" s="4" t="n"/>
      <c r="B463" s="9">
        <f>IF(A463="","",INT((DAY(A463)-1)/7)+1)</f>
        <v/>
      </c>
      <c r="C463" s="9" t="n"/>
      <c r="D463" s="9" t="n"/>
      <c r="E463" s="9" t="n"/>
      <c r="F463" s="9" t="n"/>
      <c r="G463" s="9" t="n"/>
      <c r="H463" s="9" t="n"/>
      <c r="I463" s="9" t="n"/>
      <c r="J463" s="3" t="n"/>
      <c r="K463" s="9" t="n"/>
    </row>
    <row r="464">
      <c r="A464" s="4" t="n"/>
      <c r="B464" s="9">
        <f>IF(A464="","",INT((DAY(A464)-1)/7)+1)</f>
        <v/>
      </c>
      <c r="C464" s="9" t="n"/>
      <c r="D464" s="9" t="n"/>
      <c r="E464" s="9" t="n"/>
      <c r="F464" s="9" t="n"/>
      <c r="G464" s="9" t="n"/>
      <c r="H464" s="9" t="n"/>
      <c r="I464" s="9" t="n"/>
      <c r="J464" s="3" t="n"/>
      <c r="K464" s="9" t="n"/>
    </row>
    <row r="465">
      <c r="A465" s="4" t="n"/>
      <c r="B465" s="9">
        <f>IF(A465="","",INT((DAY(A465)-1)/7)+1)</f>
        <v/>
      </c>
      <c r="C465" s="9" t="n"/>
      <c r="D465" s="9" t="n"/>
      <c r="E465" s="9" t="n"/>
      <c r="F465" s="9" t="n"/>
      <c r="G465" s="9" t="n"/>
      <c r="H465" s="9" t="n"/>
      <c r="I465" s="9" t="n"/>
      <c r="J465" s="3" t="n"/>
      <c r="K465" s="9" t="n"/>
    </row>
    <row r="466">
      <c r="A466" s="4" t="n"/>
      <c r="B466" s="9">
        <f>IF(A466="","",INT((DAY(A466)-1)/7)+1)</f>
        <v/>
      </c>
      <c r="C466" s="9" t="n"/>
      <c r="D466" s="9" t="n"/>
      <c r="E466" s="9" t="n"/>
      <c r="F466" s="9" t="n"/>
      <c r="G466" s="9" t="n"/>
      <c r="H466" s="9" t="n"/>
      <c r="I466" s="9" t="n"/>
      <c r="J466" s="3" t="n"/>
      <c r="K466" s="9" t="n"/>
    </row>
    <row r="467">
      <c r="A467" s="4" t="n"/>
      <c r="B467" s="9">
        <f>IF(A467="","",INT((DAY(A467)-1)/7)+1)</f>
        <v/>
      </c>
      <c r="C467" s="9" t="n"/>
      <c r="D467" s="9" t="n"/>
      <c r="E467" s="9" t="n"/>
      <c r="F467" s="9" t="n"/>
      <c r="G467" s="9" t="n"/>
      <c r="H467" s="9" t="n"/>
      <c r="I467" s="9" t="n"/>
      <c r="J467" s="3" t="n"/>
      <c r="K467" s="9" t="n"/>
    </row>
    <row r="468">
      <c r="A468" s="4" t="n"/>
      <c r="B468" s="9">
        <f>IF(A468="","",INT((DAY(A468)-1)/7)+1)</f>
        <v/>
      </c>
      <c r="C468" s="9" t="n"/>
      <c r="D468" s="9" t="n"/>
      <c r="E468" s="9" t="n"/>
      <c r="F468" s="9" t="n"/>
      <c r="G468" s="9" t="n"/>
      <c r="H468" s="9" t="n"/>
      <c r="I468" s="9" t="n"/>
      <c r="J468" s="3" t="n"/>
      <c r="K468" s="9" t="n"/>
    </row>
    <row r="469">
      <c r="A469" s="4" t="n"/>
      <c r="B469" s="9">
        <f>IF(A469="","",INT((DAY(A469)-1)/7)+1)</f>
        <v/>
      </c>
      <c r="C469" s="9" t="n"/>
      <c r="D469" s="9" t="n"/>
      <c r="E469" s="9" t="n"/>
      <c r="F469" s="9" t="n"/>
      <c r="G469" s="9" t="n"/>
      <c r="H469" s="9" t="n"/>
      <c r="I469" s="9" t="n"/>
      <c r="J469" s="3" t="n"/>
      <c r="K469" s="9" t="n"/>
    </row>
    <row r="470">
      <c r="A470" s="4" t="n"/>
      <c r="B470" s="9">
        <f>IF(A470="","",INT((DAY(A470)-1)/7)+1)</f>
        <v/>
      </c>
      <c r="C470" s="9" t="n"/>
      <c r="D470" s="9" t="n"/>
      <c r="E470" s="9" t="n"/>
      <c r="F470" s="9" t="n"/>
      <c r="G470" s="9" t="n"/>
      <c r="H470" s="9" t="n"/>
      <c r="I470" s="9" t="n"/>
      <c r="J470" s="3" t="n"/>
      <c r="K470" s="9" t="n"/>
    </row>
    <row r="471">
      <c r="A471" s="4" t="n"/>
      <c r="B471" s="9">
        <f>IF(A471="","",INT((DAY(A471)-1)/7)+1)</f>
        <v/>
      </c>
      <c r="C471" s="9" t="n"/>
      <c r="D471" s="9" t="n"/>
      <c r="E471" s="9" t="n"/>
      <c r="F471" s="9" t="n"/>
      <c r="G471" s="9" t="n"/>
      <c r="H471" s="9" t="n"/>
      <c r="I471" s="9" t="n"/>
      <c r="J471" s="3" t="n"/>
      <c r="K471" s="9" t="n"/>
    </row>
    <row r="472">
      <c r="A472" s="4" t="n"/>
      <c r="B472" s="9">
        <f>IF(A472="","",INT((DAY(A472)-1)/7)+1)</f>
        <v/>
      </c>
      <c r="C472" s="9" t="n"/>
      <c r="D472" s="9" t="n"/>
      <c r="E472" s="9" t="n"/>
      <c r="F472" s="9" t="n"/>
      <c r="G472" s="9" t="n"/>
      <c r="H472" s="9" t="n"/>
      <c r="I472" s="9" t="n"/>
      <c r="J472" s="3" t="n"/>
      <c r="K472" s="9" t="n"/>
    </row>
    <row r="473">
      <c r="A473" s="4" t="n"/>
      <c r="B473" s="9">
        <f>IF(A473="","",INT((DAY(A473)-1)/7)+1)</f>
        <v/>
      </c>
      <c r="C473" s="9" t="n"/>
      <c r="D473" s="9" t="n"/>
      <c r="E473" s="9" t="n"/>
      <c r="F473" s="9" t="n"/>
      <c r="G473" s="9" t="n"/>
      <c r="H473" s="9" t="n"/>
      <c r="I473" s="9" t="n"/>
      <c r="J473" s="3" t="n"/>
      <c r="K473" s="9" t="n"/>
    </row>
    <row r="474">
      <c r="A474" s="4" t="n"/>
      <c r="B474" s="9">
        <f>IF(A474="","",INT((DAY(A474)-1)/7)+1)</f>
        <v/>
      </c>
      <c r="C474" s="9" t="n"/>
      <c r="D474" s="9" t="n"/>
      <c r="E474" s="9" t="n"/>
      <c r="F474" s="9" t="n"/>
      <c r="G474" s="9" t="n"/>
      <c r="H474" s="9" t="n"/>
      <c r="I474" s="9" t="n"/>
      <c r="J474" s="3" t="n"/>
      <c r="K474" s="9" t="n"/>
    </row>
    <row r="475">
      <c r="A475" s="4" t="n"/>
      <c r="B475" s="9">
        <f>IF(A475="","",INT((DAY(A475)-1)/7)+1)</f>
        <v/>
      </c>
      <c r="C475" s="9" t="n"/>
      <c r="D475" s="9" t="n"/>
      <c r="E475" s="9" t="n"/>
      <c r="F475" s="9" t="n"/>
      <c r="G475" s="9" t="n"/>
      <c r="H475" s="9" t="n"/>
      <c r="I475" s="9" t="n"/>
      <c r="J475" s="3" t="n"/>
      <c r="K475" s="9" t="n"/>
    </row>
    <row r="476">
      <c r="A476" s="4" t="n"/>
      <c r="B476" s="9">
        <f>IF(A476="","",INT((DAY(A476)-1)/7)+1)</f>
        <v/>
      </c>
      <c r="C476" s="9" t="n"/>
      <c r="D476" s="9" t="n"/>
      <c r="E476" s="9" t="n"/>
      <c r="F476" s="9" t="n"/>
      <c r="G476" s="9" t="n"/>
      <c r="H476" s="9" t="n"/>
      <c r="I476" s="9" t="n"/>
      <c r="J476" s="3" t="n"/>
      <c r="K476" s="9" t="n"/>
    </row>
    <row r="477">
      <c r="A477" s="4" t="n"/>
      <c r="B477" s="9">
        <f>IF(A477="","",INT((DAY(A477)-1)/7)+1)</f>
        <v/>
      </c>
      <c r="C477" s="9" t="n"/>
      <c r="D477" s="9" t="n"/>
      <c r="E477" s="9" t="n"/>
      <c r="F477" s="9" t="n"/>
      <c r="G477" s="9" t="n"/>
      <c r="H477" s="9" t="n"/>
      <c r="I477" s="9" t="n"/>
      <c r="J477" s="3" t="n"/>
      <c r="K477" s="9" t="n"/>
    </row>
    <row r="478">
      <c r="A478" s="4" t="n"/>
      <c r="B478" s="9">
        <f>IF(A478="","",INT((DAY(A478)-1)/7)+1)</f>
        <v/>
      </c>
      <c r="C478" s="9" t="n"/>
      <c r="D478" s="9" t="n"/>
      <c r="E478" s="9" t="n"/>
      <c r="F478" s="9" t="n"/>
      <c r="G478" s="9" t="n"/>
      <c r="H478" s="9" t="n"/>
      <c r="I478" s="9" t="n"/>
      <c r="J478" s="3" t="n"/>
      <c r="K478" s="9" t="n"/>
    </row>
    <row r="479">
      <c r="A479" s="4" t="n"/>
      <c r="B479" s="9">
        <f>IF(A479="","",INT((DAY(A479)-1)/7)+1)</f>
        <v/>
      </c>
      <c r="C479" s="9" t="n"/>
      <c r="D479" s="9" t="n"/>
      <c r="E479" s="9" t="n"/>
      <c r="F479" s="9" t="n"/>
      <c r="G479" s="9" t="n"/>
      <c r="H479" s="9" t="n"/>
      <c r="I479" s="9" t="n"/>
      <c r="J479" s="3" t="n"/>
      <c r="K479" s="9" t="n"/>
    </row>
    <row r="480">
      <c r="A480" s="4" t="n"/>
      <c r="B480" s="9">
        <f>IF(A480="","",INT((DAY(A480)-1)/7)+1)</f>
        <v/>
      </c>
      <c r="C480" s="9" t="n"/>
      <c r="D480" s="9" t="n"/>
      <c r="E480" s="9" t="n"/>
      <c r="F480" s="9" t="n"/>
      <c r="G480" s="9" t="n"/>
      <c r="H480" s="9" t="n"/>
      <c r="I480" s="9" t="n"/>
      <c r="J480" s="3" t="n"/>
      <c r="K480" s="9" t="n"/>
    </row>
    <row r="481">
      <c r="A481" s="4" t="n"/>
      <c r="B481" s="9">
        <f>IF(A481="","",INT((DAY(A481)-1)/7)+1)</f>
        <v/>
      </c>
      <c r="C481" s="9" t="n"/>
      <c r="D481" s="9" t="n"/>
      <c r="E481" s="9" t="n"/>
      <c r="F481" s="9" t="n"/>
      <c r="G481" s="9" t="n"/>
      <c r="H481" s="9" t="n"/>
      <c r="I481" s="9" t="n"/>
      <c r="J481" s="3" t="n"/>
      <c r="K481" s="9" t="n"/>
    </row>
    <row r="482">
      <c r="A482" s="4" t="n"/>
      <c r="B482" s="9">
        <f>IF(A482="","",INT((DAY(A482)-1)/7)+1)</f>
        <v/>
      </c>
      <c r="C482" s="9" t="n"/>
      <c r="D482" s="9" t="n"/>
      <c r="E482" s="9" t="n"/>
      <c r="F482" s="9" t="n"/>
      <c r="G482" s="9" t="n"/>
      <c r="H482" s="9" t="n"/>
      <c r="I482" s="9" t="n"/>
      <c r="J482" s="3" t="n"/>
      <c r="K482" s="9" t="n"/>
    </row>
    <row r="483">
      <c r="A483" s="4" t="n"/>
      <c r="B483" s="9">
        <f>IF(A483="","",INT((DAY(A483)-1)/7)+1)</f>
        <v/>
      </c>
      <c r="C483" s="9" t="n"/>
      <c r="D483" s="9" t="n"/>
      <c r="E483" s="9" t="n"/>
      <c r="F483" s="9" t="n"/>
      <c r="G483" s="9" t="n"/>
      <c r="H483" s="9" t="n"/>
      <c r="I483" s="9" t="n"/>
      <c r="J483" s="3" t="n"/>
      <c r="K483" s="9" t="n"/>
    </row>
    <row r="484">
      <c r="A484" s="4" t="n"/>
      <c r="B484" s="9">
        <f>IF(A484="","",INT((DAY(A484)-1)/7)+1)</f>
        <v/>
      </c>
      <c r="C484" s="9" t="n"/>
      <c r="D484" s="9" t="n"/>
      <c r="E484" s="9" t="n"/>
      <c r="F484" s="9" t="n"/>
      <c r="G484" s="9" t="n"/>
      <c r="H484" s="9" t="n"/>
      <c r="I484" s="9" t="n"/>
      <c r="J484" s="3" t="n"/>
      <c r="K484" s="9" t="n"/>
    </row>
    <row r="485">
      <c r="A485" s="4" t="n"/>
      <c r="B485" s="9">
        <f>IF(A485="","",INT((DAY(A485)-1)/7)+1)</f>
        <v/>
      </c>
      <c r="C485" s="9" t="n"/>
      <c r="D485" s="9" t="n"/>
      <c r="E485" s="9" t="n"/>
      <c r="F485" s="9" t="n"/>
      <c r="G485" s="9" t="n"/>
      <c r="H485" s="9" t="n"/>
      <c r="I485" s="9" t="n"/>
      <c r="J485" s="3" t="n"/>
      <c r="K485" s="9" t="n"/>
    </row>
    <row r="486">
      <c r="A486" s="4" t="n"/>
      <c r="B486" s="9">
        <f>IF(A486="","",INT((DAY(A486)-1)/7)+1)</f>
        <v/>
      </c>
      <c r="C486" s="9" t="n"/>
      <c r="D486" s="9" t="n"/>
      <c r="E486" s="9" t="n"/>
      <c r="F486" s="9" t="n"/>
      <c r="G486" s="9" t="n"/>
      <c r="H486" s="9" t="n"/>
      <c r="I486" s="9" t="n"/>
      <c r="J486" s="3" t="n"/>
      <c r="K486" s="9" t="n"/>
    </row>
    <row r="487">
      <c r="A487" s="4" t="n"/>
      <c r="B487" s="9">
        <f>IF(A487="","",INT((DAY(A487)-1)/7)+1)</f>
        <v/>
      </c>
      <c r="C487" s="9" t="n"/>
      <c r="D487" s="9" t="n"/>
      <c r="E487" s="9" t="n"/>
      <c r="F487" s="9" t="n"/>
      <c r="G487" s="9" t="n"/>
      <c r="H487" s="9" t="n"/>
      <c r="I487" s="9" t="n"/>
      <c r="J487" s="3" t="n"/>
      <c r="K487" s="9" t="n"/>
    </row>
    <row r="488">
      <c r="A488" s="4" t="n"/>
      <c r="B488" s="9">
        <f>IF(A488="","",INT((DAY(A488)-1)/7)+1)</f>
        <v/>
      </c>
      <c r="C488" s="9" t="n"/>
      <c r="D488" s="9" t="n"/>
      <c r="E488" s="9" t="n"/>
      <c r="F488" s="9" t="n"/>
      <c r="G488" s="9" t="n"/>
      <c r="H488" s="9" t="n"/>
      <c r="I488" s="9" t="n"/>
      <c r="J488" s="3" t="n"/>
      <c r="K488" s="9" t="n"/>
    </row>
    <row r="489">
      <c r="A489" s="4" t="n"/>
      <c r="B489" s="9">
        <f>IF(A489="","",INT((DAY(A489)-1)/7)+1)</f>
        <v/>
      </c>
      <c r="C489" s="9" t="n"/>
      <c r="D489" s="9" t="n"/>
      <c r="E489" s="9" t="n"/>
      <c r="F489" s="9" t="n"/>
      <c r="G489" s="9" t="n"/>
      <c r="H489" s="9" t="n"/>
      <c r="I489" s="9" t="n"/>
      <c r="J489" s="3" t="n"/>
      <c r="K489" s="9" t="n"/>
    </row>
    <row r="490">
      <c r="A490" s="4" t="n"/>
      <c r="B490" s="9">
        <f>IF(A490="","",INT((DAY(A490)-1)/7)+1)</f>
        <v/>
      </c>
      <c r="C490" s="9" t="n"/>
      <c r="D490" s="9" t="n"/>
      <c r="E490" s="9" t="n"/>
      <c r="F490" s="9" t="n"/>
      <c r="G490" s="9" t="n"/>
      <c r="H490" s="9" t="n"/>
      <c r="I490" s="9" t="n"/>
      <c r="J490" s="3" t="n"/>
      <c r="K490" s="9" t="n"/>
    </row>
    <row r="491">
      <c r="A491" s="4" t="n"/>
      <c r="B491" s="9">
        <f>IF(A491="","",INT((DAY(A491)-1)/7)+1)</f>
        <v/>
      </c>
      <c r="C491" s="9" t="n"/>
      <c r="D491" s="9" t="n"/>
      <c r="E491" s="9" t="n"/>
      <c r="F491" s="9" t="n"/>
      <c r="G491" s="9" t="n"/>
      <c r="H491" s="9" t="n"/>
      <c r="I491" s="9" t="n"/>
      <c r="J491" s="3" t="n"/>
      <c r="K491" s="9" t="n"/>
    </row>
    <row r="492">
      <c r="A492" s="4" t="n"/>
      <c r="B492" s="9">
        <f>IF(A492="","",INT((DAY(A492)-1)/7)+1)</f>
        <v/>
      </c>
      <c r="C492" s="9" t="n"/>
      <c r="D492" s="9" t="n"/>
      <c r="E492" s="9" t="n"/>
      <c r="F492" s="9" t="n"/>
      <c r="G492" s="9" t="n"/>
      <c r="H492" s="9" t="n"/>
      <c r="I492" s="9" t="n"/>
      <c r="J492" s="3" t="n"/>
      <c r="K492" s="9" t="n"/>
    </row>
    <row r="493">
      <c r="A493" s="4" t="n"/>
      <c r="B493" s="9">
        <f>IF(A493="","",INT((DAY(A493)-1)/7)+1)</f>
        <v/>
      </c>
      <c r="C493" s="9" t="n"/>
      <c r="D493" s="9" t="n"/>
      <c r="E493" s="9" t="n"/>
      <c r="F493" s="9" t="n"/>
      <c r="G493" s="9" t="n"/>
      <c r="H493" s="9" t="n"/>
      <c r="I493" s="9" t="n"/>
      <c r="J493" s="3" t="n"/>
      <c r="K493" s="9" t="n"/>
    </row>
    <row r="494">
      <c r="A494" s="4" t="n"/>
      <c r="B494" s="9">
        <f>IF(A494="","",INT((DAY(A494)-1)/7)+1)</f>
        <v/>
      </c>
      <c r="C494" s="9" t="n"/>
      <c r="D494" s="9" t="n"/>
      <c r="E494" s="9" t="n"/>
      <c r="F494" s="9" t="n"/>
      <c r="G494" s="9" t="n"/>
      <c r="H494" s="9" t="n"/>
      <c r="I494" s="9" t="n"/>
      <c r="J494" s="3" t="n"/>
      <c r="K494" s="9" t="n"/>
    </row>
    <row r="495">
      <c r="A495" s="4" t="n"/>
      <c r="B495" s="9">
        <f>IF(A495="","",INT((DAY(A495)-1)/7)+1)</f>
        <v/>
      </c>
      <c r="C495" s="9" t="n"/>
      <c r="D495" s="9" t="n"/>
      <c r="E495" s="9" t="n"/>
      <c r="F495" s="9" t="n"/>
      <c r="G495" s="9" t="n"/>
      <c r="H495" s="9" t="n"/>
      <c r="I495" s="9" t="n"/>
      <c r="J495" s="3" t="n"/>
      <c r="K495" s="9" t="n"/>
    </row>
    <row r="496">
      <c r="A496" s="4" t="n"/>
      <c r="B496" s="9">
        <f>IF(A496="","",INT((DAY(A496)-1)/7)+1)</f>
        <v/>
      </c>
      <c r="C496" s="9" t="n"/>
      <c r="D496" s="9" t="n"/>
      <c r="E496" s="9" t="n"/>
      <c r="F496" s="9" t="n"/>
      <c r="G496" s="9" t="n"/>
      <c r="H496" s="9" t="n"/>
      <c r="I496" s="9" t="n"/>
      <c r="J496" s="3" t="n"/>
      <c r="K496" s="9" t="n"/>
    </row>
    <row r="497">
      <c r="A497" s="4" t="n"/>
      <c r="B497" s="9">
        <f>IF(A497="","",INT((DAY(A497)-1)/7)+1)</f>
        <v/>
      </c>
      <c r="C497" s="9" t="n"/>
      <c r="D497" s="9" t="n"/>
      <c r="E497" s="9" t="n"/>
      <c r="F497" s="9" t="n"/>
      <c r="G497" s="9" t="n"/>
      <c r="H497" s="9" t="n"/>
      <c r="I497" s="9" t="n"/>
      <c r="J497" s="3" t="n"/>
      <c r="K497" s="9" t="n"/>
    </row>
    <row r="498">
      <c r="A498" s="4" t="n"/>
      <c r="B498" s="9">
        <f>IF(A498="","",INT((DAY(A498)-1)/7)+1)</f>
        <v/>
      </c>
      <c r="C498" s="9" t="n"/>
      <c r="D498" s="9" t="n"/>
      <c r="E498" s="9" t="n"/>
      <c r="F498" s="9" t="n"/>
      <c r="G498" s="9" t="n"/>
      <c r="H498" s="9" t="n"/>
      <c r="I498" s="9" t="n"/>
      <c r="J498" s="3" t="n"/>
      <c r="K498" s="9" t="n"/>
    </row>
    <row r="499">
      <c r="A499" s="4" t="n"/>
      <c r="B499" s="9">
        <f>IF(A499="","",INT((DAY(A499)-1)/7)+1)</f>
        <v/>
      </c>
      <c r="C499" s="9" t="n"/>
      <c r="D499" s="9" t="n"/>
      <c r="E499" s="9" t="n"/>
      <c r="F499" s="9" t="n"/>
      <c r="G499" s="9" t="n"/>
      <c r="H499" s="9" t="n"/>
      <c r="I499" s="9" t="n"/>
      <c r="J499" s="3" t="n"/>
      <c r="K499" s="9" t="n"/>
    </row>
    <row r="500">
      <c r="A500" s="4" t="n"/>
      <c r="B500" s="9">
        <f>IF(A500="","",INT((DAY(A500)-1)/7)+1)</f>
        <v/>
      </c>
      <c r="C500" s="9" t="n"/>
      <c r="D500" s="9" t="n"/>
      <c r="E500" s="9" t="n"/>
      <c r="F500" s="9" t="n"/>
      <c r="G500" s="9" t="n"/>
      <c r="H500" s="9" t="n"/>
      <c r="I500" s="9" t="n"/>
      <c r="J500" s="3" t="n"/>
      <c r="K500" s="9" t="n"/>
    </row>
    <row r="501">
      <c r="A501" s="4" t="n"/>
      <c r="B501" s="9">
        <f>IF(A501="","",INT((DAY(A501)-1)/7)+1)</f>
        <v/>
      </c>
      <c r="C501" s="9" t="n"/>
      <c r="D501" s="9" t="n"/>
      <c r="E501" s="9" t="n"/>
      <c r="F501" s="9" t="n"/>
      <c r="G501" s="9" t="n"/>
      <c r="H501" s="9" t="n"/>
      <c r="I501" s="9" t="n"/>
      <c r="J501" s="3" t="n"/>
      <c r="K501" s="9" t="n"/>
    </row>
    <row r="502">
      <c r="A502" s="4" t="n"/>
      <c r="B502" s="9">
        <f>IF(A502="","",INT((DAY(A502)-1)/7)+1)</f>
        <v/>
      </c>
      <c r="C502" s="9" t="n"/>
      <c r="D502" s="9" t="n"/>
      <c r="E502" s="9" t="n"/>
      <c r="F502" s="9" t="n"/>
      <c r="G502" s="9" t="n"/>
      <c r="H502" s="9" t="n"/>
      <c r="I502" s="9" t="n"/>
      <c r="J502" s="3" t="n"/>
      <c r="K502" s="9" t="n"/>
    </row>
    <row r="503">
      <c r="A503" s="4" t="n"/>
      <c r="B503" s="9">
        <f>IF(A503="","",INT((DAY(A503)-1)/7)+1)</f>
        <v/>
      </c>
      <c r="C503" s="9" t="n"/>
      <c r="D503" s="9" t="n"/>
      <c r="E503" s="9" t="n"/>
      <c r="F503" s="9" t="n"/>
      <c r="G503" s="9" t="n"/>
      <c r="H503" s="9" t="n"/>
      <c r="I503" s="9" t="n"/>
      <c r="J503" s="3" t="n"/>
      <c r="K503" s="9" t="n"/>
    </row>
    <row r="504">
      <c r="A504" s="4" t="n"/>
      <c r="B504" s="9">
        <f>IF(A504="","",INT((DAY(A504)-1)/7)+1)</f>
        <v/>
      </c>
      <c r="C504" s="9" t="n"/>
      <c r="D504" s="9" t="n"/>
      <c r="E504" s="9" t="n"/>
      <c r="F504" s="9" t="n"/>
      <c r="G504" s="9" t="n"/>
      <c r="H504" s="9" t="n"/>
      <c r="I504" s="9" t="n"/>
      <c r="J504" s="3" t="n"/>
      <c r="K504" s="9" t="n"/>
    </row>
    <row r="505">
      <c r="A505" s="4" t="n"/>
      <c r="B505" s="9">
        <f>IF(A505="","",INT((DAY(A505)-1)/7)+1)</f>
        <v/>
      </c>
      <c r="C505" s="9" t="n"/>
      <c r="D505" s="9" t="n"/>
      <c r="E505" s="9" t="n"/>
      <c r="F505" s="9" t="n"/>
      <c r="G505" s="9" t="n"/>
      <c r="H505" s="9" t="n"/>
      <c r="I505" s="9" t="n"/>
      <c r="J505" s="3" t="n"/>
      <c r="K505" s="9" t="n"/>
    </row>
    <row r="506">
      <c r="A506" s="4" t="n"/>
      <c r="B506" s="9">
        <f>IF(A506="","",INT((DAY(A506)-1)/7)+1)</f>
        <v/>
      </c>
      <c r="C506" s="9" t="n"/>
      <c r="D506" s="9" t="n"/>
      <c r="E506" s="9" t="n"/>
      <c r="F506" s="9" t="n"/>
      <c r="G506" s="9" t="n"/>
      <c r="H506" s="9" t="n"/>
      <c r="I506" s="9" t="n"/>
      <c r="J506" s="3" t="n"/>
      <c r="K506" s="9" t="n"/>
    </row>
    <row r="507">
      <c r="A507" s="4" t="n"/>
      <c r="B507" s="9">
        <f>IF(A507="","",INT((DAY(A507)-1)/7)+1)</f>
        <v/>
      </c>
      <c r="C507" s="9" t="n"/>
      <c r="D507" s="9" t="n"/>
      <c r="E507" s="9" t="n"/>
      <c r="F507" s="9" t="n"/>
      <c r="G507" s="9" t="n"/>
      <c r="H507" s="9" t="n"/>
      <c r="I507" s="9" t="n"/>
      <c r="J507" s="3" t="n"/>
      <c r="K507" s="9" t="n"/>
    </row>
    <row r="508">
      <c r="A508" s="4" t="n"/>
      <c r="B508" s="9">
        <f>IF(A508="","",INT((DAY(A508)-1)/7)+1)</f>
        <v/>
      </c>
      <c r="C508" s="9" t="n"/>
      <c r="D508" s="9" t="n"/>
      <c r="E508" s="9" t="n"/>
      <c r="F508" s="9" t="n"/>
      <c r="G508" s="9" t="n"/>
      <c r="H508" s="9" t="n"/>
      <c r="I508" s="9" t="n"/>
      <c r="J508" s="3" t="n"/>
      <c r="K508" s="9" t="n"/>
    </row>
    <row r="509">
      <c r="A509" s="4" t="n"/>
      <c r="B509" s="9">
        <f>IF(A509="","",INT((DAY(A509)-1)/7)+1)</f>
        <v/>
      </c>
      <c r="C509" s="9" t="n"/>
      <c r="D509" s="9" t="n"/>
      <c r="E509" s="9" t="n"/>
      <c r="F509" s="9" t="n"/>
      <c r="G509" s="9" t="n"/>
      <c r="H509" s="9" t="n"/>
      <c r="I509" s="9" t="n"/>
      <c r="J509" s="3" t="n"/>
      <c r="K509" s="9" t="n"/>
    </row>
    <row r="510">
      <c r="A510" s="4" t="n"/>
      <c r="B510" s="9">
        <f>IF(A510="","",INT((DAY(A510)-1)/7)+1)</f>
        <v/>
      </c>
      <c r="C510" s="9" t="n"/>
      <c r="D510" s="9" t="n"/>
      <c r="E510" s="9" t="n"/>
      <c r="F510" s="9" t="n"/>
      <c r="G510" s="9" t="n"/>
      <c r="H510" s="9" t="n"/>
      <c r="I510" s="9" t="n"/>
      <c r="J510" s="3" t="n"/>
      <c r="K510" s="9" t="n"/>
    </row>
    <row r="511">
      <c r="A511" s="4" t="n"/>
      <c r="B511" s="9">
        <f>IF(A511="","",INT((DAY(A511)-1)/7)+1)</f>
        <v/>
      </c>
      <c r="C511" s="9" t="n"/>
      <c r="D511" s="9" t="n"/>
      <c r="E511" s="9" t="n"/>
      <c r="F511" s="9" t="n"/>
      <c r="G511" s="9" t="n"/>
      <c r="H511" s="9" t="n"/>
      <c r="I511" s="9" t="n"/>
      <c r="J511" s="3" t="n"/>
      <c r="K511" s="9" t="n"/>
    </row>
    <row r="512">
      <c r="A512" s="4" t="n"/>
      <c r="B512" s="9">
        <f>IF(A512="","",INT((DAY(A512)-1)/7)+1)</f>
        <v/>
      </c>
      <c r="C512" s="9" t="n"/>
      <c r="D512" s="9" t="n"/>
      <c r="E512" s="9" t="n"/>
      <c r="F512" s="9" t="n"/>
      <c r="G512" s="9" t="n"/>
      <c r="H512" s="9" t="n"/>
      <c r="I512" s="9" t="n"/>
      <c r="J512" s="3" t="n"/>
      <c r="K512" s="9" t="n"/>
    </row>
    <row r="513">
      <c r="A513" s="4" t="n"/>
      <c r="B513" s="9">
        <f>IF(A513="","",INT((DAY(A513)-1)/7)+1)</f>
        <v/>
      </c>
      <c r="C513" s="9" t="n"/>
      <c r="D513" s="9" t="n"/>
      <c r="E513" s="9" t="n"/>
      <c r="F513" s="9" t="n"/>
      <c r="G513" s="9" t="n"/>
      <c r="H513" s="9" t="n"/>
      <c r="I513" s="9" t="n"/>
      <c r="J513" s="3" t="n"/>
      <c r="K513" s="9" t="n"/>
    </row>
    <row r="514">
      <c r="A514" s="4" t="n"/>
      <c r="B514" s="9">
        <f>IF(A514="","",INT((DAY(A514)-1)/7)+1)</f>
        <v/>
      </c>
      <c r="C514" s="9" t="n"/>
      <c r="D514" s="9" t="n"/>
      <c r="E514" s="9" t="n"/>
      <c r="F514" s="9" t="n"/>
      <c r="G514" s="9" t="n"/>
      <c r="H514" s="9" t="n"/>
      <c r="I514" s="9" t="n"/>
      <c r="J514" s="3" t="n"/>
      <c r="K514" s="9" t="n"/>
    </row>
    <row r="515">
      <c r="A515" s="4" t="n"/>
      <c r="B515" s="9">
        <f>IF(A515="","",INT((DAY(A515)-1)/7)+1)</f>
        <v/>
      </c>
      <c r="C515" s="9" t="n"/>
      <c r="D515" s="9" t="n"/>
      <c r="E515" s="9" t="n"/>
      <c r="F515" s="9" t="n"/>
      <c r="G515" s="9" t="n"/>
      <c r="H515" s="9" t="n"/>
      <c r="I515" s="9" t="n"/>
      <c r="J515" s="3" t="n"/>
      <c r="K515" s="9" t="n"/>
    </row>
    <row r="516">
      <c r="A516" s="4" t="n"/>
      <c r="B516" s="9">
        <f>IF(A516="","",INT((DAY(A516)-1)/7)+1)</f>
        <v/>
      </c>
      <c r="C516" s="9" t="n"/>
      <c r="D516" s="9" t="n"/>
      <c r="E516" s="9" t="n"/>
      <c r="F516" s="9" t="n"/>
      <c r="G516" s="9" t="n"/>
      <c r="H516" s="9" t="n"/>
      <c r="I516" s="9" t="n"/>
      <c r="J516" s="3" t="n"/>
      <c r="K516" s="9" t="n"/>
    </row>
    <row r="517">
      <c r="A517" s="4" t="n"/>
      <c r="B517" s="9">
        <f>IF(A517="","",INT((DAY(A517)-1)/7)+1)</f>
        <v/>
      </c>
      <c r="C517" s="9" t="n"/>
      <c r="D517" s="9" t="n"/>
      <c r="E517" s="9" t="n"/>
      <c r="F517" s="9" t="n"/>
      <c r="G517" s="9" t="n"/>
      <c r="H517" s="9" t="n"/>
      <c r="I517" s="9" t="n"/>
      <c r="J517" s="3" t="n"/>
      <c r="K517" s="9" t="n"/>
    </row>
    <row r="518">
      <c r="A518" s="4" t="n"/>
      <c r="B518" s="9">
        <f>IF(A518="","",INT((DAY(A518)-1)/7)+1)</f>
        <v/>
      </c>
      <c r="C518" s="9" t="n"/>
      <c r="D518" s="9" t="n"/>
      <c r="E518" s="9" t="n"/>
      <c r="F518" s="9" t="n"/>
      <c r="G518" s="9" t="n"/>
      <c r="H518" s="9" t="n"/>
      <c r="I518" s="9" t="n"/>
      <c r="J518" s="3" t="n"/>
      <c r="K518" s="9" t="n"/>
    </row>
    <row r="519">
      <c r="A519" s="4" t="n"/>
      <c r="B519" s="9">
        <f>IF(A519="","",INT((DAY(A519)-1)/7)+1)</f>
        <v/>
      </c>
      <c r="C519" s="9" t="n"/>
      <c r="D519" s="9" t="n"/>
      <c r="E519" s="9" t="n"/>
      <c r="F519" s="9" t="n"/>
      <c r="G519" s="9" t="n"/>
      <c r="H519" s="9" t="n"/>
      <c r="I519" s="9" t="n"/>
      <c r="J519" s="3" t="n"/>
      <c r="K519" s="9" t="n"/>
    </row>
    <row r="520">
      <c r="A520" s="4" t="n"/>
      <c r="B520" s="9">
        <f>IF(A520="","",INT((DAY(A520)-1)/7)+1)</f>
        <v/>
      </c>
      <c r="C520" s="9" t="n"/>
      <c r="D520" s="9" t="n"/>
      <c r="E520" s="9" t="n"/>
      <c r="F520" s="9" t="n"/>
      <c r="G520" s="9" t="n"/>
      <c r="H520" s="9" t="n"/>
      <c r="I520" s="9" t="n"/>
      <c r="J520" s="3" t="n"/>
      <c r="K520" s="9" t="n"/>
    </row>
    <row r="521">
      <c r="A521" s="4" t="n"/>
      <c r="B521" s="9">
        <f>IF(A521="","",INT((DAY(A521)-1)/7)+1)</f>
        <v/>
      </c>
      <c r="C521" s="9" t="n"/>
      <c r="D521" s="9" t="n"/>
      <c r="E521" s="9" t="n"/>
      <c r="F521" s="9" t="n"/>
      <c r="G521" s="9" t="n"/>
      <c r="H521" s="9" t="n"/>
      <c r="I521" s="9" t="n"/>
      <c r="J521" s="3" t="n"/>
      <c r="K521" s="9" t="n"/>
    </row>
    <row r="522">
      <c r="A522" s="4" t="n"/>
      <c r="B522" s="9">
        <f>IF(A522="","",INT((DAY(A522)-1)/7)+1)</f>
        <v/>
      </c>
      <c r="C522" s="9" t="n"/>
      <c r="D522" s="9" t="n"/>
      <c r="E522" s="9" t="n"/>
      <c r="F522" s="9" t="n"/>
      <c r="G522" s="9" t="n"/>
      <c r="H522" s="9" t="n"/>
      <c r="I522" s="9" t="n"/>
      <c r="J522" s="3" t="n"/>
      <c r="K522" s="9" t="n"/>
    </row>
    <row r="523">
      <c r="A523" s="4" t="n"/>
      <c r="B523" s="9">
        <f>IF(A523="","",INT((DAY(A523)-1)/7)+1)</f>
        <v/>
      </c>
      <c r="C523" s="9" t="n"/>
      <c r="D523" s="9" t="n"/>
      <c r="E523" s="9" t="n"/>
      <c r="F523" s="9" t="n"/>
      <c r="G523" s="9" t="n"/>
      <c r="H523" s="9" t="n"/>
      <c r="I523" s="9" t="n"/>
      <c r="J523" s="3" t="n"/>
      <c r="K523" s="9" t="n"/>
    </row>
    <row r="524">
      <c r="A524" s="4" t="n"/>
      <c r="B524" s="9">
        <f>IF(A524="","",INT((DAY(A524)-1)/7)+1)</f>
        <v/>
      </c>
      <c r="C524" s="9" t="n"/>
      <c r="D524" s="9" t="n"/>
      <c r="E524" s="9" t="n"/>
      <c r="F524" s="9" t="n"/>
      <c r="G524" s="9" t="n"/>
      <c r="H524" s="9" t="n"/>
      <c r="I524" s="9" t="n"/>
      <c r="J524" s="3" t="n"/>
      <c r="K524" s="9" t="n"/>
    </row>
    <row r="525">
      <c r="A525" s="4" t="n"/>
      <c r="B525" s="9">
        <f>IF(A525="","",INT((DAY(A525)-1)/7)+1)</f>
        <v/>
      </c>
      <c r="C525" s="9" t="n"/>
      <c r="D525" s="9" t="n"/>
      <c r="E525" s="9" t="n"/>
      <c r="F525" s="9" t="n"/>
      <c r="G525" s="9" t="n"/>
      <c r="H525" s="9" t="n"/>
      <c r="I525" s="9" t="n"/>
      <c r="J525" s="3" t="n"/>
      <c r="K525" s="9" t="n"/>
    </row>
    <row r="526">
      <c r="A526" s="4" t="n"/>
      <c r="B526" s="9">
        <f>IF(A526="","",INT((DAY(A526)-1)/7)+1)</f>
        <v/>
      </c>
      <c r="C526" s="9" t="n"/>
      <c r="D526" s="9" t="n"/>
      <c r="E526" s="9" t="n"/>
      <c r="F526" s="9" t="n"/>
      <c r="G526" s="9" t="n"/>
      <c r="H526" s="9" t="n"/>
      <c r="I526" s="9" t="n"/>
      <c r="J526" s="3" t="n"/>
      <c r="K526" s="9" t="n"/>
    </row>
    <row r="527">
      <c r="A527" s="4" t="n"/>
      <c r="B527" s="9">
        <f>IF(A527="","",INT((DAY(A527)-1)/7)+1)</f>
        <v/>
      </c>
      <c r="C527" s="9" t="n"/>
      <c r="D527" s="9" t="n"/>
      <c r="E527" s="9" t="n"/>
      <c r="F527" s="9" t="n"/>
      <c r="G527" s="9" t="n"/>
      <c r="H527" s="9" t="n"/>
      <c r="I527" s="9" t="n"/>
      <c r="J527" s="3" t="n"/>
      <c r="K527" s="9" t="n"/>
    </row>
    <row r="528">
      <c r="A528" s="4" t="n"/>
      <c r="B528" s="9">
        <f>IF(A528="","",INT((DAY(A528)-1)/7)+1)</f>
        <v/>
      </c>
      <c r="C528" s="9" t="n"/>
      <c r="D528" s="9" t="n"/>
      <c r="E528" s="9" t="n"/>
      <c r="F528" s="9" t="n"/>
      <c r="G528" s="9" t="n"/>
      <c r="H528" s="9" t="n"/>
      <c r="I528" s="9" t="n"/>
      <c r="J528" s="3" t="n"/>
      <c r="K528" s="9" t="n"/>
    </row>
  </sheetData>
  <autoFilter ref="A28:K528"/>
  <dataValidations count="4">
    <dataValidation sqref="E29:E528" showDropDown="0" showInputMessage="0" showErrorMessage="1" allowBlank="1" type="list">
      <formula1>=Lists!$A$2:$A$22</formula1>
    </dataValidation>
    <dataValidation sqref="G29:G528" showDropDown="0" showInputMessage="0" showErrorMessage="1" allowBlank="1" type="list">
      <formula1>=Lists!$D$2:$D$8</formula1>
    </dataValidation>
    <dataValidation sqref="H29:H528" showDropDown="0" showInputMessage="0" showErrorMessage="1" allowBlank="1" type="list">
      <formula1>=Lists!$C$2:$C$9</formula1>
    </dataValidation>
    <dataValidation sqref="I29:I528" showDropDown="0" showInputMessage="0" showErrorMessage="1" allowBlank="1" type="list">
      <formula1>=Lists!$B$2:$B$5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28"/>
  <sheetViews>
    <sheetView showGridLines="0" workbookViewId="0">
      <pane xSplit="0" ySplit="28" topLeftCell="A29" activePane="bottomLeft" state="frozen"/>
      <selection pane="bottomLeft" activeCell="A29" sqref="A29"/>
    </sheetView>
  </sheetViews>
  <sheetFormatPr baseColWidth="8" defaultRowHeight="15"/>
  <cols>
    <col width="12" customWidth="1" style="10" min="1" max="1"/>
    <col width="8" customWidth="1" style="10" min="2" max="2"/>
    <col width="22" customWidth="1" style="10" min="3" max="4"/>
    <col width="24" customWidth="1" style="10" min="5" max="5"/>
    <col width="18" customWidth="1" style="10" min="6" max="6"/>
    <col width="18" customWidth="1" style="10" min="7" max="7"/>
    <col width="18" customWidth="1" style="10" min="8" max="9"/>
    <col width="14" customWidth="1" style="10" min="10" max="10"/>
    <col width="30" customWidth="1" style="10" min="11" max="11"/>
  </cols>
  <sheetData>
    <row r="1">
      <c r="A1" s="1" t="inlineStr">
        <is>
          <t>August 2026 Ledger</t>
        </is>
      </c>
    </row>
    <row r="2">
      <c r="A2" s="7" t="inlineStr">
        <is>
          <t>Use positive amounts. Choose Type to classify each transaction.</t>
        </is>
      </c>
    </row>
    <row r="4">
      <c r="A4" s="1" t="inlineStr">
        <is>
          <t>Month Summary</t>
        </is>
      </c>
      <c r="D4" s="1" t="inlineStr">
        <is>
          <t>Category Summary</t>
        </is>
      </c>
      <c r="H4" s="1" t="inlineStr">
        <is>
          <t>Weekly Summary</t>
        </is>
      </c>
    </row>
    <row r="5">
      <c r="A5" s="5" t="inlineStr">
        <is>
          <t>Total Income</t>
        </is>
      </c>
      <c r="B5" s="3">
        <f>SUMIFS($J$29:$J$528,$I$29:$I$528,"Income")</f>
        <v>4988.0</v>
      </c>
      <c r="D5" s="2" t="inlineStr">
        <is>
          <t>Category</t>
        </is>
      </c>
      <c r="E5" s="2" t="inlineStr">
        <is>
          <t>Expenses</t>
        </is>
      </c>
      <c r="F5" s="2" t="inlineStr">
        <is>
          <t>Income</t>
        </is>
      </c>
      <c r="G5" s="2" t="inlineStr">
        <is>
          <t>Existing Savings</t>
        </is>
      </c>
      <c r="H5" s="2" t="inlineStr">
        <is>
          <t>Week</t>
        </is>
      </c>
      <c r="I5" s="2" t="inlineStr">
        <is>
          <t>Expenses</t>
        </is>
      </c>
      <c r="J5" s="2" t="inlineStr">
        <is>
          <t>Income</t>
        </is>
      </c>
      <c r="K5" s="2" t="inlineStr">
        <is>
          <t>Net</t>
        </is>
      </c>
    </row>
    <row r="6">
      <c r="A6" s="5" t="inlineStr">
        <is>
          <t>Total Expenses</t>
        </is>
      </c>
      <c r="B6" s="3">
        <f>SUMIFS($J$29:$J$528,$I$29:$I$528,"Expense")</f>
        <v>2741.56</v>
      </c>
      <c r="D6" s="5" t="inlineStr">
        <is>
          <t>Housing</t>
        </is>
      </c>
      <c r="E6" s="3">
        <f>SUMIFS($J$29:$J$528,$E$29:$E$528,$D6,$I$29:$I$528,"Expense")</f>
        <v>1100.0</v>
      </c>
      <c r="F6" s="3">
        <f>SUMIFS($J$29:$J$528,$E$29:$E$528,$D6,$I$29:$I$528,"Income")</f>
        <v>0.0</v>
      </c>
      <c r="G6" s="3">
        <f>SUMIFS($J$29:$J$528,$E$29:$E$528,$D6,$I$29:$I$528,"Opening Balance")</f>
        <v>0.0</v>
      </c>
      <c r="H6" s="5" t="inlineStr">
        <is>
          <t>Week 1</t>
        </is>
      </c>
      <c r="I6" s="3">
        <f>SUMIFS($J$29:$J$528,$B$29:$B$528,1,$I$29:$I$528,"Expense",$F$29:$F$528,"&lt;&gt;Rent")</f>
        <v>0.0</v>
      </c>
      <c r="J6" s="3">
        <f>SUMIFS($J$29:$J$528,$B$29:$B$528,1,$I$29:$I$528,"Income")</f>
        <v>0.0</v>
      </c>
      <c r="K6" s="3">
        <f>J6-I6</f>
        <v>0.0</v>
      </c>
    </row>
    <row r="7">
      <c r="A7" s="5" t="inlineStr">
        <is>
          <t>Existing Savings</t>
        </is>
      </c>
      <c r="B7" s="3">
        <f>SUMIFS($J$29:$J$528,$I$29:$I$528,"Opening Balance")</f>
        <v>7300.0</v>
      </c>
      <c r="D7" s="5" t="inlineStr">
        <is>
          <t>Utilities</t>
        </is>
      </c>
      <c r="E7" s="3">
        <f>SUMIFS($J$29:$J$528,$E$29:$E$528,$D7,$I$29:$I$528,"Expense")</f>
        <v>67.72</v>
      </c>
      <c r="F7" s="3">
        <f>SUMIFS($J$29:$J$528,$E$29:$E$528,$D7,$I$29:$I$528,"Income")</f>
        <v>0.0</v>
      </c>
      <c r="G7" s="3">
        <f>SUMIFS($J$29:$J$528,$E$29:$E$528,$D7,$I$29:$I$528,"Opening Balance")</f>
        <v>0.0</v>
      </c>
      <c r="H7" s="5" t="inlineStr">
        <is>
          <t>Week 2</t>
        </is>
      </c>
      <c r="I7" s="3">
        <f>SUMIFS($J$29:$J$528,$B$29:$B$528,2,$I$29:$I$528,"Expense",$F$29:$F$528,"&lt;&gt;Rent")</f>
        <v>294.98</v>
      </c>
      <c r="J7" s="3">
        <f>SUMIFS($J$29:$J$528,$B$29:$B$528,2,$I$29:$I$528,"Income")</f>
        <v>0.0</v>
      </c>
      <c r="K7" s="3">
        <f>J7-I7</f>
        <v>-294.98</v>
      </c>
    </row>
    <row r="8">
      <c r="A8" s="5" t="inlineStr">
        <is>
          <t>Transfers</t>
        </is>
      </c>
      <c r="B8" s="3">
        <f>SUMIFS($J$29:$J$528,$I$29:$I$528,"Transfer")</f>
        <v>1700.0</v>
      </c>
      <c r="D8" s="5" t="inlineStr">
        <is>
          <t>Groceries</t>
        </is>
      </c>
      <c r="E8" s="3">
        <f>SUMIFS($J$29:$J$528,$E$29:$E$528,$D8,$I$29:$I$528,"Expense")</f>
        <v>394.07</v>
      </c>
      <c r="F8" s="3">
        <f>SUMIFS($J$29:$J$528,$E$29:$E$528,$D8,$I$29:$I$528,"Income")</f>
        <v>0.0</v>
      </c>
      <c r="G8" s="3">
        <f>SUMIFS($J$29:$J$528,$E$29:$E$528,$D8,$I$29:$I$528,"Opening Balance")</f>
        <v>0.0</v>
      </c>
      <c r="H8" s="5" t="inlineStr">
        <is>
          <t>Week 3</t>
        </is>
      </c>
      <c r="I8" s="3">
        <f>SUMIFS($J$29:$J$528,$B$29:$B$528,3,$I$29:$I$528,"Expense",$F$29:$F$528,"&lt;&gt;Rent")</f>
        <v>553.36</v>
      </c>
      <c r="J8" s="3">
        <f>SUMIFS($J$29:$J$528,$B$29:$B$528,3,$I$29:$I$528,"Income")</f>
        <v>0.0</v>
      </c>
      <c r="K8" s="3">
        <f>J8-I8</f>
        <v>-553.36</v>
      </c>
    </row>
    <row r="9">
      <c r="A9" s="5" t="inlineStr">
        <is>
          <t>Net Cash Flow</t>
        </is>
      </c>
      <c r="B9" s="3">
        <f>B5-B6</f>
        <v>2246.44</v>
      </c>
      <c r="D9" s="5" t="inlineStr">
        <is>
          <t>Dining</t>
        </is>
      </c>
      <c r="E9" s="3">
        <f>SUMIFS($J$29:$J$528,$E$29:$E$528,$D9,$I$29:$I$528,"Expense")</f>
        <v>350.01</v>
      </c>
      <c r="F9" s="3">
        <f>SUMIFS($J$29:$J$528,$E$29:$E$528,$D9,$I$29:$I$528,"Income")</f>
        <v>0.0</v>
      </c>
      <c r="G9" s="3">
        <f>SUMIFS($J$29:$J$528,$E$29:$E$528,$D9,$I$29:$I$528,"Opening Balance")</f>
        <v>0.0</v>
      </c>
      <c r="H9" s="5" t="inlineStr">
        <is>
          <t>Week 4</t>
        </is>
      </c>
      <c r="I9" s="3">
        <f>SUMIFS($J$29:$J$528,$B$29:$B$528,4,$I$29:$I$528,"Expense",$F$29:$F$528,"&lt;&gt;Rent")</f>
        <v>546.17</v>
      </c>
      <c r="J9" s="3">
        <f>SUMIFS($J$29:$J$528,$B$29:$B$528,4,$I$29:$I$528,"Income")</f>
        <v>0.0</v>
      </c>
      <c r="K9" s="3">
        <f>J9-I9</f>
        <v>-546.17</v>
      </c>
    </row>
    <row r="10">
      <c r="A10" s="5" t="inlineStr">
        <is>
          <t>Current Balance</t>
        </is>
      </c>
      <c r="B10" s="3" t="n">
        <v>8242.24</v>
      </c>
      <c r="D10" s="5" t="inlineStr">
        <is>
          <t>Transportation</t>
        </is>
      </c>
      <c r="E10" s="3">
        <f>SUMIFS($J$29:$J$528,$E$29:$E$528,$D10,$I$29:$I$528,"Expense")</f>
        <v>110.45</v>
      </c>
      <c r="F10" s="3">
        <f>SUMIFS($J$29:$J$528,$E$29:$E$528,$D10,$I$29:$I$528,"Income")</f>
        <v>0.0</v>
      </c>
      <c r="G10" s="3">
        <f>SUMIFS($J$29:$J$528,$E$29:$E$528,$D10,$I$29:$I$528,"Opening Balance")</f>
        <v>0.0</v>
      </c>
      <c r="H10" s="5" t="inlineStr">
        <is>
          <t>Week 5</t>
        </is>
      </c>
      <c r="I10" s="3">
        <f>SUMIFS($J$29:$J$528,$B$29:$B$528,5,$I$29:$I$528,"Expense",$F$29:$F$528,"&lt;&gt;Rent")</f>
        <v>247.05</v>
      </c>
      <c r="J10" s="3">
        <f>SUMIFS($J$29:$J$528,$B$29:$B$528,5,$I$29:$I$528,"Income")</f>
        <v>4988.0</v>
      </c>
      <c r="K10" s="3">
        <f>J10-I10</f>
        <v>4740.95</v>
      </c>
    </row>
    <row r="11">
      <c r="D11" s="5" t="inlineStr">
        <is>
          <t>Health &amp; Medical</t>
        </is>
      </c>
      <c r="E11" s="3">
        <f>SUMIFS($J$29:$J$528,$E$29:$E$528,$D11,$I$29:$I$528,"Expense")</f>
        <v>0</v>
      </c>
      <c r="F11" s="3">
        <f>SUMIFS($J$29:$J$528,$E$29:$E$528,$D11,$I$29:$I$528,"Income")</f>
        <v>0</v>
      </c>
      <c r="G11" s="3">
        <f>SUMIFS($J$29:$J$528,$E$29:$E$528,$D11,$I$29:$I$528,"Opening Balance")</f>
        <v>0</v>
      </c>
    </row>
    <row r="12">
      <c r="D12" s="5" t="inlineStr">
        <is>
          <t>Insurance</t>
        </is>
      </c>
      <c r="E12" s="3">
        <f>SUMIFS($J$29:$J$528,$E$29:$E$528,$D12,$I$29:$I$528,"Expense")</f>
        <v>0</v>
      </c>
      <c r="F12" s="3">
        <f>SUMIFS($J$29:$J$528,$E$29:$E$528,$D12,$I$29:$I$528,"Income")</f>
        <v>0</v>
      </c>
      <c r="G12" s="3">
        <f>SUMIFS($J$29:$J$528,$E$29:$E$528,$D12,$I$29:$I$528,"Opening Balance")</f>
        <v>0</v>
      </c>
    </row>
    <row r="13">
      <c r="D13" s="5" t="inlineStr">
        <is>
          <t>Debt Payments</t>
        </is>
      </c>
      <c r="E13" s="3">
        <f>SUMIFS($J$29:$J$528,$E$29:$E$528,$D13,$I$29:$I$528,"Expense")</f>
        <v>0</v>
      </c>
      <c r="F13" s="3">
        <f>SUMIFS($J$29:$J$528,$E$29:$E$528,$D13,$I$29:$I$528,"Income")</f>
        <v>0</v>
      </c>
      <c r="G13" s="3">
        <f>SUMIFS($J$29:$J$528,$E$29:$E$528,$D13,$I$29:$I$528,"Opening Balance")</f>
        <v>0</v>
      </c>
    </row>
    <row r="14">
      <c r="D14" s="5" t="inlineStr">
        <is>
          <t>Savings &amp; Investments</t>
        </is>
      </c>
      <c r="E14" s="3">
        <f>SUMIFS($J$29:$J$528,$E$29:$E$528,$D14,$I$29:$I$528,"Expense")</f>
        <v>0</v>
      </c>
      <c r="F14" s="3">
        <f>SUMIFS($J$29:$J$528,$E$29:$E$528,$D14,$I$29:$I$528,"Income")</f>
        <v>0</v>
      </c>
      <c r="G14" s="3">
        <f>SUMIFS($J$29:$J$528,$E$29:$E$528,$D14,$I$29:$I$528,"Opening Balance")</f>
        <v>0</v>
      </c>
    </row>
    <row r="15">
      <c r="D15" s="5" t="inlineStr">
        <is>
          <t>Personal Care</t>
        </is>
      </c>
      <c r="E15" s="3">
        <f>SUMIFS($J$29:$J$528,$E$29:$E$528,$D15,$I$29:$I$528,"Expense")</f>
        <v>0</v>
      </c>
      <c r="F15" s="3">
        <f>SUMIFS($J$29:$J$528,$E$29:$E$528,$D15,$I$29:$I$528,"Income")</f>
        <v>0</v>
      </c>
      <c r="G15" s="3">
        <f>SUMIFS($J$29:$J$528,$E$29:$E$528,$D15,$I$29:$I$528,"Opening Balance")</f>
        <v>0</v>
      </c>
    </row>
    <row r="16">
      <c r="D16" s="5" t="inlineStr">
        <is>
          <t>Shopping</t>
        </is>
      </c>
      <c r="E16" s="3">
        <f>SUMIFS($J$29:$J$528,$E$29:$E$528,$D16,$I$29:$I$528,"Expense")</f>
        <v>78.32</v>
      </c>
      <c r="F16" s="3">
        <f>SUMIFS($J$29:$J$528,$E$29:$E$528,$D16,$I$29:$I$528,"Income")</f>
        <v>0.0</v>
      </c>
      <c r="G16" s="3">
        <f>SUMIFS($J$29:$J$528,$E$29:$E$528,$D16,$I$29:$I$528,"Opening Balance")</f>
        <v>0.0</v>
      </c>
    </row>
    <row r="17">
      <c r="D17" s="5" t="inlineStr">
        <is>
          <t>Entertainment</t>
        </is>
      </c>
      <c r="E17" s="3">
        <f>SUMIFS($J$29:$J$528,$E$29:$E$528,$D17,$I$29:$I$528,"Expense")</f>
        <v>332.82</v>
      </c>
      <c r="F17" s="3">
        <f>SUMIFS($J$29:$J$528,$E$29:$E$528,$D17,$I$29:$I$528,"Income")</f>
        <v>0.0</v>
      </c>
      <c r="G17" s="3">
        <f>SUMIFS($J$29:$J$528,$E$29:$E$528,$D17,$I$29:$I$528,"Opening Balance")</f>
        <v>0.0</v>
      </c>
    </row>
    <row r="18">
      <c r="D18" s="5" t="inlineStr">
        <is>
          <t>Travel</t>
        </is>
      </c>
      <c r="E18" s="3">
        <f>SUMIFS($J$29:$J$528,$E$29:$E$528,$D18,$I$29:$I$528,"Expense")</f>
        <v>0</v>
      </c>
      <c r="F18" s="3">
        <f>SUMIFS($J$29:$J$528,$E$29:$E$528,$D18,$I$29:$I$528,"Income")</f>
        <v>0</v>
      </c>
      <c r="G18" s="3">
        <f>SUMIFS($J$29:$J$528,$E$29:$E$528,$D18,$I$29:$I$528,"Opening Balance")</f>
        <v>0</v>
      </c>
    </row>
    <row r="19">
      <c r="D19" s="5" t="inlineStr">
        <is>
          <t>Education</t>
        </is>
      </c>
      <c r="E19" s="3">
        <f>SUMIFS($J$29:$J$528,$E$29:$E$528,$D19,$I$29:$I$528,"Expense")</f>
        <v>0</v>
      </c>
      <c r="F19" s="3">
        <f>SUMIFS($J$29:$J$528,$E$29:$E$528,$D19,$I$29:$I$528,"Income")</f>
        <v>0</v>
      </c>
      <c r="G19" s="3">
        <f>SUMIFS($J$29:$J$528,$E$29:$E$528,$D19,$I$29:$I$528,"Opening Balance")</f>
        <v>0</v>
      </c>
    </row>
    <row r="20">
      <c r="D20" s="5" t="inlineStr">
        <is>
          <t>Gifts &amp; Donations</t>
        </is>
      </c>
      <c r="E20" s="3">
        <f>SUMIFS($J$29:$J$528,$E$29:$E$528,$D20,$I$29:$I$528,"Expense")</f>
        <v>0</v>
      </c>
      <c r="F20" s="3">
        <f>SUMIFS($J$29:$J$528,$E$29:$E$528,$D20,$I$29:$I$528,"Income")</f>
        <v>0</v>
      </c>
      <c r="G20" s="3">
        <f>SUMIFS($J$29:$J$528,$E$29:$E$528,$D20,$I$29:$I$528,"Opening Balance")</f>
        <v>0</v>
      </c>
    </row>
    <row r="21">
      <c r="D21" s="5" t="inlineStr">
        <is>
          <t>Taxes</t>
        </is>
      </c>
      <c r="E21" s="3">
        <f>SUMIFS($J$29:$J$528,$E$29:$E$528,$D21,$I$29:$I$528,"Expense")</f>
        <v>0</v>
      </c>
      <c r="F21" s="3">
        <f>SUMIFS($J$29:$J$528,$E$29:$E$528,$D21,$I$29:$I$528,"Income")</f>
        <v>0</v>
      </c>
      <c r="G21" s="3">
        <f>SUMIFS($J$29:$J$528,$E$29:$E$528,$D21,$I$29:$I$528,"Opening Balance")</f>
        <v>0</v>
      </c>
    </row>
    <row r="22">
      <c r="D22" s="5" t="inlineStr">
        <is>
          <t>Shipping</t>
        </is>
      </c>
      <c r="E22" s="3">
        <f>SUMIFS($J$29:$J$528,$E$29:$E$528,$D22,$I$29:$I$528,"Expense")</f>
        <v>165.75</v>
      </c>
      <c r="F22" s="3">
        <f>SUMIFS($J$29:$J$528,$E$29:$E$528,$D22,$I$29:$I$528,"Income")</f>
        <v>0.0</v>
      </c>
      <c r="G22" s="3">
        <f>SUMIFS($J$29:$J$528,$E$29:$E$528,$D22,$I$29:$I$528,"Opening Balance")</f>
        <v>0.0</v>
      </c>
    </row>
    <row r="23">
      <c r="D23" s="5" t="inlineStr">
        <is>
          <t>Income</t>
        </is>
      </c>
      <c r="E23" s="3">
        <f>SUMIFS($J$29:$J$528,$E$29:$E$528,$D23,$I$29:$I$528,"Expense")</f>
        <v>0.0</v>
      </c>
      <c r="F23" s="3">
        <f>SUMIFS($J$29:$J$528,$E$29:$E$528,$D23,$I$29:$I$528,"Income")</f>
        <v>4988.0</v>
      </c>
      <c r="G23" s="3">
        <f>SUMIFS($J$29:$J$528,$E$29:$E$528,$D23,$I$29:$I$528,"Opening Balance")</f>
        <v>0.0</v>
      </c>
    </row>
    <row r="24">
      <c r="D24" s="5" t="inlineStr">
        <is>
          <t>Transfers</t>
        </is>
      </c>
      <c r="E24" s="3">
        <f>SUMIFS($J$29:$J$528,$E$29:$E$528,$D24,$I$29:$I$528,"Expense")</f>
        <v>0</v>
      </c>
      <c r="F24" s="3">
        <f>SUMIFS($J$29:$J$528,$E$29:$E$528,$D24,$I$29:$I$528,"Income")</f>
        <v>0</v>
      </c>
      <c r="G24" s="3">
        <f>SUMIFS($J$29:$J$528,$E$29:$E$528,$D24,$I$29:$I$528,"Opening Balance")</f>
        <v>0</v>
      </c>
    </row>
    <row r="25">
      <c r="D25" s="5" t="inlineStr">
        <is>
          <t>Existing Savings</t>
        </is>
      </c>
      <c r="E25" s="3">
        <f>SUMIFS($J$29:$J$528,$E$29:$E$528,$D25,$I$29:$I$528,"Expense")</f>
        <v>0.0</v>
      </c>
      <c r="F25" s="3">
        <f>SUMIFS($J$29:$J$528,$E$29:$E$528,$D25,$I$29:$I$528,"Income")</f>
        <v>0.0</v>
      </c>
      <c r="G25" s="3">
        <f>SUMIFS($J$29:$J$528,$E$29:$E$528,$D25,$I$29:$I$528,"Opening Balance")</f>
        <v>7300.0</v>
      </c>
    </row>
    <row r="26">
      <c r="D26" s="5" t="inlineStr">
        <is>
          <t>Essentials</t>
        </is>
      </c>
      <c r="E26" s="3">
        <f>SUMIFS($J$29:$J$528,$E$29:$E$528,$D26,$I$29:$I$528,"Expense")</f>
        <v>142.42</v>
      </c>
      <c r="F26" s="3">
        <f>SUMIFS($J$29:$J$528,$E$29:$E$528,$D26,$I$29:$I$528,"Income")</f>
        <v>0.0</v>
      </c>
      <c r="G26" s="3">
        <f>SUMIFS($J$29:$J$528,$E$29:$E$528,$D26,$I$29:$I$528,"Opening Balance")</f>
        <v>0.0</v>
      </c>
    </row>
    <row r="27">
      <c r="A27" s="1" t="inlineStr">
        <is>
          <t>Transactions</t>
        </is>
      </c>
    </row>
    <row r="28">
      <c r="A28" s="2" t="inlineStr">
        <is>
          <t>Date</t>
        </is>
      </c>
      <c r="B28" s="2" t="inlineStr">
        <is>
          <t>Week</t>
        </is>
      </c>
      <c r="C28" s="2" t="inlineStr">
        <is>
          <t>Description</t>
        </is>
      </c>
      <c r="D28" s="2" t="inlineStr">
        <is>
          <t>Merchant</t>
        </is>
      </c>
      <c r="E28" s="2" t="inlineStr">
        <is>
          <t>Category</t>
        </is>
      </c>
      <c r="F28" s="2" t="inlineStr">
        <is>
          <t>Subcategory</t>
        </is>
      </c>
      <c r="G28" s="2" t="inlineStr">
        <is>
          <t>Account</t>
        </is>
      </c>
      <c r="H28" s="2" t="inlineStr">
        <is>
          <t>Payment Method</t>
        </is>
      </c>
      <c r="I28" s="2" t="inlineStr">
        <is>
          <t>Type</t>
        </is>
      </c>
      <c r="J28" s="2" t="inlineStr">
        <is>
          <t>Amount</t>
        </is>
      </c>
      <c r="K28" s="2" t="inlineStr">
        <is>
          <t>Notes</t>
        </is>
      </c>
    </row>
    <row r="29">
      <c r="A29" s="4" t="n">
        <v>46244</v>
      </c>
      <c r="B29" s="9">
        <f>IF(A29="","",INT(DAY(A29)/7)+1)</f>
        <v>2</v>
      </c>
      <c r="C29" s="9" t="inlineStr">
        <is>
          <t>DEPOSIT ID NUMBER 503240</t>
        </is>
      </c>
      <c r="D29" s="9" t="inlineStr">
        <is>
          <t>Existing Savings</t>
        </is>
      </c>
      <c r="E29" s="9" t="inlineStr">
        <is>
          <t>Existing Savings</t>
        </is>
      </c>
      <c r="F29" s="9" t="inlineStr">
        <is>
          <t>Starting balance</t>
        </is>
      </c>
      <c r="G29" s="9" t="inlineStr">
        <is>
          <t>Savings</t>
        </is>
      </c>
      <c r="H29" s="9" t="inlineStr">
        <is>
          <t>Bank Transfer</t>
        </is>
      </c>
      <c r="I29" s="9" t="inlineStr">
        <is>
          <t>Opening Balance</t>
        </is>
      </c>
      <c r="J29" s="3" t="n">
        <v>3200</v>
      </c>
      <c r="K29" s="9" t="inlineStr">
        <is>
          <t>8월 3주차; Chase Secure (...7259); Balance shown: $3,200.00; Reclassified from income to existing savings</t>
        </is>
      </c>
    </row>
    <row r="30">
      <c r="A30" s="4" t="n">
        <v>46244</v>
      </c>
      <c r="B30" s="9">
        <f>IF(A30="","",INT(DAY(A30)/7)+1)</f>
        <v>2</v>
      </c>
      <c r="C30" s="9" t="inlineStr">
        <is>
          <t>HOMEGOODS #0515 NEW YORK NY 028967 08/10</t>
        </is>
      </c>
      <c r="D30" s="9" t="inlineStr">
        <is>
          <t>HomeGoods</t>
        </is>
      </c>
      <c r="E30" s="9" t="inlineStr">
        <is>
          <t>Essentials</t>
        </is>
      </c>
      <c r="F30" s="9" t="inlineStr">
        <is>
          <t>Home goods</t>
        </is>
      </c>
      <c r="G30" s="9" t="inlineStr">
        <is>
          <t>Checking</t>
        </is>
      </c>
      <c r="H30" s="9" t="inlineStr">
        <is>
          <t>Debit Card</t>
        </is>
      </c>
      <c r="I30" s="9" t="inlineStr">
        <is>
          <t>Expense</t>
        </is>
      </c>
      <c r="J30" s="3" t="n">
        <v>16.32</v>
      </c>
      <c r="K30" s="9" t="inlineStr">
        <is>
          <t>8월 3주차; Chase Secure (...7259); Balance shown: $3,183.68</t>
        </is>
      </c>
    </row>
    <row r="31">
      <c r="A31" s="4" t="n">
        <v>46244</v>
      </c>
      <c r="B31" s="9">
        <f>IF(A31="","",INT(DAY(A31)/7)+1)</f>
        <v>2</v>
      </c>
      <c r="C31" s="9" t="inlineStr">
        <is>
          <t>T-MOBILE 2563 BROADWAY NEW YORK NY 566367 08/10</t>
        </is>
      </c>
      <c r="D31" s="9" t="inlineStr">
        <is>
          <t>T-Mobile</t>
        </is>
      </c>
      <c r="E31" s="9" t="inlineStr">
        <is>
          <t>Utilities</t>
        </is>
      </c>
      <c r="F31" s="9" t="inlineStr">
        <is>
          <t>Mobile phone</t>
        </is>
      </c>
      <c r="G31" s="9" t="inlineStr">
        <is>
          <t>Checking</t>
        </is>
      </c>
      <c r="H31" s="9" t="inlineStr">
        <is>
          <t>Debit Card</t>
        </is>
      </c>
      <c r="I31" s="9" t="inlineStr">
        <is>
          <t>Expense</t>
        </is>
      </c>
      <c r="J31" s="3" t="n">
        <v>61.08</v>
      </c>
      <c r="K31" s="9" t="inlineStr">
        <is>
          <t>8월 3주차; Chase Secure (...7259); Balance shown: $3,122.60</t>
        </is>
      </c>
    </row>
    <row r="32">
      <c r="A32" s="4" t="n">
        <v>46244</v>
      </c>
      <c r="B32" s="9">
        <f>IF(A32="","",INT(DAY(A32)/7)+1)</f>
        <v>2</v>
      </c>
      <c r="C32" s="9" t="inlineStr">
        <is>
          <t>MTA*NYCT PAYGO NEW YORK NY 08/10</t>
        </is>
      </c>
      <c r="D32" s="9" t="inlineStr">
        <is>
          <t>MTA NYCT Paygo</t>
        </is>
      </c>
      <c r="E32" s="9" t="inlineStr">
        <is>
          <t>Transportation</t>
        </is>
      </c>
      <c r="F32" s="9" t="inlineStr">
        <is>
          <t>Public transit</t>
        </is>
      </c>
      <c r="G32" s="9" t="inlineStr">
        <is>
          <t>Checking</t>
        </is>
      </c>
      <c r="H32" s="9" t="inlineStr">
        <is>
          <t>Debit Card</t>
        </is>
      </c>
      <c r="I32" s="9" t="inlineStr">
        <is>
          <t>Expense</t>
        </is>
      </c>
      <c r="J32" s="3" t="n">
        <v>3</v>
      </c>
      <c r="K32" s="9" t="inlineStr">
        <is>
          <t>8월 3주차; Chase Secure (...7259); Balance shown: $3,119.60</t>
        </is>
      </c>
    </row>
    <row r="33">
      <c r="A33" s="4" t="n">
        <v>46244</v>
      </c>
      <c r="B33" s="9">
        <f>IF(A33="","",INT(DAY(A33)/7)+1)</f>
        <v>2</v>
      </c>
      <c r="C33" s="9" t="inlineStr">
        <is>
          <t>MTA*NYCT PAYGO NEW YORK NY 08/10</t>
        </is>
      </c>
      <c r="D33" s="9" t="inlineStr">
        <is>
          <t>MTA NYCT Paygo</t>
        </is>
      </c>
      <c r="E33" s="9" t="inlineStr">
        <is>
          <t>Transportation</t>
        </is>
      </c>
      <c r="F33" s="9" t="inlineStr">
        <is>
          <t>Public transit</t>
        </is>
      </c>
      <c r="G33" s="9" t="inlineStr">
        <is>
          <t>Checking</t>
        </is>
      </c>
      <c r="H33" s="9" t="inlineStr">
        <is>
          <t>Debit Card</t>
        </is>
      </c>
      <c r="I33" s="9" t="inlineStr">
        <is>
          <t>Expense</t>
        </is>
      </c>
      <c r="J33" s="3" t="n">
        <v>3</v>
      </c>
      <c r="K33" s="9" t="inlineStr">
        <is>
          <t>8월 3주차; Chase Secure (...7259); Balance shown: $3,116.60</t>
        </is>
      </c>
    </row>
    <row r="34">
      <c r="A34" s="4" t="n">
        <v>46245</v>
      </c>
      <c r="B34" s="9">
        <f>IF(A34="","",INT(DAY(A34)/7)+1)</f>
        <v>2</v>
      </c>
      <c r="C34" s="9" t="inlineStr">
        <is>
          <t>TARGET STORE T-3 10 UN NEW YORK NY 593369 08/11</t>
        </is>
      </c>
      <c r="D34" s="9" t="inlineStr">
        <is>
          <t>Target</t>
        </is>
      </c>
      <c r="E34" s="9" t="inlineStr">
        <is>
          <t>Essentials</t>
        </is>
      </c>
      <c r="F34" s="9" t="inlineStr">
        <is>
          <t>Retail</t>
        </is>
      </c>
      <c r="G34" s="9" t="inlineStr">
        <is>
          <t>Checking</t>
        </is>
      </c>
      <c r="H34" s="9" t="inlineStr">
        <is>
          <t>Debit Card</t>
        </is>
      </c>
      <c r="I34" s="9" t="inlineStr">
        <is>
          <t>Expense</t>
        </is>
      </c>
      <c r="J34" s="3" t="n">
        <v>32.72</v>
      </c>
      <c r="K34" s="9" t="inlineStr">
        <is>
          <t>8월 3주차; Chase Secure (...7259); Balance shown: $3,083.88</t>
        </is>
      </c>
    </row>
    <row r="35">
      <c r="A35" s="4" t="n">
        <v>46245</v>
      </c>
      <c r="B35" s="9">
        <f>IF(A35="","",INT(DAY(A35)/7)+1)</f>
        <v>2</v>
      </c>
      <c r="C35" s="9" t="inlineStr">
        <is>
          <t>TRADER JOE S #54 142 E NEW YORK NY 031581 08/11</t>
        </is>
      </c>
      <c r="D35" s="9" t="inlineStr">
        <is>
          <t>Trader Joe's</t>
        </is>
      </c>
      <c r="E35" s="9" t="inlineStr">
        <is>
          <t>Groceries</t>
        </is>
      </c>
      <c r="F35" s="9" t="inlineStr">
        <is>
          <t>Groceries</t>
        </is>
      </c>
      <c r="G35" s="9" t="inlineStr">
        <is>
          <t>Checking</t>
        </is>
      </c>
      <c r="H35" s="9" t="inlineStr">
        <is>
          <t>Debit Card</t>
        </is>
      </c>
      <c r="I35" s="9" t="inlineStr">
        <is>
          <t>Expense</t>
        </is>
      </c>
      <c r="J35" s="3" t="n">
        <v>2.99</v>
      </c>
      <c r="K35" s="9" t="inlineStr">
        <is>
          <t>8월 3주차; Chase Secure (...7259); Balance shown: $3,080.89</t>
        </is>
      </c>
    </row>
    <row r="36">
      <c r="A36" s="4" t="n">
        <v>46245</v>
      </c>
      <c r="B36" s="9">
        <f>IF(A36="","",INT(DAY(A36)/7)+1)</f>
        <v>2</v>
      </c>
      <c r="C36" s="9" t="inlineStr">
        <is>
          <t>TRADER JOE S #54 142 E NEW YORK NY 736951 08/11</t>
        </is>
      </c>
      <c r="D36" s="9" t="inlineStr">
        <is>
          <t>Trader Joe's</t>
        </is>
      </c>
      <c r="E36" s="9" t="inlineStr">
        <is>
          <t>Groceries</t>
        </is>
      </c>
      <c r="F36" s="9" t="inlineStr">
        <is>
          <t>Groceries</t>
        </is>
      </c>
      <c r="G36" s="9" t="inlineStr">
        <is>
          <t>Checking</t>
        </is>
      </c>
      <c r="H36" s="9" t="inlineStr">
        <is>
          <t>Debit Card</t>
        </is>
      </c>
      <c r="I36" s="9" t="inlineStr">
        <is>
          <t>Expense</t>
        </is>
      </c>
      <c r="J36" s="3" t="n">
        <v>18.99</v>
      </c>
      <c r="K36" s="9" t="inlineStr">
        <is>
          <t>8월 3주차; Chase Secure (...7259); Balance shown: $3,061.90</t>
        </is>
      </c>
    </row>
    <row r="37">
      <c r="A37" s="4" t="n">
        <v>46245</v>
      </c>
      <c r="B37" s="9">
        <f>IF(A37="","",INT(DAY(A37)/7)+1)</f>
        <v>2</v>
      </c>
      <c r="C37" s="9" t="inlineStr">
        <is>
          <t>TST*BOS BAGELS - HARLEM NEW YORK NY 08/11</t>
        </is>
      </c>
      <c r="D37" s="9" t="inlineStr">
        <is>
          <t>Bo's Bagels Harlem</t>
        </is>
      </c>
      <c r="E37" s="9" t="inlineStr">
        <is>
          <t>Dining</t>
        </is>
      </c>
      <c r="F37" s="9" t="inlineStr">
        <is>
          <t>Bakery/Cafe</t>
        </is>
      </c>
      <c r="G37" s="9" t="inlineStr">
        <is>
          <t>Checking</t>
        </is>
      </c>
      <c r="H37" s="9" t="inlineStr">
        <is>
          <t>Debit Card</t>
        </is>
      </c>
      <c r="I37" s="9" t="inlineStr">
        <is>
          <t>Expense</t>
        </is>
      </c>
      <c r="J37" s="3" t="n">
        <v>16.15</v>
      </c>
      <c r="K37" s="9" t="inlineStr">
        <is>
          <t>8월 3주차; Chase Secure (...7259); Balance shown: $3,045.75</t>
        </is>
      </c>
    </row>
    <row r="38">
      <c r="A38" s="4" t="n">
        <v>46245</v>
      </c>
      <c r="B38" s="9">
        <f>IF(A38="","",INT(DAY(A38)/7)+1)</f>
        <v>2</v>
      </c>
      <c r="C38" s="9" t="inlineStr">
        <is>
          <t>MTA*NYCT PAYGO NEW YORK NY 08/11</t>
        </is>
      </c>
      <c r="D38" s="9" t="inlineStr">
        <is>
          <t>MTA NYCT Paygo</t>
        </is>
      </c>
      <c r="E38" s="9" t="inlineStr">
        <is>
          <t>Transportation</t>
        </is>
      </c>
      <c r="F38" s="9" t="inlineStr">
        <is>
          <t>Public transit</t>
        </is>
      </c>
      <c r="G38" s="9" t="inlineStr">
        <is>
          <t>Checking</t>
        </is>
      </c>
      <c r="H38" s="9" t="inlineStr">
        <is>
          <t>Debit Card</t>
        </is>
      </c>
      <c r="I38" s="9" t="inlineStr">
        <is>
          <t>Expense</t>
        </is>
      </c>
      <c r="J38" s="3" t="n">
        <v>3</v>
      </c>
      <c r="K38" s="9" t="inlineStr">
        <is>
          <t>8월 3주차; Chase Secure (...7259); Balance shown: $3,042.75</t>
        </is>
      </c>
    </row>
    <row r="39">
      <c r="A39" s="4" t="n">
        <v>46245</v>
      </c>
      <c r="B39" s="9">
        <f>IF(A39="","",INT(DAY(A39)/7)+1)</f>
        <v>2</v>
      </c>
      <c r="C39" s="9" t="inlineStr">
        <is>
          <t>MTA*NYCT PAYGO NEW YORK NY 08/11</t>
        </is>
      </c>
      <c r="D39" s="9" t="inlineStr">
        <is>
          <t>MTA NYCT Paygo</t>
        </is>
      </c>
      <c r="E39" s="9" t="inlineStr">
        <is>
          <t>Transportation</t>
        </is>
      </c>
      <c r="F39" s="9" t="inlineStr">
        <is>
          <t>Public transit</t>
        </is>
      </c>
      <c r="G39" s="9" t="inlineStr">
        <is>
          <t>Checking</t>
        </is>
      </c>
      <c r="H39" s="9" t="inlineStr">
        <is>
          <t>Debit Card</t>
        </is>
      </c>
      <c r="I39" s="9" t="inlineStr">
        <is>
          <t>Expense</t>
        </is>
      </c>
      <c r="J39" s="3" t="n">
        <v>3</v>
      </c>
      <c r="K39" s="9" t="inlineStr">
        <is>
          <t>8월 3주차; Chase Secure (...7259); Balance shown: $3,039.75</t>
        </is>
      </c>
    </row>
    <row r="40">
      <c r="A40" s="4" t="n">
        <v>46245</v>
      </c>
      <c r="B40" s="9">
        <f>IF(A40="","",INT(DAY(A40)/7)+1)</f>
        <v>2</v>
      </c>
      <c r="C40" s="9" t="inlineStr">
        <is>
          <t>MTA*NYCT PAYGO NEW YORK NY 08/11</t>
        </is>
      </c>
      <c r="D40" s="9" t="inlineStr">
        <is>
          <t>MTA NYCT Paygo</t>
        </is>
      </c>
      <c r="E40" s="9" t="inlineStr">
        <is>
          <t>Transportation</t>
        </is>
      </c>
      <c r="F40" s="9" t="inlineStr">
        <is>
          <t>Public transit</t>
        </is>
      </c>
      <c r="G40" s="9" t="inlineStr">
        <is>
          <t>Checking</t>
        </is>
      </c>
      <c r="H40" s="9" t="inlineStr">
        <is>
          <t>Debit Card</t>
        </is>
      </c>
      <c r="I40" s="9" t="inlineStr">
        <is>
          <t>Expense</t>
        </is>
      </c>
      <c r="J40" s="3" t="n">
        <v>3</v>
      </c>
      <c r="K40" s="9" t="inlineStr">
        <is>
          <t>8월 3주차; Chase Secure (...7259); Balance shown: $3,036.75</t>
        </is>
      </c>
    </row>
    <row r="41">
      <c r="A41" s="4" t="n">
        <v>46245</v>
      </c>
      <c r="B41" s="9">
        <f>IF(A41="","",INT(DAY(A41)/7)+1)</f>
        <v>2</v>
      </c>
      <c r="C41" s="9" t="inlineStr">
        <is>
          <t>NYU BOOKSTORE #2015 NEW YORK NY 08/11</t>
        </is>
      </c>
      <c r="D41" s="9" t="inlineStr">
        <is>
          <t>NYU Bookstore</t>
        </is>
      </c>
      <c r="E41" s="9" t="inlineStr">
        <is>
          <t>Shopping</t>
        </is>
      </c>
      <c r="F41" s="9" t="inlineStr">
        <is>
          <t>Books/Supplies</t>
        </is>
      </c>
      <c r="G41" s="9" t="inlineStr">
        <is>
          <t>Checking</t>
        </is>
      </c>
      <c r="H41" s="9" t="inlineStr">
        <is>
          <t>Debit Card</t>
        </is>
      </c>
      <c r="I41" s="9" t="inlineStr">
        <is>
          <t>Expense</t>
        </is>
      </c>
      <c r="J41" s="3" t="n">
        <v>72.89</v>
      </c>
      <c r="K41" s="9" t="inlineStr">
        <is>
          <t>8월 3주차; Chase Secure (...7259); Balance shown: $2,963.86</t>
        </is>
      </c>
    </row>
    <row r="42">
      <c r="A42" s="4" t="n">
        <v>46245</v>
      </c>
      <c r="B42" s="9">
        <f>IF(A42="","",INT(DAY(A42)/7)+1)</f>
        <v>2</v>
      </c>
      <c r="C42" s="9" t="inlineStr">
        <is>
          <t>TARGET STORE T-3380 NEW YORK NY 08/11</t>
        </is>
      </c>
      <c r="D42" s="9" t="inlineStr">
        <is>
          <t>Target</t>
        </is>
      </c>
      <c r="E42" s="9" t="inlineStr">
        <is>
          <t>Essentials</t>
        </is>
      </c>
      <c r="F42" s="9" t="inlineStr">
        <is>
          <t>Retail</t>
        </is>
      </c>
      <c r="G42" s="9" t="inlineStr">
        <is>
          <t>Checking</t>
        </is>
      </c>
      <c r="H42" s="9" t="inlineStr">
        <is>
          <t>Debit Card</t>
        </is>
      </c>
      <c r="I42" s="9" t="inlineStr">
        <is>
          <t>Expense</t>
        </is>
      </c>
      <c r="J42" s="3" t="n">
        <v>2.98</v>
      </c>
      <c r="K42" s="9" t="inlineStr">
        <is>
          <t>8월 3주차; Chase Secure (...7259); Balance shown: $2,960.88</t>
        </is>
      </c>
    </row>
    <row r="43">
      <c r="A43" s="4" t="n">
        <v>46245</v>
      </c>
      <c r="B43" s="9">
        <f>IF(A43="","",INT(DAY(A43)/7)+1)</f>
        <v>2</v>
      </c>
      <c r="C43" s="9" t="inlineStr">
        <is>
          <t>MTA*NYCT PAYGO NEW YORK NY 08/11</t>
        </is>
      </c>
      <c r="D43" s="9" t="inlineStr">
        <is>
          <t>MTA NYCT Paygo</t>
        </is>
      </c>
      <c r="E43" s="9" t="inlineStr">
        <is>
          <t>Transportation</t>
        </is>
      </c>
      <c r="F43" s="9" t="inlineStr">
        <is>
          <t>Public transit</t>
        </is>
      </c>
      <c r="G43" s="9" t="inlineStr">
        <is>
          <t>Checking</t>
        </is>
      </c>
      <c r="H43" s="9" t="inlineStr">
        <is>
          <t>Debit Card</t>
        </is>
      </c>
      <c r="I43" s="9" t="inlineStr">
        <is>
          <t>Expense</t>
        </is>
      </c>
      <c r="J43" s="3" t="n">
        <v>3</v>
      </c>
      <c r="K43" s="9" t="inlineStr">
        <is>
          <t>8월 3주차; Chase Secure (...7259); Balance shown: $2,957.88</t>
        </is>
      </c>
    </row>
    <row r="44">
      <c r="A44" s="4" t="n">
        <v>46246</v>
      </c>
      <c r="B44" s="9">
        <f>IF(A44="","",INT(DAY(A44)/7)+1)</f>
        <v>2</v>
      </c>
      <c r="C44" s="9" t="inlineStr">
        <is>
          <t>MTA*NYCT PAYGO NEW YORK NY 08/12</t>
        </is>
      </c>
      <c r="D44" s="9" t="inlineStr">
        <is>
          <t>MTA NYCT Paygo</t>
        </is>
      </c>
      <c r="E44" s="9" t="inlineStr">
        <is>
          <t>Transportation</t>
        </is>
      </c>
      <c r="F44" s="9" t="inlineStr">
        <is>
          <t>Public transit</t>
        </is>
      </c>
      <c r="G44" s="9" t="inlineStr">
        <is>
          <t>Checking</t>
        </is>
      </c>
      <c r="H44" s="9" t="inlineStr">
        <is>
          <t>Debit Card</t>
        </is>
      </c>
      <c r="I44" s="9" t="inlineStr">
        <is>
          <t>Expense</t>
        </is>
      </c>
      <c r="J44" s="3" t="n">
        <v>3</v>
      </c>
      <c r="K44" s="9" t="inlineStr">
        <is>
          <t>8월 3주차; Chase Secure (...7259); Balance shown: $2,954.88</t>
        </is>
      </c>
    </row>
    <row r="45">
      <c r="A45" s="4" t="n">
        <v>46246</v>
      </c>
      <c r="B45" s="9">
        <f>IF(A45="","",INT(DAY(A45)/7)+1)</f>
        <v>2</v>
      </c>
      <c r="C45" s="9" t="inlineStr">
        <is>
          <t>MTA*NYCT PAYGO NEW YORK NY 08/12</t>
        </is>
      </c>
      <c r="D45" s="9" t="inlineStr">
        <is>
          <t>MTA NYCT Paygo</t>
        </is>
      </c>
      <c r="E45" s="9" t="inlineStr">
        <is>
          <t>Transportation</t>
        </is>
      </c>
      <c r="F45" s="9" t="inlineStr">
        <is>
          <t>Public transit</t>
        </is>
      </c>
      <c r="G45" s="9" t="inlineStr">
        <is>
          <t>Checking</t>
        </is>
      </c>
      <c r="H45" s="9" t="inlineStr">
        <is>
          <t>Debit Card</t>
        </is>
      </c>
      <c r="I45" s="9" t="inlineStr">
        <is>
          <t>Expense</t>
        </is>
      </c>
      <c r="J45" s="3" t="n">
        <v>3</v>
      </c>
      <c r="K45" s="9" t="inlineStr">
        <is>
          <t>8월 3주차; Chase Secure (...7259); Balance shown: $2,951.88</t>
        </is>
      </c>
    </row>
    <row r="46">
      <c r="A46" s="4" t="n">
        <v>46246</v>
      </c>
      <c r="B46" s="9">
        <f>IF(A46="","",INT(DAY(A46)/7)+1)</f>
        <v>2</v>
      </c>
      <c r="C46" s="9" t="inlineStr">
        <is>
          <t>MTA*NYCT PAYGO NEW YORK NY 08/12</t>
        </is>
      </c>
      <c r="D46" s="9" t="inlineStr">
        <is>
          <t>MTA NYCT Paygo</t>
        </is>
      </c>
      <c r="E46" s="9" t="inlineStr">
        <is>
          <t>Transportation</t>
        </is>
      </c>
      <c r="F46" s="9" t="inlineStr">
        <is>
          <t>Public transit</t>
        </is>
      </c>
      <c r="G46" s="9" t="inlineStr">
        <is>
          <t>Checking</t>
        </is>
      </c>
      <c r="H46" s="9" t="inlineStr">
        <is>
          <t>Debit Card</t>
        </is>
      </c>
      <c r="I46" s="9" t="inlineStr">
        <is>
          <t>Expense</t>
        </is>
      </c>
      <c r="J46" s="3" t="n">
        <v>3</v>
      </c>
      <c r="K46" s="9" t="inlineStr">
        <is>
          <t>8월 3주차; Chase Secure (...7259); Balance shown: $2,948.88</t>
        </is>
      </c>
    </row>
    <row r="47">
      <c r="A47" s="4" t="n">
        <v>46246</v>
      </c>
      <c r="B47" s="9">
        <f>IF(A47="","",INT(DAY(A47)/7)+1)</f>
        <v>2</v>
      </c>
      <c r="C47" s="9" t="inlineStr">
        <is>
          <t>TARGET T-3337 NEW YORK NY 08/12</t>
        </is>
      </c>
      <c r="D47" s="9" t="inlineStr">
        <is>
          <t>Target</t>
        </is>
      </c>
      <c r="E47" s="9" t="inlineStr">
        <is>
          <t>Essentials</t>
        </is>
      </c>
      <c r="F47" s="9" t="inlineStr">
        <is>
          <t>Retail</t>
        </is>
      </c>
      <c r="G47" s="9" t="inlineStr">
        <is>
          <t>Checking</t>
        </is>
      </c>
      <c r="H47" s="9" t="inlineStr">
        <is>
          <t>Debit Card</t>
        </is>
      </c>
      <c r="I47" s="9" t="inlineStr">
        <is>
          <t>Expense</t>
        </is>
      </c>
      <c r="J47" s="3" t="n">
        <v>3.27</v>
      </c>
      <c r="K47" s="9" t="inlineStr">
        <is>
          <t>8월 3주차; Chase Secure (...7259); Balance shown: $2,945.61</t>
        </is>
      </c>
    </row>
    <row r="48">
      <c r="A48" s="4" t="n">
        <v>46246</v>
      </c>
      <c r="B48" s="9">
        <f>IF(A48="","",INT(DAY(A48)/7)+1)</f>
        <v>2</v>
      </c>
      <c r="C48" s="9" t="inlineStr">
        <is>
          <t>MTA*NYCT PAYGO NEW YORK NY 08/12</t>
        </is>
      </c>
      <c r="D48" s="9" t="inlineStr">
        <is>
          <t>MTA NYCT Paygo</t>
        </is>
      </c>
      <c r="E48" s="9" t="inlineStr">
        <is>
          <t>Transportation</t>
        </is>
      </c>
      <c r="F48" s="9" t="inlineStr">
        <is>
          <t>Public transit</t>
        </is>
      </c>
      <c r="G48" s="9" t="inlineStr">
        <is>
          <t>Checking</t>
        </is>
      </c>
      <c r="H48" s="9" t="inlineStr">
        <is>
          <t>Debit Card</t>
        </is>
      </c>
      <c r="I48" s="9" t="inlineStr">
        <is>
          <t>Expense</t>
        </is>
      </c>
      <c r="J48" s="3" t="n">
        <v>3</v>
      </c>
      <c r="K48" s="9" t="inlineStr">
        <is>
          <t>8월 3주차; Chase Secure (...7259); Balance shown: $2,942.61</t>
        </is>
      </c>
    </row>
    <row r="49">
      <c r="A49" s="4" t="n">
        <v>46247</v>
      </c>
      <c r="B49" s="9">
        <f>IF(A49="","",INT(DAY(A49)/7)+1)</f>
        <v>2</v>
      </c>
      <c r="C49" s="9" t="inlineStr">
        <is>
          <t>LS TIME OUT MARKET UNI NEW YORK NY 08/13</t>
        </is>
      </c>
      <c r="D49" s="9" t="inlineStr">
        <is>
          <t>Time Out Market</t>
        </is>
      </c>
      <c r="E49" s="9" t="inlineStr">
        <is>
          <t>Dining</t>
        </is>
      </c>
      <c r="F49" s="9" t="inlineStr">
        <is>
          <t>Restaurant/Food hall</t>
        </is>
      </c>
      <c r="G49" s="9" t="inlineStr">
        <is>
          <t>Checking</t>
        </is>
      </c>
      <c r="H49" s="9" t="inlineStr">
        <is>
          <t>Debit Card</t>
        </is>
      </c>
      <c r="I49" s="9" t="inlineStr">
        <is>
          <t>Expense</t>
        </is>
      </c>
      <c r="J49" s="3" t="n">
        <v>15.24</v>
      </c>
      <c r="K49" s="9" t="inlineStr">
        <is>
          <t>8월 3주차; Chase Secure (...7259); Balance shown: $2,927.37</t>
        </is>
      </c>
    </row>
    <row r="50">
      <c r="A50" s="4" t="n">
        <v>46247</v>
      </c>
      <c r="B50" s="9">
        <f>IF(A50="","",INT(DAY(A50)/7)+1)</f>
        <v>2</v>
      </c>
      <c r="C50" s="9" t="inlineStr">
        <is>
          <t>MTA*NYCT PAYGO NEW YORK NY 08/13</t>
        </is>
      </c>
      <c r="D50" s="9" t="inlineStr">
        <is>
          <t>MTA NYCT Paygo</t>
        </is>
      </c>
      <c r="E50" s="9" t="inlineStr">
        <is>
          <t>Transportation</t>
        </is>
      </c>
      <c r="F50" s="9" t="inlineStr">
        <is>
          <t>Public transit</t>
        </is>
      </c>
      <c r="G50" s="9" t="inlineStr">
        <is>
          <t>Checking</t>
        </is>
      </c>
      <c r="H50" s="9" t="inlineStr">
        <is>
          <t>Debit Card</t>
        </is>
      </c>
      <c r="I50" s="9" t="inlineStr">
        <is>
          <t>Expense</t>
        </is>
      </c>
      <c r="J50" s="3" t="n">
        <v>3</v>
      </c>
      <c r="K50" s="9" t="inlineStr">
        <is>
          <t>8월 3주차; Chase Secure (...7259); Balance shown: $2,924.37</t>
        </is>
      </c>
    </row>
    <row r="51">
      <c r="A51" s="4" t="n">
        <v>46247</v>
      </c>
      <c r="B51" s="9">
        <f>IF(A51="","",INT(DAY(A51)/7)+1)</f>
        <v>2</v>
      </c>
      <c r="C51" s="9" t="inlineStr">
        <is>
          <t>MTA*NYCT PAYGO NEW YORK NY 08/13</t>
        </is>
      </c>
      <c r="D51" s="9" t="inlineStr">
        <is>
          <t>MTA NYCT Paygo</t>
        </is>
      </c>
      <c r="E51" s="9" t="inlineStr">
        <is>
          <t>Transportation</t>
        </is>
      </c>
      <c r="F51" s="9" t="inlineStr">
        <is>
          <t>Public transit</t>
        </is>
      </c>
      <c r="G51" s="9" t="inlineStr">
        <is>
          <t>Checking</t>
        </is>
      </c>
      <c r="H51" s="9" t="inlineStr">
        <is>
          <t>Debit Card</t>
        </is>
      </c>
      <c r="I51" s="9" t="inlineStr">
        <is>
          <t>Expense</t>
        </is>
      </c>
      <c r="J51" s="3" t="n">
        <v>2</v>
      </c>
      <c r="K51" s="9" t="inlineStr">
        <is>
          <t>8월 3주차; Chase Secure (...7259); Balance shown: $2,922.37</t>
        </is>
      </c>
    </row>
    <row r="52">
      <c r="A52" s="4" t="n">
        <v>46247</v>
      </c>
      <c r="B52" s="9">
        <f>IF(A52="","",INT(DAY(A52)/7)+1)</f>
        <v>2</v>
      </c>
      <c r="C52" s="9" t="inlineStr">
        <is>
          <t>TESO LIFE NEW YORK NY 08/13</t>
        </is>
      </c>
      <c r="D52" s="9" t="inlineStr">
        <is>
          <t>Teso Life</t>
        </is>
      </c>
      <c r="E52" s="9" t="inlineStr">
        <is>
          <t>Essentials</t>
        </is>
      </c>
      <c r="F52" s="9" t="inlineStr">
        <is>
          <t>Retail</t>
        </is>
      </c>
      <c r="G52" s="9" t="inlineStr">
        <is>
          <t>Checking</t>
        </is>
      </c>
      <c r="H52" s="9" t="inlineStr">
        <is>
          <t>Debit Card</t>
        </is>
      </c>
      <c r="I52" s="9" t="inlineStr">
        <is>
          <t>Expense</t>
        </is>
      </c>
      <c r="J52" s="3" t="n">
        <v>12.99</v>
      </c>
      <c r="K52" s="9" t="inlineStr">
        <is>
          <t>8월 3주차; Chase Secure (...7259); Balance shown: $2,909.38</t>
        </is>
      </c>
    </row>
    <row r="53">
      <c r="A53" s="4" t="n">
        <v>46247</v>
      </c>
      <c r="B53" s="9">
        <f>IF(A53="","",INT(DAY(A53)/7)+1)</f>
        <v>2</v>
      </c>
      <c r="C53" s="9" t="inlineStr">
        <is>
          <t>SQ *SHAWONTRADEINC NEW YORK NY 08/13</t>
        </is>
      </c>
      <c r="D53" s="9" t="inlineStr">
        <is>
          <t>SQ Shawontradeinc</t>
        </is>
      </c>
      <c r="E53" s="9" t="inlineStr">
        <is>
          <t>Essentials</t>
        </is>
      </c>
      <c r="F53" s="9" t="inlineStr">
        <is>
          <t>Retail</t>
        </is>
      </c>
      <c r="G53" s="9" t="inlineStr">
        <is>
          <t>Checking</t>
        </is>
      </c>
      <c r="H53" s="9" t="inlineStr">
        <is>
          <t>Debit Card</t>
        </is>
      </c>
      <c r="I53" s="9" t="inlineStr">
        <is>
          <t>Expense</t>
        </is>
      </c>
      <c r="J53" s="3" t="n">
        <v>4.36</v>
      </c>
      <c r="K53" s="9" t="inlineStr">
        <is>
          <t>8월 3주차; Chase Secure (...7259); Balance shown: $2,905.02</t>
        </is>
      </c>
    </row>
    <row r="54">
      <c r="A54" s="4" t="n">
        <v>46248</v>
      </c>
      <c r="B54" s="9">
        <f>IF(A54="","",INT(DAY(A54)/7)+1)</f>
        <v>3</v>
      </c>
      <c r="C54" s="9" t="inlineStr">
        <is>
          <t>SEATGEEK TICKETS SEATGEEK.COM NY 08/14</t>
        </is>
      </c>
      <c r="D54" s="9" t="inlineStr">
        <is>
          <t>SeatGeek</t>
        </is>
      </c>
      <c r="E54" s="9" t="inlineStr">
        <is>
          <t>Entertainment</t>
        </is>
      </c>
      <c r="F54" s="9" t="inlineStr">
        <is>
          <t>Tickets</t>
        </is>
      </c>
      <c r="G54" s="9" t="inlineStr">
        <is>
          <t>Checking</t>
        </is>
      </c>
      <c r="H54" s="9" t="inlineStr">
        <is>
          <t>Debit Card</t>
        </is>
      </c>
      <c r="I54" s="9" t="inlineStr">
        <is>
          <t>Expense</t>
        </is>
      </c>
      <c r="J54" s="3" t="n">
        <v>204.94</v>
      </c>
      <c r="K54" s="9" t="inlineStr">
        <is>
          <t>8월 3주차; Chase Secure (...7259); Balance shown: $2,700.08; Full 2-person charge</t>
        </is>
      </c>
    </row>
    <row r="55">
      <c r="A55" s="4" t="n">
        <v>46248</v>
      </c>
      <c r="B55" s="9">
        <f>IF(A55="","",INT(DAY(A55)/7)+1)</f>
        <v>3</v>
      </c>
      <c r="C55" s="9" t="inlineStr">
        <is>
          <t>T.J. MAXX #1469 NEW YORK NY 008988 08/14</t>
        </is>
      </c>
      <c r="D55" s="9" t="inlineStr">
        <is>
          <t>T.J. Maxx</t>
        </is>
      </c>
      <c r="E55" s="9" t="inlineStr">
        <is>
          <t>Essentials</t>
        </is>
      </c>
      <c r="F55" s="9" t="inlineStr">
        <is>
          <t>Retail</t>
        </is>
      </c>
      <c r="G55" s="9" t="inlineStr">
        <is>
          <t>Checking</t>
        </is>
      </c>
      <c r="H55" s="9" t="inlineStr">
        <is>
          <t>Debit Card</t>
        </is>
      </c>
      <c r="I55" s="9" t="inlineStr">
        <is>
          <t>Expense</t>
        </is>
      </c>
      <c r="J55" s="3" t="n">
        <v>14.13</v>
      </c>
      <c r="K55" s="9" t="inlineStr">
        <is>
          <t>8월 3주차; Chase Secure (...7259); Balance shown: $2,685.95</t>
        </is>
      </c>
    </row>
    <row r="56">
      <c r="A56" s="4" t="n">
        <v>46248</v>
      </c>
      <c r="B56" s="9">
        <f>IF(A56="","",INT(DAY(A56)/7)+1)</f>
        <v>3</v>
      </c>
      <c r="C56" s="9" t="inlineStr">
        <is>
          <t>WHOLEFDS HRM#105 100 W NEW YORK NY 666156 08/14</t>
        </is>
      </c>
      <c r="D56" s="9" t="inlineStr">
        <is>
          <t>Whole Foods</t>
        </is>
      </c>
      <c r="E56" s="9" t="inlineStr">
        <is>
          <t>Groceries</t>
        </is>
      </c>
      <c r="F56" s="9" t="inlineStr">
        <is>
          <t>Groceries</t>
        </is>
      </c>
      <c r="G56" s="9" t="inlineStr">
        <is>
          <t>Checking</t>
        </is>
      </c>
      <c r="H56" s="9" t="inlineStr">
        <is>
          <t>Debit Card</t>
        </is>
      </c>
      <c r="I56" s="9" t="inlineStr">
        <is>
          <t>Expense</t>
        </is>
      </c>
      <c r="J56" s="3" t="n">
        <v>14.29</v>
      </c>
      <c r="K56" s="9" t="inlineStr">
        <is>
          <t>8월 3주차; Chase Secure (...7259); Balance shown: $2,671.66</t>
        </is>
      </c>
    </row>
    <row r="57">
      <c r="A57" s="4" t="n">
        <v>46248</v>
      </c>
      <c r="B57" s="9">
        <f>IF(A57="","",INT(DAY(A57)/7)+1)</f>
        <v>3</v>
      </c>
      <c r="C57" s="9" t="inlineStr">
        <is>
          <t>TRADER JOE S #57 123 W HARLEM NY 284362 08/14</t>
        </is>
      </c>
      <c r="D57" s="9" t="inlineStr">
        <is>
          <t>Trader Joe's</t>
        </is>
      </c>
      <c r="E57" s="9" t="inlineStr">
        <is>
          <t>Groceries</t>
        </is>
      </c>
      <c r="F57" s="9" t="inlineStr">
        <is>
          <t>Groceries</t>
        </is>
      </c>
      <c r="G57" s="9" t="inlineStr">
        <is>
          <t>Checking</t>
        </is>
      </c>
      <c r="H57" s="9" t="inlineStr">
        <is>
          <t>Debit Card</t>
        </is>
      </c>
      <c r="I57" s="9" t="inlineStr">
        <is>
          <t>Expense</t>
        </is>
      </c>
      <c r="J57" s="3" t="n">
        <v>17.93</v>
      </c>
      <c r="K57" s="9" t="inlineStr">
        <is>
          <t>8월 3주차; Chase Secure (...7259); Balance shown: $2,653.73</t>
        </is>
      </c>
    </row>
    <row r="58">
      <c r="A58" s="4" t="n">
        <v>46251</v>
      </c>
      <c r="B58" s="9">
        <f>IF(A58="","",INT(DAY(A58)/7)+1)</f>
        <v>3</v>
      </c>
      <c r="C58" s="9" t="inlineStr">
        <is>
          <t>WHOLEFDS HRM#105 100 W NEW YORK NY 875002 08/16</t>
        </is>
      </c>
      <c r="D58" s="9" t="inlineStr">
        <is>
          <t>Whole Foods</t>
        </is>
      </c>
      <c r="E58" s="9" t="inlineStr">
        <is>
          <t>Groceries</t>
        </is>
      </c>
      <c r="F58" s="9" t="inlineStr">
        <is>
          <t>Groceries</t>
        </is>
      </c>
      <c r="G58" s="9" t="inlineStr">
        <is>
          <t>Checking</t>
        </is>
      </c>
      <c r="H58" s="9" t="inlineStr">
        <is>
          <t>Debit Card</t>
        </is>
      </c>
      <c r="I58" s="9" t="inlineStr">
        <is>
          <t>Expense</t>
        </is>
      </c>
      <c r="J58" s="3" t="n">
        <v>19.45</v>
      </c>
      <c r="K58" s="9" t="inlineStr">
        <is>
          <t>8월 4주차; Chase Secure (...0119); Balance shown: $2,494.73</t>
        </is>
      </c>
    </row>
    <row r="59">
      <c r="A59" s="4" t="n">
        <v>46251</v>
      </c>
      <c r="B59" s="9">
        <f>IF(A59="","",INT(DAY(A59)/7)+1)</f>
        <v>3</v>
      </c>
      <c r="C59" s="9" t="inlineStr">
        <is>
          <t>TRADER JOE S #57 123 W HARLEM NY 605005 08/16</t>
        </is>
      </c>
      <c r="D59" s="9" t="inlineStr">
        <is>
          <t>Trader Joe's</t>
        </is>
      </c>
      <c r="E59" s="9" t="inlineStr">
        <is>
          <t>Groceries</t>
        </is>
      </c>
      <c r="F59" s="9" t="inlineStr">
        <is>
          <t>Groceries</t>
        </is>
      </c>
      <c r="G59" s="9" t="inlineStr">
        <is>
          <t>Checking</t>
        </is>
      </c>
      <c r="H59" s="9" t="inlineStr">
        <is>
          <t>Debit Card</t>
        </is>
      </c>
      <c r="I59" s="9" t="inlineStr">
        <is>
          <t>Expense</t>
        </is>
      </c>
      <c r="J59" s="3" t="n">
        <v>46.86</v>
      </c>
      <c r="K59" s="9" t="inlineStr">
        <is>
          <t>8월 4주차; Chase Secure (...0119); Balance shown: $2,514.18</t>
        </is>
      </c>
    </row>
    <row r="60">
      <c r="A60" s="4" t="n">
        <v>46251</v>
      </c>
      <c r="B60" s="9">
        <f>IF(A60="","",INT(DAY(A60)/7)+1)</f>
        <v>3</v>
      </c>
      <c r="C60" s="9" t="inlineStr">
        <is>
          <t>AMC 9640 ONLINE 888-440-4262 KS 08/17</t>
        </is>
      </c>
      <c r="D60" s="9" t="inlineStr">
        <is>
          <t>AMC</t>
        </is>
      </c>
      <c r="E60" s="9" t="inlineStr">
        <is>
          <t>Entertainment</t>
        </is>
      </c>
      <c r="F60" s="9" t="inlineStr">
        <is>
          <t>Movies</t>
        </is>
      </c>
      <c r="G60" s="9" t="inlineStr">
        <is>
          <t>Checking</t>
        </is>
      </c>
      <c r="H60" s="9" t="inlineStr">
        <is>
          <t>Debit Card</t>
        </is>
      </c>
      <c r="I60" s="9" t="inlineStr">
        <is>
          <t>Expense</t>
        </is>
      </c>
      <c r="J60" s="3" t="n">
        <v>25.86</v>
      </c>
      <c r="K60" s="9" t="inlineStr">
        <is>
          <t>8월 4주차; Chase Secure (...0119); Balance shown: $2,561.04</t>
        </is>
      </c>
    </row>
    <row r="61">
      <c r="A61" s="4" t="n">
        <v>46251</v>
      </c>
      <c r="B61" s="9">
        <f>IF(A61="","",INT(DAY(A61)/7)+1)</f>
        <v>3</v>
      </c>
      <c r="C61" s="9" t="inlineStr">
        <is>
          <t>TST* 230 FIFTH NEW YORK NY 08/16</t>
        </is>
      </c>
      <c r="D61" s="9" t="inlineStr">
        <is>
          <t>230 Fifth</t>
        </is>
      </c>
      <c r="E61" s="9" t="inlineStr">
        <is>
          <t>Dining</t>
        </is>
      </c>
      <c r="F61" s="9" t="inlineStr">
        <is>
          <t>Restaurant/Bar</t>
        </is>
      </c>
      <c r="G61" s="9" t="inlineStr">
        <is>
          <t>Checking</t>
        </is>
      </c>
      <c r="H61" s="9" t="inlineStr">
        <is>
          <t>Debit Card</t>
        </is>
      </c>
      <c r="I61" s="9" t="inlineStr">
        <is>
          <t>Expense</t>
        </is>
      </c>
      <c r="J61" s="3" t="n">
        <v>9</v>
      </c>
      <c r="K61" s="9" t="inlineStr">
        <is>
          <t>8월 4주차; Chase Secure (...0119); Balance shown: $2,586.90</t>
        </is>
      </c>
    </row>
    <row r="62">
      <c r="A62" s="4" t="n">
        <v>46251</v>
      </c>
      <c r="B62" s="9">
        <f>IF(A62="","",INT(DAY(A62)/7)+1)</f>
        <v>3</v>
      </c>
      <c r="C62" s="9" t="inlineStr">
        <is>
          <t>TST* 230 FIFTH NEW YORK NY 08/16</t>
        </is>
      </c>
      <c r="D62" s="9" t="inlineStr">
        <is>
          <t>230 Fifth</t>
        </is>
      </c>
      <c r="E62" s="9" t="inlineStr">
        <is>
          <t>Dining</t>
        </is>
      </c>
      <c r="F62" s="9" t="inlineStr">
        <is>
          <t>Restaurant/Bar</t>
        </is>
      </c>
      <c r="G62" s="9" t="inlineStr">
        <is>
          <t>Checking</t>
        </is>
      </c>
      <c r="H62" s="9" t="inlineStr">
        <is>
          <t>Debit Card</t>
        </is>
      </c>
      <c r="I62" s="9" t="inlineStr">
        <is>
          <t>Expense</t>
        </is>
      </c>
      <c r="J62" s="3" t="n">
        <v>10</v>
      </c>
      <c r="K62" s="9" t="inlineStr">
        <is>
          <t>8월 4주차; Chase Secure (...0119); Balance shown: $2,595.90</t>
        </is>
      </c>
    </row>
    <row r="63">
      <c r="A63" s="4" t="n">
        <v>46251</v>
      </c>
      <c r="B63" s="9">
        <f>IF(A63="","",INT(DAY(A63)/7)+1)</f>
        <v>3</v>
      </c>
      <c r="C63" s="9" t="inlineStr">
        <is>
          <t>TST* 230 FIFTH NEW YORK NY 08/16</t>
        </is>
      </c>
      <c r="D63" s="9" t="inlineStr">
        <is>
          <t>230 Fifth</t>
        </is>
      </c>
      <c r="E63" s="9" t="inlineStr">
        <is>
          <t>Dining</t>
        </is>
      </c>
      <c r="F63" s="9" t="inlineStr">
        <is>
          <t>Restaurant/Bar</t>
        </is>
      </c>
      <c r="G63" s="9" t="inlineStr">
        <is>
          <t>Checking</t>
        </is>
      </c>
      <c r="H63" s="9" t="inlineStr">
        <is>
          <t>Debit Card</t>
        </is>
      </c>
      <c r="I63" s="9" t="inlineStr">
        <is>
          <t>Expense</t>
        </is>
      </c>
      <c r="J63" s="3" t="n">
        <v>15</v>
      </c>
      <c r="K63" s="9" t="inlineStr">
        <is>
          <t>8월 4주차; Chase Secure (...0119); Balance shown: $2,605.90</t>
        </is>
      </c>
    </row>
    <row r="64">
      <c r="A64" s="4" t="n">
        <v>46251</v>
      </c>
      <c r="B64" s="9">
        <f>IF(A64="","",INT(DAY(A64)/7)+1)</f>
        <v>3</v>
      </c>
      <c r="C64" s="9" t="inlineStr">
        <is>
          <t>150 BROADWAY ELECTRONIC NEW YORK NY 08/15</t>
        </is>
      </c>
      <c r="D64" s="9" t="inlineStr">
        <is>
          <t>150 Broadway Electronic</t>
        </is>
      </c>
      <c r="E64" s="9" t="inlineStr">
        <is>
          <t>Essentials</t>
        </is>
      </c>
      <c r="F64" s="9" t="inlineStr">
        <is>
          <t>Electronics</t>
        </is>
      </c>
      <c r="G64" s="9" t="inlineStr">
        <is>
          <t>Checking</t>
        </is>
      </c>
      <c r="H64" s="9" t="inlineStr">
        <is>
          <t>Debit Card</t>
        </is>
      </c>
      <c r="I64" s="9" t="inlineStr">
        <is>
          <t>Expense</t>
        </is>
      </c>
      <c r="J64" s="3" t="n">
        <v>28.02</v>
      </c>
      <c r="K64" s="9" t="inlineStr">
        <is>
          <t>8월 4주차; Chase Secure (...0119); Balance shown: $2,620.90</t>
        </is>
      </c>
    </row>
    <row r="65">
      <c r="A65" s="4" t="n">
        <v>46251</v>
      </c>
      <c r="B65" s="9">
        <f>IF(A65="","",INT(DAY(A65)/7)+1)</f>
        <v>3</v>
      </c>
      <c r="C65" s="9" t="inlineStr">
        <is>
          <t>MILANO PIZZA &amp; PASTA NEW YORK NY 08/14</t>
        </is>
      </c>
      <c r="D65" s="9" t="inlineStr">
        <is>
          <t>Milano Pizza &amp; Pasta</t>
        </is>
      </c>
      <c r="E65" s="9" t="inlineStr">
        <is>
          <t>Dining</t>
        </is>
      </c>
      <c r="F65" s="9" t="inlineStr">
        <is>
          <t>Restaurant</t>
        </is>
      </c>
      <c r="G65" s="9" t="inlineStr">
        <is>
          <t>Checking</t>
        </is>
      </c>
      <c r="H65" s="9" t="inlineStr">
        <is>
          <t>Debit Card</t>
        </is>
      </c>
      <c r="I65" s="9" t="inlineStr">
        <is>
          <t>Expense</t>
        </is>
      </c>
      <c r="J65" s="3" t="n">
        <v>4.81</v>
      </c>
      <c r="K65" s="9" t="inlineStr">
        <is>
          <t>8월 4주차; Chase Secure (...0119); Balance shown: $2,648.92</t>
        </is>
      </c>
    </row>
    <row r="66">
      <c r="A66" s="4" t="n">
        <v>46252</v>
      </c>
      <c r="B66" s="9">
        <f>IF(A66="","",INT(DAY(A66)/7)+1)</f>
        <v>3</v>
      </c>
      <c r="C66" s="9" t="inlineStr">
        <is>
          <t>TRADER JOE S #57 123 W HARLEM NY 902542 08/18</t>
        </is>
      </c>
      <c r="D66" s="9" t="inlineStr">
        <is>
          <t>Trader Joe's</t>
        </is>
      </c>
      <c r="E66" s="9" t="inlineStr">
        <is>
          <t>Groceries</t>
        </is>
      </c>
      <c r="F66" s="9" t="inlineStr">
        <is>
          <t>Groceries</t>
        </is>
      </c>
      <c r="G66" s="9" t="inlineStr">
        <is>
          <t>Checking</t>
        </is>
      </c>
      <c r="H66" s="9" t="inlineStr">
        <is>
          <t>Debit Card</t>
        </is>
      </c>
      <c r="I66" s="9" t="inlineStr">
        <is>
          <t>Expense</t>
        </is>
      </c>
      <c r="J66" s="3" t="n">
        <v>2.49</v>
      </c>
      <c r="K66" s="9" t="inlineStr">
        <is>
          <t>8월 4주차; Chase Secure (...0119); Balance shown: $2,472.11</t>
        </is>
      </c>
    </row>
    <row r="67">
      <c r="A67" s="4" t="n">
        <v>46252</v>
      </c>
      <c r="B67" s="9">
        <f>IF(A67="","",INT(DAY(A67)/7)+1)</f>
        <v>3</v>
      </c>
      <c r="C67" s="9" t="inlineStr">
        <is>
          <t>T.J. MAXX #1469 NEW YORK NY 007353 08/18</t>
        </is>
      </c>
      <c r="D67" s="9" t="inlineStr">
        <is>
          <t>T.J. Maxx</t>
        </is>
      </c>
      <c r="E67" s="9" t="inlineStr">
        <is>
          <t>Essentials</t>
        </is>
      </c>
      <c r="F67" s="9" t="inlineStr">
        <is>
          <t>Retail</t>
        </is>
      </c>
      <c r="G67" s="9" t="inlineStr">
        <is>
          <t>Checking</t>
        </is>
      </c>
      <c r="H67" s="9" t="inlineStr">
        <is>
          <t>Debit Card</t>
        </is>
      </c>
      <c r="I67" s="9" t="inlineStr">
        <is>
          <t>Expense</t>
        </is>
      </c>
      <c r="J67" s="3" t="n">
        <v>14.13</v>
      </c>
      <c r="K67" s="9" t="inlineStr">
        <is>
          <t>8월 4주차; Chase Secure (...0119); Balance shown: $2,474.60</t>
        </is>
      </c>
    </row>
    <row r="68">
      <c r="A68" s="4" t="n">
        <v>46252</v>
      </c>
      <c r="B68" s="9">
        <f>IF(A68="","",INT(DAY(A68)/7)+1)</f>
        <v>3</v>
      </c>
      <c r="C68" s="9" t="inlineStr">
        <is>
          <t>MTA*NYCT PAYGO NEW YORK NY 08/17</t>
        </is>
      </c>
      <c r="D68" s="9" t="inlineStr">
        <is>
          <t>MTA NYCT Paygo</t>
        </is>
      </c>
      <c r="E68" s="9" t="inlineStr">
        <is>
          <t>Transportation</t>
        </is>
      </c>
      <c r="F68" s="9" t="inlineStr">
        <is>
          <t>Public transit</t>
        </is>
      </c>
      <c r="G68" s="9" t="inlineStr">
        <is>
          <t>Checking</t>
        </is>
      </c>
      <c r="H68" s="9" t="inlineStr">
        <is>
          <t>Debit Card</t>
        </is>
      </c>
      <c r="I68" s="9" t="inlineStr">
        <is>
          <t>Expense</t>
        </is>
      </c>
      <c r="J68" s="3" t="n">
        <v>3</v>
      </c>
      <c r="K68" s="9" t="inlineStr">
        <is>
          <t>8월 4주차; Chase Secure (...0119); Balance shown: $2,488.73</t>
        </is>
      </c>
    </row>
    <row r="69">
      <c r="A69" s="4" t="n">
        <v>46252</v>
      </c>
      <c r="B69" s="9">
        <f>IF(A69="","",INT(DAY(A69)/7)+1)</f>
        <v>3</v>
      </c>
      <c r="C69" s="9" t="inlineStr">
        <is>
          <t>MTA*NYCT PAYGO NEW YORK NY 08/17</t>
        </is>
      </c>
      <c r="D69" s="9" t="inlineStr">
        <is>
          <t>MTA NYCT Paygo</t>
        </is>
      </c>
      <c r="E69" s="9" t="inlineStr">
        <is>
          <t>Transportation</t>
        </is>
      </c>
      <c r="F69" s="9" t="inlineStr">
        <is>
          <t>Public transit</t>
        </is>
      </c>
      <c r="G69" s="9" t="inlineStr">
        <is>
          <t>Checking</t>
        </is>
      </c>
      <c r="H69" s="9" t="inlineStr">
        <is>
          <t>Debit Card</t>
        </is>
      </c>
      <c r="I69" s="9" t="inlineStr">
        <is>
          <t>Expense</t>
        </is>
      </c>
      <c r="J69" s="3" t="n">
        <v>3</v>
      </c>
      <c r="K69" s="9" t="inlineStr">
        <is>
          <t>8월 4주차; Chase Secure (...0119); Balance shown: $2,491.73</t>
        </is>
      </c>
    </row>
    <row r="70">
      <c r="A70" s="4" t="n">
        <v>46253</v>
      </c>
      <c r="B70" s="9">
        <f>IF(A70="","",INT(DAY(A70)/7)+1)</f>
        <v>3</v>
      </c>
      <c r="C70" s="9" t="inlineStr">
        <is>
          <t>MTA*NYCT PAYGO NEW YORK NY 08/18</t>
        </is>
      </c>
      <c r="D70" s="9" t="inlineStr">
        <is>
          <t>MTA NYCT Paygo</t>
        </is>
      </c>
      <c r="E70" s="9" t="inlineStr">
        <is>
          <t>Transportation</t>
        </is>
      </c>
      <c r="F70" s="9" t="inlineStr">
        <is>
          <t>Public transit</t>
        </is>
      </c>
      <c r="G70" s="9" t="inlineStr">
        <is>
          <t>Checking</t>
        </is>
      </c>
      <c r="H70" s="9" t="inlineStr">
        <is>
          <t>Debit Card</t>
        </is>
      </c>
      <c r="I70" s="9" t="inlineStr">
        <is>
          <t>Expense</t>
        </is>
      </c>
      <c r="J70" s="3" t="n">
        <v>3</v>
      </c>
      <c r="K70" s="9" t="inlineStr">
        <is>
          <t>8월 4주차; Chase Secure (...0119); Balance shown: $2,452.61</t>
        </is>
      </c>
    </row>
    <row r="71">
      <c r="A71" s="4" t="n">
        <v>46253</v>
      </c>
      <c r="B71" s="9">
        <f>IF(A71="","",INT(DAY(A71)/7)+1)</f>
        <v>3</v>
      </c>
      <c r="C71" s="9" t="inlineStr">
        <is>
          <t>NEW YORK STATE DMV ALBANY NY 08/18</t>
        </is>
      </c>
      <c r="D71" s="9" t="inlineStr">
        <is>
          <t>New York State DMV</t>
        </is>
      </c>
      <c r="E71" s="9" t="inlineStr">
        <is>
          <t>Essentials</t>
        </is>
      </c>
      <c r="F71" s="9" t="inlineStr">
        <is>
          <t>DMV</t>
        </is>
      </c>
      <c r="G71" s="9" t="inlineStr">
        <is>
          <t>Checking</t>
        </is>
      </c>
      <c r="H71" s="9" t="inlineStr">
        <is>
          <t>Debit Card</t>
        </is>
      </c>
      <c r="I71" s="9" t="inlineStr">
        <is>
          <t>Expense</t>
        </is>
      </c>
      <c r="J71" s="3" t="n">
        <v>13.5</v>
      </c>
      <c r="K71" s="9" t="inlineStr">
        <is>
          <t>8월 4주차; Chase Secure (...0119); Balance shown: $2,455.61</t>
        </is>
      </c>
    </row>
    <row r="72">
      <c r="A72" s="4" t="n">
        <v>46253</v>
      </c>
      <c r="B72" s="9">
        <f>IF(A72="","",INT(DAY(A72)/7)+1)</f>
        <v>3</v>
      </c>
      <c r="C72" s="9" t="inlineStr">
        <is>
          <t>MTA*NYCT PAYGO NEW YORK NY 08/18</t>
        </is>
      </c>
      <c r="D72" s="9" t="inlineStr">
        <is>
          <t>MTA NYCT Paygo</t>
        </is>
      </c>
      <c r="E72" s="9" t="inlineStr">
        <is>
          <t>Transportation</t>
        </is>
      </c>
      <c r="F72" s="9" t="inlineStr">
        <is>
          <t>Public transit</t>
        </is>
      </c>
      <c r="G72" s="9" t="inlineStr">
        <is>
          <t>Checking</t>
        </is>
      </c>
      <c r="H72" s="9" t="inlineStr">
        <is>
          <t>Debit Card</t>
        </is>
      </c>
      <c r="I72" s="9" t="inlineStr">
        <is>
          <t>Expense</t>
        </is>
      </c>
      <c r="J72" s="3" t="n">
        <v>3</v>
      </c>
      <c r="K72" s="9" t="inlineStr">
        <is>
          <t>8월 4주차; Chase Secure (...0119); Balance shown: $2,469.11</t>
        </is>
      </c>
    </row>
    <row r="73">
      <c r="A73" s="4" t="n">
        <v>46235</v>
      </c>
      <c r="B73" s="9">
        <f>IF(A73="","",INT(DAY(A73)/7)+1)</f>
        <v>1</v>
      </c>
      <c r="C73" s="9" t="inlineStr">
        <is>
          <t>Monthly housing cost</t>
        </is>
      </c>
      <c r="D73" s="9" t="inlineStr">
        <is>
          <t>Housing</t>
        </is>
      </c>
      <c r="E73" s="9" t="inlineStr">
        <is>
          <t>Housing</t>
        </is>
      </c>
      <c r="F73" s="9" t="inlineStr">
        <is>
          <t>Rent</t>
        </is>
      </c>
      <c r="G73" s="9" t="inlineStr">
        <is>
          <t>Checking</t>
        </is>
      </c>
      <c r="H73" s="9" t="inlineStr">
        <is>
          <t>Bank Transfer</t>
        </is>
      </c>
      <c r="I73" s="9" t="inlineStr">
        <is>
          <t>Expense</t>
        </is>
      </c>
      <c r="J73" s="3" t="n">
        <v>1100</v>
      </c>
      <c r="K73" s="9" t="inlineStr">
        <is>
          <t>Recurring monthly housing cost through Dec 2026</t>
        </is>
      </c>
    </row>
    <row r="74">
      <c r="A74" s="4" t="n">
        <v>46254</v>
      </c>
      <c r="B74" s="9">
        <f>IF(A74="","",INT(DAY(A74)/7)+1)</f>
        <v>3</v>
      </c>
      <c r="C74" s="9" t="inlineStr">
        <is>
          <t>Cash savings on hand</t>
        </is>
      </c>
      <c r="D74" s="9" t="inlineStr">
        <is>
          <t>Existing Savings</t>
        </is>
      </c>
      <c r="E74" s="9" t="inlineStr">
        <is>
          <t>Existing Savings</t>
        </is>
      </c>
      <c r="F74" s="9" t="inlineStr">
        <is>
          <t>Cash savings</t>
        </is>
      </c>
      <c r="G74" s="9" t="inlineStr">
        <is>
          <t>Cash</t>
        </is>
      </c>
      <c r="H74" s="9" t="inlineStr">
        <is>
          <t>Cash</t>
        </is>
      </c>
      <c r="I74" s="9" t="inlineStr">
        <is>
          <t>Opening Balance</t>
        </is>
      </c>
      <c r="J74" s="3" t="n">
        <v>4100</v>
      </c>
      <c r="K74" s="9" t="inlineStr">
        <is>
          <t>Additional cash savings recorded on 2026-08-20</t>
        </is>
      </c>
    </row>
    <row r="75">
      <c r="A75" s="4" t="n">
        <v>46254</v>
      </c>
      <c r="B75" s="9">
        <f>IF(A75="","",INT(DAY(A75)/7)+1)</f>
        <v>3</v>
      </c>
      <c r="C75" s="9" t="inlineStr">
        <is>
          <t>MTA*NYCT PAYGO NEW YORK NY 08/19</t>
        </is>
      </c>
      <c r="D75" s="9" t="inlineStr">
        <is>
          <t>MTA NYCT Paygo</t>
        </is>
      </c>
      <c r="E75" s="9" t="inlineStr">
        <is>
          <t>Transportation</t>
        </is>
      </c>
      <c r="F75" s="9" t="inlineStr">
        <is>
          <t>Public transit</t>
        </is>
      </c>
      <c r="G75" s="9" t="inlineStr">
        <is>
          <t>Checking</t>
        </is>
      </c>
      <c r="H75" s="9" t="inlineStr">
        <is>
          <t>Debit Card</t>
        </is>
      </c>
      <c r="I75" s="9" t="inlineStr">
        <is>
          <t>Expense</t>
        </is>
      </c>
      <c r="J75" s="3" t="n">
        <v>3</v>
      </c>
      <c r="K75" s="9" t="inlineStr">
        <is>
          <t>8월 4주차; Chase Secure (...0119); Balance shown: $2,449.61</t>
        </is>
      </c>
    </row>
    <row r="76">
      <c r="A76" s="4" t="n">
        <v>46254</v>
      </c>
      <c r="B76" s="9">
        <f>IF(A76="","",INT(DAY(A76)/7)+1)</f>
        <v>3</v>
      </c>
      <c r="C76" s="9" t="inlineStr">
        <is>
          <t>TST* AYZA WINE &amp; CHOCOL NEW YORK NY 08/20</t>
        </is>
      </c>
      <c r="D76" s="9" t="inlineStr">
        <is>
          <t>Ayza Wine &amp; Chocolate</t>
        </is>
      </c>
      <c r="E76" s="9" t="inlineStr">
        <is>
          <t>Dining</t>
        </is>
      </c>
      <c r="F76" s="9" t="inlineStr">
        <is>
          <t>Restaurant/Bar</t>
        </is>
      </c>
      <c r="G76" s="9" t="inlineStr">
        <is>
          <t>Checking</t>
        </is>
      </c>
      <c r="H76" s="9" t="inlineStr">
        <is>
          <t>Debit Card</t>
        </is>
      </c>
      <c r="I76" s="9" t="inlineStr">
        <is>
          <t>Expense</t>
        </is>
      </c>
      <c r="J76" s="3" t="n">
        <v>97.95</v>
      </c>
      <c r="K76" s="9" t="inlineStr">
        <is>
          <t>8월 4주차; Chase Secure (...0119); Balance shown: $2,351.66</t>
        </is>
      </c>
    </row>
    <row r="77">
      <c r="A77" s="4" t="n">
        <v>46255</v>
      </c>
      <c r="B77" s="9">
        <f>IF(A77="","",INT(DAY(A77)/7)+1)</f>
        <v>4</v>
      </c>
      <c r="C77" s="9" t="inlineStr">
        <is>
          <t>MTA*NYCT PAYGO NEW YORK NY 08/20</t>
        </is>
      </c>
      <c r="D77" s="9" t="inlineStr">
        <is>
          <t>MTA NYCT Paygo</t>
        </is>
      </c>
      <c r="E77" s="9" t="inlineStr">
        <is>
          <t>Transportation</t>
        </is>
      </c>
      <c r="F77" s="9" t="inlineStr">
        <is>
          <t>Public transit</t>
        </is>
      </c>
      <c r="G77" s="9" t="inlineStr">
        <is>
          <t>Checking</t>
        </is>
      </c>
      <c r="H77" s="9" t="inlineStr">
        <is>
          <t>Debit Card</t>
        </is>
      </c>
      <c r="I77" s="9" t="inlineStr">
        <is>
          <t>Expense</t>
        </is>
      </c>
      <c r="J77" s="3" t="n">
        <v>3</v>
      </c>
      <c r="K77" s="9" t="inlineStr">
        <is>
          <t>8월 4주차; Chase Secure (...0119); Balance shown: $2,348.66</t>
        </is>
      </c>
    </row>
    <row r="78">
      <c r="A78" s="4" t="n">
        <v>46258</v>
      </c>
      <c r="B78" s="9">
        <f>IF(A78="","",INT(DAY(A78)/7)+1)</f>
        <v>4</v>
      </c>
      <c r="C78" s="9" t="inlineStr">
        <is>
          <t>ATM CASH DEPOSIT 08/22 3359 BROADWAY NEW YORK NY (...0119)</t>
        </is>
      </c>
      <c r="D78" s="9" t="inlineStr">
        <is>
          <t>Existing Savings</t>
        </is>
      </c>
      <c r="E78" s="9" t="inlineStr">
        <is>
          <t>Existing Savings</t>
        </is>
      </c>
      <c r="F78" s="9" t="inlineStr">
        <is>
          <t>Cash savings transfer to checking</t>
        </is>
      </c>
      <c r="G78" s="9" t="inlineStr">
        <is>
          <t>Checking</t>
        </is>
      </c>
      <c r="H78" s="9" t="inlineStr">
        <is>
          <t>ATM transaction</t>
        </is>
      </c>
      <c r="I78" s="9" t="inlineStr">
        <is>
          <t>Transfer</t>
        </is>
      </c>
      <c r="J78" s="3" t="n">
        <v>1000</v>
      </c>
      <c r="K78" s="9" t="inlineStr">
        <is>
          <t>8월 5주차; Chase Secure (...0119); Balance shown: $3,348.66; Cash savings deposited to checking</t>
        </is>
      </c>
    </row>
    <row r="79">
      <c r="A79" s="4" t="n">
        <v>46258</v>
      </c>
      <c r="B79" s="9">
        <f>IF(A79="","",INT(DAY(A79)/7)+1)</f>
        <v>4</v>
      </c>
      <c r="C79" s="9" t="inlineStr">
        <is>
          <t>ATM CASH DEPOSIT 08/22 3359 BROADWAY NEW YORK NY (...0119)</t>
        </is>
      </c>
      <c r="D79" s="9" t="inlineStr">
        <is>
          <t>Existing Savings</t>
        </is>
      </c>
      <c r="E79" s="9" t="inlineStr">
        <is>
          <t>Existing Savings</t>
        </is>
      </c>
      <c r="F79" s="9" t="inlineStr">
        <is>
          <t>Cash savings transfer to checking</t>
        </is>
      </c>
      <c r="G79" s="9" t="inlineStr">
        <is>
          <t>Checking</t>
        </is>
      </c>
      <c r="H79" s="9" t="inlineStr">
        <is>
          <t>ATM transaction</t>
        </is>
      </c>
      <c r="I79" s="9" t="inlineStr">
        <is>
          <t>Transfer</t>
        </is>
      </c>
      <c r="J79" s="3" t="n">
        <v>700</v>
      </c>
      <c r="K79" s="9" t="inlineStr">
        <is>
          <t>8월 5주차; Chase Secure (...0119); Balance shown: $4,048.66; Cash savings deposited to checking</t>
        </is>
      </c>
    </row>
    <row r="80">
      <c r="A80" s="4" t="n">
        <v>46258</v>
      </c>
      <c r="B80" s="9">
        <f>IF(A80="","",INT(DAY(A80)/7)+1)</f>
        <v>4</v>
      </c>
      <c r="C80" s="9" t="inlineStr">
        <is>
          <t>MTA*NYCT PAYGO NEW YORK NY 08/21 (...0119)</t>
        </is>
      </c>
      <c r="D80" s="9" t="inlineStr">
        <is>
          <t>MTA NYCT Paygo</t>
        </is>
      </c>
      <c r="E80" s="9" t="inlineStr">
        <is>
          <t>Transportation</t>
        </is>
      </c>
      <c r="F80" s="9" t="inlineStr">
        <is>
          <t>Public transit</t>
        </is>
      </c>
      <c r="G80" s="9" t="inlineStr">
        <is>
          <t>Checking</t>
        </is>
      </c>
      <c r="H80" s="9" t="inlineStr">
        <is>
          <t>Debit Card</t>
        </is>
      </c>
      <c r="I80" s="9" t="inlineStr">
        <is>
          <t>Expense</t>
        </is>
      </c>
      <c r="J80" s="3" t="n">
        <v>3</v>
      </c>
      <c r="K80" s="9" t="inlineStr">
        <is>
          <t>8월 5주차; Chase Secure (...0119); Balance shown: $4,045.66</t>
        </is>
      </c>
    </row>
    <row r="81">
      <c r="A81" s="4" t="n">
        <v>46258</v>
      </c>
      <c r="B81" s="9">
        <f>IF(A81="","",INT(DAY(A81)/7)+1)</f>
        <v>4</v>
      </c>
      <c r="C81" s="9" t="inlineStr">
        <is>
          <t>MTA*NYCT PAYGO NEW YORK NY 08/21 (...0119)</t>
        </is>
      </c>
      <c r="D81" s="9" t="inlineStr">
        <is>
          <t>MTA NYCT Paygo</t>
        </is>
      </c>
      <c r="E81" s="9" t="inlineStr">
        <is>
          <t>Transportation</t>
        </is>
      </c>
      <c r="F81" s="9" t="inlineStr">
        <is>
          <t>Public transit</t>
        </is>
      </c>
      <c r="G81" s="9" t="inlineStr">
        <is>
          <t>Checking</t>
        </is>
      </c>
      <c r="H81" s="9" t="inlineStr">
        <is>
          <t>Debit Card</t>
        </is>
      </c>
      <c r="I81" s="9" t="inlineStr">
        <is>
          <t>Expense</t>
        </is>
      </c>
      <c r="J81" s="3" t="n">
        <v>3</v>
      </c>
      <c r="K81" s="9" t="inlineStr">
        <is>
          <t>8월 5주차; Chase Secure (...0119); Balance shown: $4,042.66</t>
        </is>
      </c>
    </row>
    <row r="82">
      <c r="A82" s="4" t="n">
        <v>46258</v>
      </c>
      <c r="B82" s="9">
        <f>IF(A82="","",INT(DAY(A82)/7)+1)</f>
        <v>4</v>
      </c>
      <c r="C82" s="9" t="inlineStr">
        <is>
          <t>MTA*NYCT PAYGO NEW YORK NY 08/21 (...0119)</t>
        </is>
      </c>
      <c r="D82" s="9" t="inlineStr">
        <is>
          <t>MTA NYCT Paygo</t>
        </is>
      </c>
      <c r="E82" s="9" t="inlineStr">
        <is>
          <t>Transportation</t>
        </is>
      </c>
      <c r="F82" s="9" t="inlineStr">
        <is>
          <t>Public transit</t>
        </is>
      </c>
      <c r="G82" s="9" t="inlineStr">
        <is>
          <t>Checking</t>
        </is>
      </c>
      <c r="H82" s="9" t="inlineStr">
        <is>
          <t>Debit Card</t>
        </is>
      </c>
      <c r="I82" s="9" t="inlineStr">
        <is>
          <t>Expense</t>
        </is>
      </c>
      <c r="J82" s="3" t="n">
        <v>3</v>
      </c>
      <c r="K82" s="9" t="inlineStr">
        <is>
          <t>8월 5주차; Chase Secure (...0119); Balance shown: $4,039.66</t>
        </is>
      </c>
    </row>
    <row r="83">
      <c r="A83" s="4" t="n">
        <v>46258</v>
      </c>
      <c r="B83" s="9">
        <f>IF(A83="","",INT(DAY(A83)/7)+1)</f>
        <v>4</v>
      </c>
      <c r="C83" s="9" t="inlineStr">
        <is>
          <t>TST*BANGIA New York NY 08/21 (...0119)</t>
        </is>
      </c>
      <c r="D83" s="9" t="inlineStr">
        <is>
          <t>Bangia</t>
        </is>
      </c>
      <c r="E83" s="9" t="inlineStr">
        <is>
          <t>Dining</t>
        </is>
      </c>
      <c r="F83" s="9" t="inlineStr">
        <is>
          <t>Restaurant</t>
        </is>
      </c>
      <c r="G83" s="9" t="inlineStr">
        <is>
          <t>Checking</t>
        </is>
      </c>
      <c r="H83" s="9" t="inlineStr">
        <is>
          <t>Debit Card</t>
        </is>
      </c>
      <c r="I83" s="9" t="inlineStr">
        <is>
          <t>Expense</t>
        </is>
      </c>
      <c r="J83" s="3" t="n">
        <v>95.15</v>
      </c>
      <c r="K83" s="9" t="inlineStr">
        <is>
          <t>8월 5주차; Chase Secure (...0119); Balance shown: $3,944.51</t>
        </is>
      </c>
    </row>
    <row r="84">
      <c r="A84" s="4" t="n">
        <v>46258</v>
      </c>
      <c r="B84" s="9">
        <f>IF(A84="","",INT(DAY(A84)/7)+1)</f>
        <v>4</v>
      </c>
      <c r="C84" s="9" t="inlineStr">
        <is>
          <t>MTA*NYCT PAYGO NEW YORK NY 08/22 (...0119)</t>
        </is>
      </c>
      <c r="D84" s="9" t="inlineStr">
        <is>
          <t>MTA NYCT Paygo</t>
        </is>
      </c>
      <c r="E84" s="9" t="inlineStr">
        <is>
          <t>Transportation</t>
        </is>
      </c>
      <c r="F84" s="9" t="inlineStr">
        <is>
          <t>Public transit</t>
        </is>
      </c>
      <c r="G84" s="9" t="inlineStr">
        <is>
          <t>Checking</t>
        </is>
      </c>
      <c r="H84" s="9" t="inlineStr">
        <is>
          <t>Debit Card</t>
        </is>
      </c>
      <c r="I84" s="9" t="inlineStr">
        <is>
          <t>Expense</t>
        </is>
      </c>
      <c r="J84" s="3" t="n">
        <v>3</v>
      </c>
      <c r="K84" s="9" t="inlineStr">
        <is>
          <t>8월 5주차; Chase Secure (...0119); Balance shown: $3,941.51</t>
        </is>
      </c>
    </row>
    <row r="85">
      <c r="A85" s="4" t="n">
        <v>46258</v>
      </c>
      <c r="B85" s="9">
        <f>IF(A85="","",INT(DAY(A85)/7)+1)</f>
        <v>4</v>
      </c>
      <c r="C85" s="9" t="inlineStr">
        <is>
          <t>MTA*NYCT PAYGO NEW YORK NY 08/22 (...0119)</t>
        </is>
      </c>
      <c r="D85" s="9" t="inlineStr">
        <is>
          <t>MTA NYCT Paygo</t>
        </is>
      </c>
      <c r="E85" s="9" t="inlineStr">
        <is>
          <t>Transportation</t>
        </is>
      </c>
      <c r="F85" s="9" t="inlineStr">
        <is>
          <t>Public transit</t>
        </is>
      </c>
      <c r="G85" s="9" t="inlineStr">
        <is>
          <t>Checking</t>
        </is>
      </c>
      <c r="H85" s="9" t="inlineStr">
        <is>
          <t>Debit Card</t>
        </is>
      </c>
      <c r="I85" s="9" t="inlineStr">
        <is>
          <t>Expense</t>
        </is>
      </c>
      <c r="J85" s="3" t="n">
        <v>3</v>
      </c>
      <c r="K85" s="9" t="inlineStr">
        <is>
          <t>8월 5주차; Chase Secure (...0119); Balance shown: $3,938.51</t>
        </is>
      </c>
    </row>
    <row r="86">
      <c r="A86" s="4" t="n">
        <v>46258</v>
      </c>
      <c r="B86" s="9">
        <f>IF(A86="","",INT(DAY(A86)/7)+1)</f>
        <v>4</v>
      </c>
      <c r="C86" s="9" t="inlineStr">
        <is>
          <t>TRADER JOE S #57 123 W HARLEM NY 383850 08/22 (...0119)</t>
        </is>
      </c>
      <c r="D86" s="9" t="inlineStr">
        <is>
          <t>Trader Joe's</t>
        </is>
      </c>
      <c r="E86" s="9" t="inlineStr">
        <is>
          <t>Groceries</t>
        </is>
      </c>
      <c r="F86" s="9" t="inlineStr">
        <is>
          <t>Groceries</t>
        </is>
      </c>
      <c r="G86" s="9" t="inlineStr">
        <is>
          <t>Checking</t>
        </is>
      </c>
      <c r="H86" s="9" t="inlineStr">
        <is>
          <t>Debit Card</t>
        </is>
      </c>
      <c r="I86" s="9" t="inlineStr">
        <is>
          <t>Expense</t>
        </is>
      </c>
      <c r="J86" s="3" t="n">
        <v>87.99</v>
      </c>
      <c r="K86" s="9" t="inlineStr">
        <is>
          <t>8월 5주차; Chase Secure (...0119); Balance shown: $3,850.52</t>
        </is>
      </c>
    </row>
    <row r="87">
      <c r="A87" s="4" t="n">
        <v>46258</v>
      </c>
      <c r="B87" s="9">
        <f>IF(A87="","",INT(DAY(A87)/7)+1)</f>
        <v>4</v>
      </c>
      <c r="C87" s="9" t="inlineStr">
        <is>
          <t>WHOLEFDS HRM#105 100 W NEW YORK NY 941030 08/22 (...0119)</t>
        </is>
      </c>
      <c r="D87" s="9" t="inlineStr">
        <is>
          <t>Whole Foods</t>
        </is>
      </c>
      <c r="E87" s="9" t="inlineStr">
        <is>
          <t>Groceries</t>
        </is>
      </c>
      <c r="F87" s="9" t="inlineStr">
        <is>
          <t>Groceries</t>
        </is>
      </c>
      <c r="G87" s="9" t="inlineStr">
        <is>
          <t>Checking</t>
        </is>
      </c>
      <c r="H87" s="9" t="inlineStr">
        <is>
          <t>Debit Card</t>
        </is>
      </c>
      <c r="I87" s="9" t="inlineStr">
        <is>
          <t>Expense</t>
        </is>
      </c>
      <c r="J87" s="3" t="n">
        <v>14.19</v>
      </c>
      <c r="K87" s="9" t="inlineStr">
        <is>
          <t>8월 5주차; Chase Secure (...0119); Balance shown: $3,836.33</t>
        </is>
      </c>
    </row>
    <row r="88">
      <c r="A88" s="4" t="n">
        <v>46258</v>
      </c>
      <c r="B88" s="9">
        <f>IF(A88="","",INT(DAY(A88)/7)+1)</f>
        <v>4</v>
      </c>
      <c r="C88" s="9" t="inlineStr">
        <is>
          <t>MTA*NYCT PAYGO NEW YORK NY 08/22 (...0119)</t>
        </is>
      </c>
      <c r="D88" s="9" t="inlineStr">
        <is>
          <t>MTA NYCT Paygo</t>
        </is>
      </c>
      <c r="E88" s="9" t="inlineStr">
        <is>
          <t>Transportation</t>
        </is>
      </c>
      <c r="F88" s="9" t="inlineStr">
        <is>
          <t>Public transit</t>
        </is>
      </c>
      <c r="G88" s="9" t="inlineStr">
        <is>
          <t>Checking</t>
        </is>
      </c>
      <c r="H88" s="9" t="inlineStr">
        <is>
          <t>Debit Card</t>
        </is>
      </c>
      <c r="I88" s="9" t="inlineStr">
        <is>
          <t>Expense</t>
        </is>
      </c>
      <c r="J88" s="3" t="n">
        <v>2</v>
      </c>
      <c r="K88" s="9" t="inlineStr">
        <is>
          <t>8월 5주차; Chase Secure (...0119); Balance shown: $3,834.33</t>
        </is>
      </c>
    </row>
    <row r="89">
      <c r="A89" s="4" t="n">
        <v>46258</v>
      </c>
      <c r="B89" s="9">
        <f>IF(A89="","",INT(DAY(A89)/7)+1)</f>
        <v>4</v>
      </c>
      <c r="C89" s="9" t="inlineStr">
        <is>
          <t>LEGENDS@YANKEE STDM-CO BRONX NY 08/23 (...0119)</t>
        </is>
      </c>
      <c r="D89" s="9" t="inlineStr">
        <is>
          <t>Legends at Yankee Stadium</t>
        </is>
      </c>
      <c r="E89" s="9" t="inlineStr">
        <is>
          <t>Entertainment</t>
        </is>
      </c>
      <c r="F89" s="9" t="inlineStr">
        <is>
          <t>Stadium concessions</t>
        </is>
      </c>
      <c r="G89" s="9" t="inlineStr">
        <is>
          <t>Checking</t>
        </is>
      </c>
      <c r="H89" s="9" t="inlineStr">
        <is>
          <t>Debit Card</t>
        </is>
      </c>
      <c r="I89" s="9" t="inlineStr">
        <is>
          <t>Expense</t>
        </is>
      </c>
      <c r="J89" s="3" t="n">
        <v>6.74</v>
      </c>
      <c r="K89" s="9" t="inlineStr">
        <is>
          <t>8월 5주차; Chase Secure (...0119); Balance shown: $3,827.59</t>
        </is>
      </c>
    </row>
    <row r="90">
      <c r="A90" s="4" t="n">
        <v>46258</v>
      </c>
      <c r="B90" s="9">
        <f>IF(A90="","",INT(DAY(A90)/7)+1)</f>
        <v>4</v>
      </c>
      <c r="C90" s="9" t="inlineStr">
        <is>
          <t>LEGENDS@YANKEE STDM-CO BRONX NY 08/23 (...0119)</t>
        </is>
      </c>
      <c r="D90" s="9" t="inlineStr">
        <is>
          <t>Legends at Yankee Stadium</t>
        </is>
      </c>
      <c r="E90" s="9" t="inlineStr">
        <is>
          <t>Entertainment</t>
        </is>
      </c>
      <c r="F90" s="9" t="inlineStr">
        <is>
          <t>Stadium concessions</t>
        </is>
      </c>
      <c r="G90" s="9" t="inlineStr">
        <is>
          <t>Checking</t>
        </is>
      </c>
      <c r="H90" s="9" t="inlineStr">
        <is>
          <t>Debit Card</t>
        </is>
      </c>
      <c r="I90" s="9" t="inlineStr">
        <is>
          <t>Expense</t>
        </is>
      </c>
      <c r="J90" s="3" t="n">
        <v>9.79</v>
      </c>
      <c r="K90" s="9" t="inlineStr">
        <is>
          <t>8월 5주차; Chase Secure (...0119); Balance shown: $3,817.80</t>
        </is>
      </c>
    </row>
    <row r="91">
      <c r="A91" s="4" t="n">
        <v>46258</v>
      </c>
      <c r="B91" s="9">
        <f>IF(A91="","",INT(DAY(A91)/7)+1)</f>
        <v>4</v>
      </c>
      <c r="C91" s="9" t="inlineStr">
        <is>
          <t>LEGENDS@YANKEE STDM-VE BRONX NY 08/23 (...0119)</t>
        </is>
      </c>
      <c r="D91" s="9" t="inlineStr">
        <is>
          <t>Legends at Yankee Stadium</t>
        </is>
      </c>
      <c r="E91" s="9" t="inlineStr">
        <is>
          <t>Entertainment</t>
        </is>
      </c>
      <c r="F91" s="9" t="inlineStr">
        <is>
          <t>Stadium concessions</t>
        </is>
      </c>
      <c r="G91" s="9" t="inlineStr">
        <is>
          <t>Checking</t>
        </is>
      </c>
      <c r="H91" s="9" t="inlineStr">
        <is>
          <t>Debit Card</t>
        </is>
      </c>
      <c r="I91" s="9" t="inlineStr">
        <is>
          <t>Expense</t>
        </is>
      </c>
      <c r="J91" s="3" t="n">
        <v>19.04</v>
      </c>
      <c r="K91" s="9" t="inlineStr">
        <is>
          <t>8월 5주차; Chase Secure (...0119); Balance shown: $3,798.76</t>
        </is>
      </c>
    </row>
    <row r="92">
      <c r="A92" s="4" t="n">
        <v>46258</v>
      </c>
      <c r="B92" s="9">
        <f>IF(A92="","",INT(DAY(A92)/7)+1)</f>
        <v>4</v>
      </c>
      <c r="C92" s="9" t="inlineStr">
        <is>
          <t>Zelle payment to Fall party RSVP 30540408996</t>
        </is>
      </c>
      <c r="D92" s="9" t="inlineStr">
        <is>
          <t>Fall party RSVP</t>
        </is>
      </c>
      <c r="E92" s="9" t="inlineStr">
        <is>
          <t>Entertainment</t>
        </is>
      </c>
      <c r="F92" s="9" t="inlineStr">
        <is>
          <t>Party RSVP</t>
        </is>
      </c>
      <c r="G92" s="9" t="inlineStr">
        <is>
          <t>Checking</t>
        </is>
      </c>
      <c r="H92" s="9" t="inlineStr">
        <is>
          <t>Zelle debit</t>
        </is>
      </c>
      <c r="I92" s="9" t="inlineStr">
        <is>
          <t>Expense</t>
        </is>
      </c>
      <c r="J92" s="3" t="n">
        <v>30</v>
      </c>
      <c r="K92" s="9" t="inlineStr">
        <is>
          <t>8월 5주차; Chase Secure (...0119); Balance shown: $3,768.76</t>
        </is>
      </c>
    </row>
    <row r="93">
      <c r="A93" s="4" t="n">
        <v>46259</v>
      </c>
      <c r="B93" s="9">
        <f>IF(A93="","",INT(DAY(A93)/7)+1)</f>
        <v>4</v>
      </c>
      <c r="C93" s="9" t="inlineStr">
        <is>
          <t>LEGENDS@YANKEE STDM-CO BRONX NY 08/23 (...0119)</t>
        </is>
      </c>
      <c r="D93" s="9" t="inlineStr">
        <is>
          <t>Legends at Yankee Stadium</t>
        </is>
      </c>
      <c r="E93" s="9" t="inlineStr">
        <is>
          <t>Entertainment</t>
        </is>
      </c>
      <c r="F93" s="9" t="inlineStr">
        <is>
          <t>Stadium concessions</t>
        </is>
      </c>
      <c r="G93" s="9" t="inlineStr">
        <is>
          <t>Checking</t>
        </is>
      </c>
      <c r="H93" s="9" t="inlineStr">
        <is>
          <t>Debit Card</t>
        </is>
      </c>
      <c r="I93" s="9" t="inlineStr">
        <is>
          <t>Expense</t>
        </is>
      </c>
      <c r="J93" s="3" t="n">
        <v>27.21</v>
      </c>
      <c r="K93" s="9" t="inlineStr">
        <is>
          <t>8월 5주차; Chase Secure (...0119); Balance shown: $3,741.55</t>
        </is>
      </c>
    </row>
    <row r="94">
      <c r="A94" s="4" t="n">
        <v>46259</v>
      </c>
      <c r="B94" s="9">
        <f>IF(A94="","",INT(DAY(A94)/7)+1)</f>
        <v>4</v>
      </c>
      <c r="C94" s="9" t="inlineStr">
        <is>
          <t>LEGENDS@YANKEE STDM-CO BRONX NY 08/23 (...0119)</t>
        </is>
      </c>
      <c r="D94" s="9" t="inlineStr">
        <is>
          <t>Legends at Yankee Stadium</t>
        </is>
      </c>
      <c r="E94" s="9" t="inlineStr">
        <is>
          <t>Entertainment</t>
        </is>
      </c>
      <c r="F94" s="9" t="inlineStr">
        <is>
          <t>Stadium concessions</t>
        </is>
      </c>
      <c r="G94" s="9" t="inlineStr">
        <is>
          <t>Checking</t>
        </is>
      </c>
      <c r="H94" s="9" t="inlineStr">
        <is>
          <t>Debit Card</t>
        </is>
      </c>
      <c r="I94" s="9" t="inlineStr">
        <is>
          <t>Expense</t>
        </is>
      </c>
      <c r="J94" s="3" t="n">
        <v>9.24</v>
      </c>
      <c r="K94" s="9" t="inlineStr">
        <is>
          <t>8월 5주차; Chase Secure (...0119); Balance shown: $3,732.31</t>
        </is>
      </c>
    </row>
    <row r="95">
      <c r="A95" s="4" t="n">
        <v>46259</v>
      </c>
      <c r="B95" s="9">
        <f>IF(A95="","",INT(DAY(A95)/7)+1)</f>
        <v>4</v>
      </c>
      <c r="C95" s="9" t="inlineStr">
        <is>
          <t>MTA*NYCT PAYGO NEW YORK NY 08/24 (...0119)</t>
        </is>
      </c>
      <c r="D95" s="9" t="inlineStr">
        <is>
          <t>MTA NYCT Paygo</t>
        </is>
      </c>
      <c r="E95" s="9" t="inlineStr">
        <is>
          <t>Transportation</t>
        </is>
      </c>
      <c r="F95" s="9" t="inlineStr">
        <is>
          <t>Public transit</t>
        </is>
      </c>
      <c r="G95" s="9" t="inlineStr">
        <is>
          <t>Checking</t>
        </is>
      </c>
      <c r="H95" s="9" t="inlineStr">
        <is>
          <t>Debit Card</t>
        </is>
      </c>
      <c r="I95" s="9" t="inlineStr">
        <is>
          <t>Expense</t>
        </is>
      </c>
      <c r="J95" s="3" t="n">
        <v>3</v>
      </c>
      <c r="K95" s="9" t="inlineStr">
        <is>
          <t>8월 5주차; Chase Secure (...0119); Balance shown: $3,729.31</t>
        </is>
      </c>
    </row>
    <row r="96">
      <c r="A96" s="4" t="n">
        <v>46259</v>
      </c>
      <c r="B96" s="9">
        <f>IF(A96="","",INT(DAY(A96)/7)+1)</f>
        <v>4</v>
      </c>
      <c r="C96" s="9" t="inlineStr">
        <is>
          <t>MTA*NYCT PAYGO NEW YORK NY 08/24 (...0119)</t>
        </is>
      </c>
      <c r="D96" s="9" t="inlineStr">
        <is>
          <t>MTA NYCT Paygo</t>
        </is>
      </c>
      <c r="E96" s="9" t="inlineStr">
        <is>
          <t>Transportation</t>
        </is>
      </c>
      <c r="F96" s="9" t="inlineStr">
        <is>
          <t>Public transit</t>
        </is>
      </c>
      <c r="G96" s="9" t="inlineStr">
        <is>
          <t>Checking</t>
        </is>
      </c>
      <c r="H96" s="9" t="inlineStr">
        <is>
          <t>Debit Card</t>
        </is>
      </c>
      <c r="I96" s="9" t="inlineStr">
        <is>
          <t>Expense</t>
        </is>
      </c>
      <c r="J96" s="3" t="n">
        <v>3</v>
      </c>
      <c r="K96" s="9" t="inlineStr">
        <is>
          <t>8월 5주차; Chase Secure (...0119); Balance shown: $3,726.31</t>
        </is>
      </c>
    </row>
    <row r="97">
      <c r="A97" s="4" t="n">
        <v>46259</v>
      </c>
      <c r="B97" s="9">
        <f>IF(A97="","",INT(DAY(A97)/7)+1)</f>
        <v>4</v>
      </c>
      <c r="C97" s="9" t="inlineStr">
        <is>
          <t>Zelle payment to Jeongeun Kim JPM99cu910xg</t>
        </is>
      </c>
      <c r="D97" s="9" t="inlineStr">
        <is>
          <t>Jeongeun Kim</t>
        </is>
      </c>
      <c r="E97" s="9" t="inlineStr">
        <is>
          <t>Shipping</t>
        </is>
      </c>
      <c r="F97" s="9" t="inlineStr">
        <is>
          <t>Parcel delivery</t>
        </is>
      </c>
      <c r="G97" s="9" t="inlineStr">
        <is>
          <t>Checking</t>
        </is>
      </c>
      <c r="H97" s="9" t="inlineStr">
        <is>
          <t>Zelle debit</t>
        </is>
      </c>
      <c r="I97" s="9" t="inlineStr">
        <is>
          <t>Expense</t>
        </is>
      </c>
      <c r="J97" s="3" t="n">
        <v>165.75</v>
      </c>
      <c r="K97" s="9" t="inlineStr">
        <is>
          <t>8월 5주차; Chase Secure (...0119); Balance shown: $3,560.56; 택배비</t>
        </is>
      </c>
    </row>
    <row r="98">
      <c r="A98" s="4" t="n">
        <v>46261</v>
      </c>
      <c r="B98" s="9">
        <f>IF(A98="","",INT(DAY(A98)/7)+1)</f>
        <v>4</v>
      </c>
      <c r="C98" s="9" t="inlineStr">
        <is>
          <t>MTA*NYCT PAYGO NEW YORK NY 08/25 (...0119)</t>
        </is>
      </c>
      <c r="D98" s="9" t="inlineStr">
        <is>
          <t>MTA NYCT Paygo</t>
        </is>
      </c>
      <c r="E98" s="9" t="inlineStr">
        <is>
          <t>Transportation</t>
        </is>
      </c>
      <c r="F98" s="9" t="inlineStr">
        <is>
          <t>Public transit</t>
        </is>
      </c>
      <c r="G98" s="9" t="inlineStr">
        <is>
          <t>Checking</t>
        </is>
      </c>
      <c r="H98" s="9" t="inlineStr">
        <is>
          <t>Debit Card</t>
        </is>
      </c>
      <c r="I98" s="9" t="inlineStr">
        <is>
          <t>Expense</t>
        </is>
      </c>
      <c r="J98" s="3" t="n">
        <v>3</v>
      </c>
      <c r="K98" s="9" t="inlineStr">
        <is>
          <t>8월 5주차; Chase Secure (...0119); Balance shown: $3,557.56</t>
        </is>
      </c>
    </row>
    <row r="99">
      <c r="A99" s="4" t="n">
        <v>46261</v>
      </c>
      <c r="B99" s="9">
        <f>IF(A99="","",INT(DAY(A99)/7)+1)</f>
        <v>4</v>
      </c>
      <c r="C99" s="9" t="inlineStr">
        <is>
          <t>MTA*NYCT PAYGO NEW YORK NY 08/25 (...0119)</t>
        </is>
      </c>
      <c r="D99" s="9" t="inlineStr">
        <is>
          <t>MTA NYCT Paygo</t>
        </is>
      </c>
      <c r="E99" s="9" t="inlineStr">
        <is>
          <t>Transportation</t>
        </is>
      </c>
      <c r="F99" s="9" t="inlineStr">
        <is>
          <t>Public transit</t>
        </is>
      </c>
      <c r="G99" s="9" t="inlineStr">
        <is>
          <t>Checking</t>
        </is>
      </c>
      <c r="H99" s="9" t="inlineStr">
        <is>
          <t>Debit Card</t>
        </is>
      </c>
      <c r="I99" s="9" t="inlineStr">
        <is>
          <t>Expense</t>
        </is>
      </c>
      <c r="J99" s="3" t="n">
        <v>3</v>
      </c>
      <c r="K99" s="9" t="inlineStr">
        <is>
          <t>8월 5주차; Chase Secure (...0119); Balance shown: $3,554.56</t>
        </is>
      </c>
    </row>
    <row r="100">
      <c r="A100" s="4" t="n">
        <v>46261</v>
      </c>
      <c r="B100" s="9">
        <f>IF(A100="","",INT(DAY(A100)/7)+1)</f>
        <v>4</v>
      </c>
      <c r="C100" s="9" t="inlineStr">
        <is>
          <t>H MART NEW YORK NY 08/25 (...0119)</t>
        </is>
      </c>
      <c r="D100" s="9" t="inlineStr">
        <is>
          <t>H Mart</t>
        </is>
      </c>
      <c r="E100" s="9" t="inlineStr">
        <is>
          <t>Groceries</t>
        </is>
      </c>
      <c r="F100" s="9" t="inlineStr">
        <is>
          <t>Groceries</t>
        </is>
      </c>
      <c r="G100" s="9" t="inlineStr">
        <is>
          <t>Checking</t>
        </is>
      </c>
      <c r="H100" s="9" t="inlineStr">
        <is>
          <t>Debit Card</t>
        </is>
      </c>
      <c r="I100" s="9" t="inlineStr">
        <is>
          <t>Expense</t>
        </is>
      </c>
      <c r="J100" s="3" t="n">
        <v>49.07</v>
      </c>
      <c r="K100" s="9" t="inlineStr">
        <is>
          <t>8월 5주차; Chase Secure (...0119); Balance shown: $3,505.49</t>
        </is>
      </c>
    </row>
    <row r="101">
      <c r="A101" s="4" t="n">
        <v>46262</v>
      </c>
      <c r="B101" s="9">
        <f>IF(A101="","",INT(DAY(A101)/7)+1)</f>
        <v>5</v>
      </c>
      <c r="C101" s="9" t="inlineStr">
        <is>
          <t>TRADER JOE S #54 445 G NEW YORK NY 905886 08/28 (...0119)</t>
        </is>
      </c>
      <c r="D101" s="9" t="inlineStr">
        <is>
          <t>Trader Joe's</t>
        </is>
      </c>
      <c r="E101" s="9" t="inlineStr">
        <is>
          <t>Groceries</t>
        </is>
      </c>
      <c r="F101" s="9" t="inlineStr">
        <is>
          <t>Groceries</t>
        </is>
      </c>
      <c r="G101" s="9" t="inlineStr">
        <is>
          <t>Checking</t>
        </is>
      </c>
      <c r="H101" s="9" t="inlineStr">
        <is>
          <t>Debit Card</t>
        </is>
      </c>
      <c r="I101" s="9" t="inlineStr">
        <is>
          <t>Expense</t>
        </is>
      </c>
      <c r="J101" s="3" t="n">
        <v>13</v>
      </c>
      <c r="K101" s="9" t="inlineStr">
        <is>
          <t>8월 5주차; Chase Secure (...0119); Balance shown: $8,458.64</t>
        </is>
      </c>
    </row>
    <row r="102">
      <c r="A102" s="4" t="n">
        <v>46262</v>
      </c>
      <c r="B102" s="9">
        <f>IF(A102="","",INT(DAY(A102)/7)+1)</f>
        <v>5</v>
      </c>
      <c r="C102" s="9" t="inlineStr">
        <is>
          <t>MTA*NYCT PAYGO NEW YORK NY 08/27 (...0119)</t>
        </is>
      </c>
      <c r="D102" s="9" t="inlineStr">
        <is>
          <t>MTA NYCT Paygo</t>
        </is>
      </c>
      <c r="E102" s="9" t="inlineStr">
        <is>
          <t>Transportation</t>
        </is>
      </c>
      <c r="F102" s="9" t="inlineStr">
        <is>
          <t>Public transit</t>
        </is>
      </c>
      <c r="G102" s="9" t="inlineStr">
        <is>
          <t>Checking</t>
        </is>
      </c>
      <c r="H102" s="9" t="inlineStr">
        <is>
          <t>Debit Card</t>
        </is>
      </c>
      <c r="I102" s="9" t="inlineStr">
        <is>
          <t>Expense</t>
        </is>
      </c>
      <c r="J102" s="3" t="n">
        <v>3</v>
      </c>
      <c r="K102" s="9" t="inlineStr">
        <is>
          <t>8월 5주차; Chase Secure (...0119); Balance shown: $8,471.64</t>
        </is>
      </c>
    </row>
    <row r="103">
      <c r="A103" s="4" t="n">
        <v>46262</v>
      </c>
      <c r="B103" s="9">
        <f>IF(A103="","",INT(DAY(A103)/7)+1)</f>
        <v>5</v>
      </c>
      <c r="C103" s="9" t="inlineStr">
        <is>
          <t>NJT BUS MY-TIX JWAITE@NJTRAN NJ 08/27 (...0119)</t>
        </is>
      </c>
      <c r="D103" s="9" t="inlineStr">
        <is>
          <t>NJ Transit MyTix</t>
        </is>
      </c>
      <c r="E103" s="9" t="inlineStr">
        <is>
          <t>Transportation</t>
        </is>
      </c>
      <c r="F103" s="9" t="inlineStr">
        <is>
          <t>Public transit</t>
        </is>
      </c>
      <c r="G103" s="9" t="inlineStr">
        <is>
          <t>Checking</t>
        </is>
      </c>
      <c r="H103" s="9" t="inlineStr">
        <is>
          <t>Debit Card</t>
        </is>
      </c>
      <c r="I103" s="9" t="inlineStr">
        <is>
          <t>Expense</t>
        </is>
      </c>
      <c r="J103" s="3" t="n">
        <v>5.45</v>
      </c>
      <c r="K103" s="9" t="inlineStr">
        <is>
          <t>8월 5주차; Chase Secure (...0119); Balance shown: $8,474.64</t>
        </is>
      </c>
    </row>
    <row r="104">
      <c r="A104" s="4" t="n">
        <v>46262</v>
      </c>
      <c r="B104" s="9">
        <f>IF(A104="","",INT(DAY(A104)/7)+1)</f>
        <v>5</v>
      </c>
      <c r="C104" s="9" t="inlineStr">
        <is>
          <t>HAN MI SUPERMARKET PALISADES PAR NJ 08/27 (...0119)</t>
        </is>
      </c>
      <c r="D104" s="9" t="inlineStr">
        <is>
          <t>Han Mi Supermarket</t>
        </is>
      </c>
      <c r="E104" s="9" t="inlineStr">
        <is>
          <t>Groceries</t>
        </is>
      </c>
      <c r="F104" s="9" t="inlineStr">
        <is>
          <t>Groceries</t>
        </is>
      </c>
      <c r="G104" s="9" t="inlineStr">
        <is>
          <t>Checking</t>
        </is>
      </c>
      <c r="H104" s="9" t="inlineStr">
        <is>
          <t>Debit Card</t>
        </is>
      </c>
      <c r="I104" s="9" t="inlineStr">
        <is>
          <t>Expense</t>
        </is>
      </c>
      <c r="J104" s="3" t="n">
        <v>3.2</v>
      </c>
      <c r="K104" s="9" t="inlineStr">
        <is>
          <t>8월 5주차; Chase Secure (...0119); Balance shown: $8,480.09</t>
        </is>
      </c>
    </row>
    <row r="105">
      <c r="A105" s="4" t="n">
        <v>46262</v>
      </c>
      <c r="B105" s="9">
        <f>IF(A105="","",INT(DAY(A105)/7)+1)</f>
        <v>5</v>
      </c>
      <c r="C105" s="9" t="inlineStr">
        <is>
          <t>MTA*NYCT PAYGO NEW YORK NY 08/27 (...0119)</t>
        </is>
      </c>
      <c r="D105" s="9" t="inlineStr">
        <is>
          <t>MTA NYCT Paygo</t>
        </is>
      </c>
      <c r="E105" s="9" t="inlineStr">
        <is>
          <t>Transportation</t>
        </is>
      </c>
      <c r="F105" s="9" t="inlineStr">
        <is>
          <t>Public transit</t>
        </is>
      </c>
      <c r="G105" s="9" t="inlineStr">
        <is>
          <t>Checking</t>
        </is>
      </c>
      <c r="H105" s="9" t="inlineStr">
        <is>
          <t>Debit Card</t>
        </is>
      </c>
      <c r="I105" s="9" t="inlineStr">
        <is>
          <t>Expense</t>
        </is>
      </c>
      <c r="J105" s="3" t="n">
        <v>3</v>
      </c>
      <c r="K105" s="9" t="inlineStr">
        <is>
          <t>8월 5주차; Chase Secure (...0119); Balance shown: $8,483.29</t>
        </is>
      </c>
    </row>
    <row r="106">
      <c r="A106" s="4" t="n">
        <v>46262</v>
      </c>
      <c r="B106" s="9">
        <f>IF(A106="","",INT(DAY(A106)/7)+1)</f>
        <v>5</v>
      </c>
      <c r="C106" s="9" t="inlineStr">
        <is>
          <t>MTA*NYCT PAYGO NEW YORK NY 08/27 (...0119)</t>
        </is>
      </c>
      <c r="D106" s="9" t="inlineStr">
        <is>
          <t>MTA NYCT Paygo</t>
        </is>
      </c>
      <c r="E106" s="9" t="inlineStr">
        <is>
          <t>Transportation</t>
        </is>
      </c>
      <c r="F106" s="9" t="inlineStr">
        <is>
          <t>Public transit</t>
        </is>
      </c>
      <c r="G106" s="9" t="inlineStr">
        <is>
          <t>Checking</t>
        </is>
      </c>
      <c r="H106" s="9" t="inlineStr">
        <is>
          <t>Debit Card</t>
        </is>
      </c>
      <c r="I106" s="9" t="inlineStr">
        <is>
          <t>Expense</t>
        </is>
      </c>
      <c r="J106" s="3" t="n">
        <v>3</v>
      </c>
      <c r="K106" s="9" t="inlineStr">
        <is>
          <t>8월 5주차; Chase Secure (...0119); Balance shown: $8,486.29</t>
        </is>
      </c>
    </row>
    <row r="107">
      <c r="A107" s="4" t="n">
        <v>46262</v>
      </c>
      <c r="B107" s="9">
        <f>IF(A107="","",INT(DAY(A107)/7)+1)</f>
        <v>5</v>
      </c>
      <c r="C107" s="9" t="inlineStr">
        <is>
          <t>NEW YORK UNIVERS DIRECT DEP PPD ID: 5135562308</t>
        </is>
      </c>
      <c r="D107" s="9" t="inlineStr">
        <is>
          <t>New York University</t>
        </is>
      </c>
      <c r="E107" s="9" t="inlineStr">
        <is>
          <t>Income</t>
        </is>
      </c>
      <c r="F107" s="9" t="inlineStr">
        <is>
          <t>Salary</t>
        </is>
      </c>
      <c r="G107" s="9" t="inlineStr">
        <is>
          <t>Checking</t>
        </is>
      </c>
      <c r="H107" s="9" t="inlineStr">
        <is>
          <t>ACH</t>
        </is>
      </c>
      <c r="I107" s="9" t="inlineStr">
        <is>
          <t>Income</t>
        </is>
      </c>
      <c r="J107" s="3" t="n">
        <v>4988</v>
      </c>
      <c r="K107" s="9" t="inlineStr">
        <is>
          <t>8월 5주차; Chase Secure (...0119); Balance shown: $8,489.29</t>
        </is>
      </c>
    </row>
    <row r="108">
      <c r="A108" s="4" t="n">
        <v>46265</v>
      </c>
      <c r="B108" s="9">
        <f>IF(A108="","",INT(DAY(A108)/7)+1)</f>
        <v>5</v>
      </c>
      <c r="C108" s="9" t="inlineStr">
        <is>
          <t>MTA*NYCT PAYGO NEW YORK NY 08/30 (...0119)</t>
        </is>
      </c>
      <c r="D108" s="9" t="inlineStr">
        <is>
          <t>MTA NYCT Paygo</t>
        </is>
      </c>
      <c r="E108" s="9" t="inlineStr">
        <is>
          <t>Transportation</t>
        </is>
      </c>
      <c r="F108" s="9" t="inlineStr">
        <is>
          <t>Public transit</t>
        </is>
      </c>
      <c r="G108" s="9" t="inlineStr">
        <is>
          <t>Checking</t>
        </is>
      </c>
      <c r="H108" s="9" t="inlineStr">
        <is>
          <t>Debit Card</t>
        </is>
      </c>
      <c r="I108" s="9" t="inlineStr">
        <is>
          <t>Expense</t>
        </is>
      </c>
      <c r="J108" s="3" t="n">
        <v>2</v>
      </c>
      <c r="K108" s="9" t="inlineStr">
        <is>
          <t>8월 5주차; Chase Secure (...0119); Balance shown: $8,242.24</t>
        </is>
      </c>
    </row>
    <row r="109">
      <c r="A109" s="4" t="n">
        <v>46265</v>
      </c>
      <c r="B109" s="9">
        <f>IF(A109="","",INT(DAY(A109)/7)+1)</f>
        <v>5</v>
      </c>
      <c r="C109" s="9" t="inlineStr">
        <is>
          <t>WHOLEFDS HRM#105 100 W NEW YORK NY 184677 08/30 (...0119)</t>
        </is>
      </c>
      <c r="D109" s="9" t="inlineStr">
        <is>
          <t>Whole Foods Market</t>
        </is>
      </c>
      <c r="E109" s="9" t="inlineStr">
        <is>
          <t>Groceries</t>
        </is>
      </c>
      <c r="F109" s="9" t="inlineStr">
        <is>
          <t>Groceries</t>
        </is>
      </c>
      <c r="G109" s="9" t="inlineStr">
        <is>
          <t>Checking</t>
        </is>
      </c>
      <c r="H109" s="9" t="inlineStr">
        <is>
          <t>Debit Card</t>
        </is>
      </c>
      <c r="I109" s="9" t="inlineStr">
        <is>
          <t>Expense</t>
        </is>
      </c>
      <c r="J109" s="3" t="n">
        <v>47.02</v>
      </c>
      <c r="K109" s="9" t="inlineStr">
        <is>
          <t>8월 5주차; Chase Secure (...0119); Balance shown: $8,244.24</t>
        </is>
      </c>
    </row>
    <row r="110">
      <c r="A110" s="4" t="n">
        <v>46265</v>
      </c>
      <c r="B110" s="9">
        <f>IF(A110="","",INT(DAY(A110)/7)+1)</f>
        <v>5</v>
      </c>
      <c r="C110" s="9" t="inlineStr">
        <is>
          <t>T.J. MAXX #1469 NEW YORK NY 013504 08/30 (...0119)</t>
        </is>
      </c>
      <c r="D110" s="9" t="inlineStr">
        <is>
          <t>T.J. Maxx</t>
        </is>
      </c>
      <c r="E110" s="9" t="inlineStr">
        <is>
          <t>Shopping</t>
        </is>
      </c>
      <c r="F110" s="9" t="inlineStr">
        <is>
          <t>Clothing &amp; household</t>
        </is>
      </c>
      <c r="G110" s="9" t="inlineStr">
        <is>
          <t>Checking</t>
        </is>
      </c>
      <c r="H110" s="9" t="inlineStr">
        <is>
          <t>Debit Card</t>
        </is>
      </c>
      <c r="I110" s="9" t="inlineStr">
        <is>
          <t>Expense</t>
        </is>
      </c>
      <c r="J110" s="3" t="n">
        <v>5.43</v>
      </c>
      <c r="K110" s="9" t="inlineStr">
        <is>
          <t>8월 5주차; Chase Secure (...0119); Balance shown: $8,291.26</t>
        </is>
      </c>
    </row>
    <row r="111">
      <c r="A111" s="4" t="n">
        <v>46265</v>
      </c>
      <c r="B111" s="9">
        <f>IF(A111="","",INT(DAY(A111)/7)+1)</f>
        <v>5</v>
      </c>
      <c r="C111" s="9" t="inlineStr">
        <is>
          <t>TRADER JOE S #57 123 W HARLEM NY 252588 08/30 (...0119)</t>
        </is>
      </c>
      <c r="D111" s="9" t="inlineStr">
        <is>
          <t>Trader Joe's</t>
        </is>
      </c>
      <c r="E111" s="9" t="inlineStr">
        <is>
          <t>Groceries</t>
        </is>
      </c>
      <c r="F111" s="9" t="inlineStr">
        <is>
          <t>Groceries</t>
        </is>
      </c>
      <c r="G111" s="9" t="inlineStr">
        <is>
          <t>Checking</t>
        </is>
      </c>
      <c r="H111" s="9" t="inlineStr">
        <is>
          <t>Debit Card</t>
        </is>
      </c>
      <c r="I111" s="9" t="inlineStr">
        <is>
          <t>Expense</t>
        </is>
      </c>
      <c r="J111" s="3" t="n">
        <v>56.6</v>
      </c>
      <c r="K111" s="9" t="inlineStr">
        <is>
          <t>8월 5주차; Chase Secure (...0119); Balance shown: $8,296.69</t>
        </is>
      </c>
    </row>
    <row r="112">
      <c r="A112" s="4" t="n">
        <v>46265</v>
      </c>
      <c r="B112" s="9">
        <f>IF(A112="","",INT(DAY(A112)/7)+1)</f>
        <v>5</v>
      </c>
      <c r="C112" s="9" t="inlineStr">
        <is>
          <t>TMOBILE*PREPAID WEB 877-778-2106 WA 08/30 (...0119)</t>
        </is>
      </c>
      <c r="D112" s="9" t="inlineStr">
        <is>
          <t>T-Mobile Prepaid</t>
        </is>
      </c>
      <c r="E112" s="9" t="inlineStr">
        <is>
          <t>Utilities</t>
        </is>
      </c>
      <c r="F112" s="9" t="inlineStr">
        <is>
          <t>Phone</t>
        </is>
      </c>
      <c r="G112" s="9" t="inlineStr">
        <is>
          <t>Checking</t>
        </is>
      </c>
      <c r="H112" s="9" t="inlineStr">
        <is>
          <t>Debit Card</t>
        </is>
      </c>
      <c r="I112" s="9" t="inlineStr">
        <is>
          <t>Expense</t>
        </is>
      </c>
      <c r="J112" s="3" t="n">
        <v>6.64</v>
      </c>
      <c r="K112" s="9" t="inlineStr">
        <is>
          <t>8월 5주차; Chase Secure (...0119); Balance shown: $8,353.29</t>
        </is>
      </c>
    </row>
    <row r="113">
      <c r="A113" s="4" t="n">
        <v>46265</v>
      </c>
      <c r="B113" s="9">
        <f>IF(A113="","",INT(DAY(A113)/7)+1)</f>
        <v>5</v>
      </c>
      <c r="C113" s="9" t="inlineStr">
        <is>
          <t>MTA*NYCT PAYGO NEW YORK NY 08/29 (...0119)</t>
        </is>
      </c>
      <c r="D113" s="9" t="inlineStr">
        <is>
          <t>MTA NYCT Paygo</t>
        </is>
      </c>
      <c r="E113" s="9" t="inlineStr">
        <is>
          <t>Transportation</t>
        </is>
      </c>
      <c r="F113" s="9" t="inlineStr">
        <is>
          <t>Public transit</t>
        </is>
      </c>
      <c r="G113" s="9" t="inlineStr">
        <is>
          <t>Checking</t>
        </is>
      </c>
      <c r="H113" s="9" t="inlineStr">
        <is>
          <t>Debit Card</t>
        </is>
      </c>
      <c r="I113" s="9" t="inlineStr">
        <is>
          <t>Expense</t>
        </is>
      </c>
      <c r="J113" s="3" t="n">
        <v>3</v>
      </c>
      <c r="K113" s="9" t="inlineStr">
        <is>
          <t>8월 5주차; Chase Secure (...0119); Balance shown: $8,359.93</t>
        </is>
      </c>
    </row>
    <row r="114">
      <c r="A114" s="4" t="n">
        <v>46265</v>
      </c>
      <c r="B114" s="9">
        <f>IF(A114="","",INT(DAY(A114)/7)+1)</f>
        <v>5</v>
      </c>
      <c r="C114" s="9" t="inlineStr">
        <is>
          <t>SQ *GYROWAY NYC INC New York NY 08/29 (...0119)</t>
        </is>
      </c>
      <c r="D114" s="9" t="inlineStr">
        <is>
          <t>Gyroway NYC</t>
        </is>
      </c>
      <c r="E114" s="9" t="inlineStr">
        <is>
          <t>Dining</t>
        </is>
      </c>
      <c r="F114" s="9" t="inlineStr">
        <is>
          <t>Restaurant</t>
        </is>
      </c>
      <c r="G114" s="9" t="inlineStr">
        <is>
          <t>Checking</t>
        </is>
      </c>
      <c r="H114" s="9" t="inlineStr">
        <is>
          <t>Debit Card</t>
        </is>
      </c>
      <c r="I114" s="9" t="inlineStr">
        <is>
          <t>Expense</t>
        </is>
      </c>
      <c r="J114" s="3" t="n">
        <v>14.67</v>
      </c>
      <c r="K114" s="9" t="inlineStr">
        <is>
          <t>8월 5주차; Chase Secure (...0119); Balance shown: $8,362.93</t>
        </is>
      </c>
    </row>
    <row r="115">
      <c r="A115" s="4" t="n">
        <v>46265</v>
      </c>
      <c r="B115" s="9">
        <f>IF(A115="","",INT(DAY(A115)/7)+1)</f>
        <v>5</v>
      </c>
      <c r="C115" s="9" t="inlineStr">
        <is>
          <t>MTA*NYCT PAYGO NEW YORK NY 08/29 (...0119)</t>
        </is>
      </c>
      <c r="D115" s="9" t="inlineStr">
        <is>
          <t>MTA NYCT Paygo</t>
        </is>
      </c>
      <c r="E115" s="9" t="inlineStr">
        <is>
          <t>Transportation</t>
        </is>
      </c>
      <c r="F115" s="9" t="inlineStr">
        <is>
          <t>Public transit</t>
        </is>
      </c>
      <c r="G115" s="9" t="inlineStr">
        <is>
          <t>Checking</t>
        </is>
      </c>
      <c r="H115" s="9" t="inlineStr">
        <is>
          <t>Debit Card</t>
        </is>
      </c>
      <c r="I115" s="9" t="inlineStr">
        <is>
          <t>Expense</t>
        </is>
      </c>
      <c r="J115" s="3" t="n">
        <v>3</v>
      </c>
      <c r="K115" s="9" t="inlineStr">
        <is>
          <t>8월 5주차; Chase Secure (...0119); Balance shown: $8,377.60</t>
        </is>
      </c>
    </row>
    <row r="116">
      <c r="A116" s="4" t="n">
        <v>46265</v>
      </c>
      <c r="B116" s="9">
        <f>IF(A116="","",INT(DAY(A116)/7)+1)</f>
        <v>5</v>
      </c>
      <c r="C116" s="9" t="inlineStr">
        <is>
          <t>MTA*NYCT PAYGO NEW YORK NY 08/28 (...0119)</t>
        </is>
      </c>
      <c r="D116" s="9" t="inlineStr">
        <is>
          <t>MTA NYCT Paygo</t>
        </is>
      </c>
      <c r="E116" s="9" t="inlineStr">
        <is>
          <t>Transportation</t>
        </is>
      </c>
      <c r="F116" s="9" t="inlineStr">
        <is>
          <t>Public transit</t>
        </is>
      </c>
      <c r="G116" s="9" t="inlineStr">
        <is>
          <t>Checking</t>
        </is>
      </c>
      <c r="H116" s="9" t="inlineStr">
        <is>
          <t>Debit Card</t>
        </is>
      </c>
      <c r="I116" s="9" t="inlineStr">
        <is>
          <t>Expense</t>
        </is>
      </c>
      <c r="J116" s="3" t="n">
        <v>3</v>
      </c>
      <c r="K116" s="9" t="inlineStr">
        <is>
          <t>8월 5주차; Chase Secure (...0119); Balance shown: $8,380.60</t>
        </is>
      </c>
    </row>
    <row r="117">
      <c r="A117" s="4" t="n">
        <v>46265</v>
      </c>
      <c r="B117" s="9">
        <f>IF(A117="","",INT(DAY(A117)/7)+1)</f>
        <v>5</v>
      </c>
      <c r="C117" s="9" t="inlineStr">
        <is>
          <t>MTA*NYCT PAYGO NEW YORK NY 08/28 (...0119)</t>
        </is>
      </c>
      <c r="D117" s="9" t="inlineStr">
        <is>
          <t>MTA NYCT Paygo</t>
        </is>
      </c>
      <c r="E117" s="9" t="inlineStr">
        <is>
          <t>Transportation</t>
        </is>
      </c>
      <c r="F117" s="9" t="inlineStr">
        <is>
          <t>Public transit</t>
        </is>
      </c>
      <c r="G117" s="9" t="inlineStr">
        <is>
          <t>Checking</t>
        </is>
      </c>
      <c r="H117" s="9" t="inlineStr">
        <is>
          <t>Debit Card</t>
        </is>
      </c>
      <c r="I117" s="9" t="inlineStr">
        <is>
          <t>Expense</t>
        </is>
      </c>
      <c r="J117" s="3" t="n">
        <v>3</v>
      </c>
      <c r="K117" s="9" t="inlineStr">
        <is>
          <t>8월 5주차; Chase Secure (...0119); Balance shown: $8,383.60</t>
        </is>
      </c>
    </row>
    <row r="118">
      <c r="A118" s="4" t="n">
        <v>46265</v>
      </c>
      <c r="B118" s="9">
        <f>IF(A118="","",INT(DAY(A118)/7)+1)</f>
        <v>5</v>
      </c>
      <c r="C118" s="9" t="inlineStr">
        <is>
          <t>SOOSANGHAN POCHA NEW PALISADES PAR NJ 08/27 (...0119)</t>
        </is>
      </c>
      <c r="D118" s="9" t="inlineStr">
        <is>
          <t>Soosanghan Pocha</t>
        </is>
      </c>
      <c r="E118" s="9" t="inlineStr">
        <is>
          <t>Dining</t>
        </is>
      </c>
      <c r="F118" s="9" t="inlineStr">
        <is>
          <t>Restaurant</t>
        </is>
      </c>
      <c r="G118" s="9" t="inlineStr">
        <is>
          <t>Checking</t>
        </is>
      </c>
      <c r="H118" s="9" t="inlineStr">
        <is>
          <t>Debit Card</t>
        </is>
      </c>
      <c r="I118" s="9" t="inlineStr">
        <is>
          <t>Expense</t>
        </is>
      </c>
      <c r="J118" s="3" t="n">
        <v>72.04</v>
      </c>
      <c r="K118" s="9" t="inlineStr">
        <is>
          <t>8월 5주차; Chase Secure (...0119); Balance shown: $8,386.60</t>
        </is>
      </c>
    </row>
    <row r="119">
      <c r="A119" s="4" t="n">
        <v/>
      </c>
      <c r="B119" s="9">
        <f>IF(A119="","",IF(DAY(A119)&lt;=2,1,IF(DAY(A119)&lt;=9,2,IF(DAY(A119)&lt;=16,3,IF(DAY(A119)&lt;=23,4,5)))))</f>
        <v/>
      </c>
      <c r="C119" s="9" t="n">
        <v/>
      </c>
      <c r="D119" s="9" t="n">
        <v/>
      </c>
      <c r="E119" s="9" t="n">
        <v/>
      </c>
      <c r="F119" s="9" t="n">
        <v/>
      </c>
      <c r="G119" s="9" t="n">
        <v/>
      </c>
      <c r="H119" s="9" t="n">
        <v/>
      </c>
      <c r="I119" s="9" t="n">
        <v/>
      </c>
      <c r="J119" s="3" t="n">
        <v/>
      </c>
      <c r="K119" s="9" t="n">
        <v/>
      </c>
    </row>
    <row r="120">
      <c r="A120" s="4" t="n">
        <v/>
      </c>
      <c r="B120" s="9">
        <f>IF(A120="","",IF(DAY(A120)&lt;=2,1,IF(DAY(A120)&lt;=9,2,IF(DAY(A120)&lt;=16,3,IF(DAY(A120)&lt;=23,4,5)))))</f>
        <v/>
      </c>
      <c r="C120" s="9" t="n">
        <v/>
      </c>
      <c r="D120" s="9" t="n">
        <v/>
      </c>
      <c r="E120" s="9" t="n">
        <v/>
      </c>
      <c r="F120" s="9" t="n">
        <v/>
      </c>
      <c r="G120" s="9" t="n">
        <v/>
      </c>
      <c r="H120" s="9" t="n">
        <v/>
      </c>
      <c r="I120" s="9" t="n">
        <v/>
      </c>
      <c r="J120" s="3" t="n">
        <v/>
      </c>
      <c r="K120" s="9" t="n">
        <v/>
      </c>
    </row>
    <row r="121">
      <c r="A121" s="4" t="n"/>
      <c r="B121" s="9">
        <f>IF(A121="","",IF(DAY(A121)&lt;=2,1,IF(DAY(A121)&lt;=9,2,IF(DAY(A121)&lt;=16,3,IF(DAY(A121)&lt;=23,4,5)))))</f>
        <v/>
      </c>
      <c r="C121" s="9" t="n"/>
      <c r="D121" s="9" t="n"/>
      <c r="E121" s="9" t="n"/>
      <c r="F121" s="9" t="n"/>
      <c r="G121" s="9" t="n"/>
      <c r="H121" s="9" t="n"/>
      <c r="I121" s="9" t="n"/>
      <c r="J121" s="3" t="n"/>
      <c r="K121" s="9" t="n"/>
    </row>
    <row r="122">
      <c r="A122" s="4" t="n"/>
      <c r="B122" s="9">
        <f>IF(A122="","",IF(DAY(A122)&lt;=2,1,IF(DAY(A122)&lt;=9,2,IF(DAY(A122)&lt;=16,3,IF(DAY(A122)&lt;=23,4,5)))))</f>
        <v/>
      </c>
      <c r="C122" s="9" t="n"/>
      <c r="D122" s="9" t="n"/>
      <c r="E122" s="9" t="n"/>
      <c r="F122" s="9" t="n"/>
      <c r="G122" s="9" t="n"/>
      <c r="H122" s="9" t="n"/>
      <c r="I122" s="9" t="n"/>
      <c r="J122" s="3" t="n"/>
      <c r="K122" s="9" t="n"/>
    </row>
    <row r="123">
      <c r="A123" s="4" t="n"/>
      <c r="B123" s="9">
        <f>IF(A123="","",IF(DAY(A123)&lt;=2,1,IF(DAY(A123)&lt;=9,2,IF(DAY(A123)&lt;=16,3,IF(DAY(A123)&lt;=23,4,5)))))</f>
        <v/>
      </c>
      <c r="C123" s="9" t="n"/>
      <c r="D123" s="9" t="n"/>
      <c r="E123" s="9" t="n"/>
      <c r="F123" s="9" t="n"/>
      <c r="G123" s="9" t="n"/>
      <c r="H123" s="9" t="n"/>
      <c r="I123" s="9" t="n"/>
      <c r="J123" s="3" t="n"/>
      <c r="K123" s="9" t="n"/>
    </row>
    <row r="124">
      <c r="A124" s="4" t="n"/>
      <c r="B124" s="9">
        <f>IF(A124="","",IF(DAY(A124)&lt;=2,1,IF(DAY(A124)&lt;=9,2,IF(DAY(A124)&lt;=16,3,IF(DAY(A124)&lt;=23,4,5)))))</f>
        <v/>
      </c>
      <c r="C124" s="9" t="n"/>
      <c r="D124" s="9" t="n"/>
      <c r="E124" s="9" t="n"/>
      <c r="F124" s="9" t="n"/>
      <c r="G124" s="9" t="n"/>
      <c r="H124" s="9" t="n"/>
      <c r="I124" s="9" t="n"/>
      <c r="J124" s="3" t="n"/>
      <c r="K124" s="9" t="n"/>
    </row>
    <row r="125">
      <c r="A125" s="4" t="n"/>
      <c r="B125" s="9">
        <f>IF(A125="","",IF(DAY(A125)&lt;=2,1,IF(DAY(A125)&lt;=9,2,IF(DAY(A125)&lt;=16,3,IF(DAY(A125)&lt;=23,4,5)))))</f>
        <v/>
      </c>
      <c r="C125" s="9" t="n"/>
      <c r="D125" s="9" t="n"/>
      <c r="E125" s="9" t="n"/>
      <c r="F125" s="9" t="n"/>
      <c r="G125" s="9" t="n"/>
      <c r="H125" s="9" t="n"/>
      <c r="I125" s="9" t="n"/>
      <c r="J125" s="3" t="n"/>
      <c r="K125" s="9" t="n"/>
    </row>
    <row r="126">
      <c r="A126" s="4" t="n"/>
      <c r="B126" s="9">
        <f>IF(A126="","",IF(DAY(A126)&lt;=2,1,IF(DAY(A126)&lt;=9,2,IF(DAY(A126)&lt;=16,3,IF(DAY(A126)&lt;=23,4,5)))))</f>
        <v/>
      </c>
      <c r="C126" s="9" t="n"/>
      <c r="D126" s="9" t="n"/>
      <c r="E126" s="9" t="n"/>
      <c r="F126" s="9" t="n"/>
      <c r="G126" s="9" t="n"/>
      <c r="H126" s="9" t="n"/>
      <c r="I126" s="9" t="n"/>
      <c r="J126" s="3" t="n"/>
      <c r="K126" s="9" t="n"/>
    </row>
    <row r="127">
      <c r="A127" s="4" t="n"/>
      <c r="B127" s="9">
        <f>IF(A127="","",IF(DAY(A127)&lt;=2,1,IF(DAY(A127)&lt;=9,2,IF(DAY(A127)&lt;=16,3,IF(DAY(A127)&lt;=23,4,5)))))</f>
        <v/>
      </c>
      <c r="C127" s="9" t="n"/>
      <c r="D127" s="9" t="n"/>
      <c r="E127" s="9" t="n"/>
      <c r="F127" s="9" t="n"/>
      <c r="G127" s="9" t="n"/>
      <c r="H127" s="9" t="n"/>
      <c r="I127" s="9" t="n"/>
      <c r="J127" s="3" t="n"/>
      <c r="K127" s="9" t="n"/>
    </row>
    <row r="128">
      <c r="A128" s="4" t="n"/>
      <c r="B128" s="9">
        <f>IF(A128="","",IF(DAY(A128)&lt;=2,1,IF(DAY(A128)&lt;=9,2,IF(DAY(A128)&lt;=16,3,IF(DAY(A128)&lt;=23,4,5)))))</f>
        <v/>
      </c>
      <c r="C128" s="9" t="n"/>
      <c r="D128" s="9" t="n"/>
      <c r="E128" s="9" t="n"/>
      <c r="F128" s="9" t="n"/>
      <c r="G128" s="9" t="n"/>
      <c r="H128" s="9" t="n"/>
      <c r="I128" s="9" t="n"/>
      <c r="J128" s="3" t="n"/>
      <c r="K128" s="9" t="n"/>
    </row>
    <row r="129">
      <c r="A129" s="4" t="n"/>
      <c r="B129" s="9">
        <f>IF(A129="","",IF(DAY(A129)&lt;=2,1,IF(DAY(A129)&lt;=9,2,IF(DAY(A129)&lt;=16,3,IF(DAY(A129)&lt;=23,4,5)))))</f>
        <v/>
      </c>
      <c r="C129" s="9" t="n"/>
      <c r="D129" s="9" t="n"/>
      <c r="E129" s="9" t="n"/>
      <c r="F129" s="9" t="n"/>
      <c r="G129" s="9" t="n"/>
      <c r="H129" s="9" t="n"/>
      <c r="I129" s="9" t="n"/>
      <c r="J129" s="3" t="n"/>
      <c r="K129" s="9" t="n"/>
    </row>
    <row r="130">
      <c r="A130" s="4" t="n"/>
      <c r="B130" s="9">
        <f>IF(A130="","",IF(DAY(A130)&lt;=2,1,IF(DAY(A130)&lt;=9,2,IF(DAY(A130)&lt;=16,3,IF(DAY(A130)&lt;=23,4,5)))))</f>
        <v/>
      </c>
      <c r="C130" s="9" t="n"/>
      <c r="D130" s="9" t="n"/>
      <c r="E130" s="9" t="n"/>
      <c r="F130" s="9" t="n"/>
      <c r="G130" s="9" t="n"/>
      <c r="H130" s="9" t="n"/>
      <c r="I130" s="9" t="n"/>
      <c r="J130" s="3" t="n"/>
      <c r="K130" s="9" t="n"/>
    </row>
    <row r="131">
      <c r="A131" s="4" t="n"/>
      <c r="B131" s="9">
        <f>IF(A131="","",IF(DAY(A131)&lt;=2,1,IF(DAY(A131)&lt;=9,2,IF(DAY(A131)&lt;=16,3,IF(DAY(A131)&lt;=23,4,5)))))</f>
        <v/>
      </c>
      <c r="C131" s="9" t="n"/>
      <c r="D131" s="9" t="n"/>
      <c r="E131" s="9" t="n"/>
      <c r="F131" s="9" t="n"/>
      <c r="G131" s="9" t="n"/>
      <c r="H131" s="9" t="n"/>
      <c r="I131" s="9" t="n"/>
      <c r="J131" s="3" t="n"/>
      <c r="K131" s="9" t="n"/>
    </row>
    <row r="132">
      <c r="A132" s="4" t="n"/>
      <c r="B132" s="9">
        <f>IF(A132="","",IF(DAY(A132)&lt;=2,1,IF(DAY(A132)&lt;=9,2,IF(DAY(A132)&lt;=16,3,IF(DAY(A132)&lt;=23,4,5)))))</f>
        <v/>
      </c>
      <c r="C132" s="9" t="n"/>
      <c r="D132" s="9" t="n"/>
      <c r="E132" s="9" t="n"/>
      <c r="F132" s="9" t="n"/>
      <c r="G132" s="9" t="n"/>
      <c r="H132" s="9" t="n"/>
      <c r="I132" s="9" t="n"/>
      <c r="J132" s="3" t="n"/>
      <c r="K132" s="9" t="n"/>
    </row>
    <row r="133">
      <c r="A133" s="4" t="n"/>
      <c r="B133" s="9">
        <f>IF(A133="","",IF(DAY(A133)&lt;=2,1,IF(DAY(A133)&lt;=9,2,IF(DAY(A133)&lt;=16,3,IF(DAY(A133)&lt;=23,4,5)))))</f>
        <v/>
      </c>
      <c r="C133" s="9" t="n"/>
      <c r="D133" s="9" t="n"/>
      <c r="E133" s="9" t="n"/>
      <c r="F133" s="9" t="n"/>
      <c r="G133" s="9" t="n"/>
      <c r="H133" s="9" t="n"/>
      <c r="I133" s="9" t="n"/>
      <c r="J133" s="3" t="n"/>
      <c r="K133" s="9" t="n"/>
    </row>
    <row r="134">
      <c r="A134" s="4" t="n"/>
      <c r="B134" s="9">
        <f>IF(A134="","",IF(DAY(A134)&lt;=2,1,IF(DAY(A134)&lt;=9,2,IF(DAY(A134)&lt;=16,3,IF(DAY(A134)&lt;=23,4,5)))))</f>
        <v/>
      </c>
      <c r="C134" s="9" t="n"/>
      <c r="D134" s="9" t="n"/>
      <c r="E134" s="9" t="n"/>
      <c r="F134" s="9" t="n"/>
      <c r="G134" s="9" t="n"/>
      <c r="H134" s="9" t="n"/>
      <c r="I134" s="9" t="n"/>
      <c r="J134" s="3" t="n"/>
      <c r="K134" s="9" t="n"/>
    </row>
    <row r="135">
      <c r="A135" s="4" t="n"/>
      <c r="B135" s="9">
        <f>IF(A135="","",IF(DAY(A135)&lt;=2,1,IF(DAY(A135)&lt;=9,2,IF(DAY(A135)&lt;=16,3,IF(DAY(A135)&lt;=23,4,5)))))</f>
        <v/>
      </c>
      <c r="C135" s="9" t="n"/>
      <c r="D135" s="9" t="n"/>
      <c r="E135" s="9" t="n"/>
      <c r="F135" s="9" t="n"/>
      <c r="G135" s="9" t="n"/>
      <c r="H135" s="9" t="n"/>
      <c r="I135" s="9" t="n"/>
      <c r="J135" s="3" t="n"/>
      <c r="K135" s="9" t="n"/>
    </row>
    <row r="136">
      <c r="A136" s="4" t="n"/>
      <c r="B136" s="9">
        <f>IF(A136="","",IF(DAY(A136)&lt;=2,1,IF(DAY(A136)&lt;=9,2,IF(DAY(A136)&lt;=16,3,IF(DAY(A136)&lt;=23,4,5)))))</f>
        <v/>
      </c>
      <c r="C136" s="9" t="n"/>
      <c r="D136" s="9" t="n"/>
      <c r="E136" s="9" t="n"/>
      <c r="F136" s="9" t="n"/>
      <c r="G136" s="9" t="n"/>
      <c r="H136" s="9" t="n"/>
      <c r="I136" s="9" t="n"/>
      <c r="J136" s="3" t="n"/>
      <c r="K136" s="9" t="n"/>
    </row>
    <row r="137">
      <c r="A137" s="4" t="n"/>
      <c r="B137" s="9">
        <f>IF(A137="","",IF(DAY(A137)&lt;=2,1,IF(DAY(A137)&lt;=9,2,IF(DAY(A137)&lt;=16,3,IF(DAY(A137)&lt;=23,4,5)))))</f>
        <v/>
      </c>
      <c r="C137" s="9" t="n"/>
      <c r="D137" s="9" t="n"/>
      <c r="E137" s="9" t="n"/>
      <c r="F137" s="9" t="n"/>
      <c r="G137" s="9" t="n"/>
      <c r="H137" s="9" t="n"/>
      <c r="I137" s="9" t="n"/>
      <c r="J137" s="3" t="n"/>
      <c r="K137" s="9" t="n"/>
    </row>
    <row r="138">
      <c r="A138" s="4" t="n"/>
      <c r="B138" s="9">
        <f>IF(A138="","",IF(DAY(A138)&lt;=2,1,IF(DAY(A138)&lt;=9,2,IF(DAY(A138)&lt;=16,3,IF(DAY(A138)&lt;=23,4,5)))))</f>
        <v/>
      </c>
      <c r="C138" s="9" t="n"/>
      <c r="D138" s="9" t="n"/>
      <c r="E138" s="9" t="n"/>
      <c r="F138" s="9" t="n"/>
      <c r="G138" s="9" t="n"/>
      <c r="H138" s="9" t="n"/>
      <c r="I138" s="9" t="n"/>
      <c r="J138" s="3" t="n"/>
      <c r="K138" s="9" t="n"/>
    </row>
    <row r="139">
      <c r="A139" s="4" t="n"/>
      <c r="B139" s="9">
        <f>IF(A139="","",IF(DAY(A139)&lt;=2,1,IF(DAY(A139)&lt;=9,2,IF(DAY(A139)&lt;=16,3,IF(DAY(A139)&lt;=23,4,5)))))</f>
        <v/>
      </c>
      <c r="C139" s="9" t="n"/>
      <c r="D139" s="9" t="n"/>
      <c r="E139" s="9" t="n"/>
      <c r="F139" s="9" t="n"/>
      <c r="G139" s="9" t="n"/>
      <c r="H139" s="9" t="n"/>
      <c r="I139" s="9" t="n"/>
      <c r="J139" s="3" t="n"/>
      <c r="K139" s="9" t="n"/>
    </row>
    <row r="140">
      <c r="A140" s="4" t="n"/>
      <c r="B140" s="9">
        <f>IF(A140="","",IF(DAY(A140)&lt;=2,1,IF(DAY(A140)&lt;=9,2,IF(DAY(A140)&lt;=16,3,IF(DAY(A140)&lt;=23,4,5)))))</f>
        <v/>
      </c>
      <c r="C140" s="9" t="n"/>
      <c r="D140" s="9" t="n"/>
      <c r="E140" s="9" t="n"/>
      <c r="F140" s="9" t="n"/>
      <c r="G140" s="9" t="n"/>
      <c r="H140" s="9" t="n"/>
      <c r="I140" s="9" t="n"/>
      <c r="J140" s="3" t="n"/>
      <c r="K140" s="9" t="n"/>
    </row>
    <row r="141">
      <c r="A141" s="4" t="n"/>
      <c r="B141" s="9">
        <f>IF(A141="","",IF(DAY(A141)&lt;=2,1,IF(DAY(A141)&lt;=9,2,IF(DAY(A141)&lt;=16,3,IF(DAY(A141)&lt;=23,4,5)))))</f>
        <v/>
      </c>
      <c r="C141" s="9" t="n"/>
      <c r="D141" s="9" t="n"/>
      <c r="E141" s="9" t="n"/>
      <c r="F141" s="9" t="n"/>
      <c r="G141" s="9" t="n"/>
      <c r="H141" s="9" t="n"/>
      <c r="I141" s="9" t="n"/>
      <c r="J141" s="3" t="n"/>
      <c r="K141" s="9" t="n"/>
    </row>
    <row r="142">
      <c r="A142" s="4" t="n"/>
      <c r="B142" s="9">
        <f>IF(A142="","",IF(DAY(A142)&lt;=2,1,IF(DAY(A142)&lt;=9,2,IF(DAY(A142)&lt;=16,3,IF(DAY(A142)&lt;=23,4,5)))))</f>
        <v/>
      </c>
      <c r="C142" s="9" t="n"/>
      <c r="D142" s="9" t="n"/>
      <c r="E142" s="9" t="n"/>
      <c r="F142" s="9" t="n"/>
      <c r="G142" s="9" t="n"/>
      <c r="H142" s="9" t="n"/>
      <c r="I142" s="9" t="n"/>
      <c r="J142" s="3" t="n"/>
      <c r="K142" s="9" t="n"/>
    </row>
    <row r="143">
      <c r="A143" s="4" t="n"/>
      <c r="B143" s="9">
        <f>IF(A143="","",IF(DAY(A143)&lt;=2,1,IF(DAY(A143)&lt;=9,2,IF(DAY(A143)&lt;=16,3,IF(DAY(A143)&lt;=23,4,5)))))</f>
        <v/>
      </c>
      <c r="C143" s="9" t="n"/>
      <c r="D143" s="9" t="n"/>
      <c r="E143" s="9" t="n"/>
      <c r="F143" s="9" t="n"/>
      <c r="G143" s="9" t="n"/>
      <c r="H143" s="9" t="n"/>
      <c r="I143" s="9" t="n"/>
      <c r="J143" s="3" t="n"/>
      <c r="K143" s="9" t="n"/>
    </row>
    <row r="144">
      <c r="A144" s="4" t="n"/>
      <c r="B144" s="9">
        <f>IF(A144="","",IF(DAY(A144)&lt;=2,1,IF(DAY(A144)&lt;=9,2,IF(DAY(A144)&lt;=16,3,IF(DAY(A144)&lt;=23,4,5)))))</f>
        <v/>
      </c>
      <c r="C144" s="9" t="n"/>
      <c r="D144" s="9" t="n"/>
      <c r="E144" s="9" t="n"/>
      <c r="F144" s="9" t="n"/>
      <c r="G144" s="9" t="n"/>
      <c r="H144" s="9" t="n"/>
      <c r="I144" s="9" t="n"/>
      <c r="J144" s="3" t="n"/>
      <c r="K144" s="9" t="n"/>
    </row>
    <row r="145">
      <c r="A145" s="4" t="n"/>
      <c r="B145" s="9">
        <f>IF(A145="","",IF(DAY(A145)&lt;=2,1,IF(DAY(A145)&lt;=9,2,IF(DAY(A145)&lt;=16,3,IF(DAY(A145)&lt;=23,4,5)))))</f>
        <v/>
      </c>
      <c r="C145" s="9" t="n"/>
      <c r="D145" s="9" t="n"/>
      <c r="E145" s="9" t="n"/>
      <c r="F145" s="9" t="n"/>
      <c r="G145" s="9" t="n"/>
      <c r="H145" s="9" t="n"/>
      <c r="I145" s="9" t="n"/>
      <c r="J145" s="3" t="n"/>
      <c r="K145" s="9" t="n"/>
    </row>
    <row r="146">
      <c r="A146" s="4" t="n"/>
      <c r="B146" s="9">
        <f>IF(A146="","",IF(DAY(A146)&lt;=2,1,IF(DAY(A146)&lt;=9,2,IF(DAY(A146)&lt;=16,3,IF(DAY(A146)&lt;=23,4,5)))))</f>
        <v/>
      </c>
      <c r="C146" s="9" t="n"/>
      <c r="D146" s="9" t="n"/>
      <c r="E146" s="9" t="n"/>
      <c r="F146" s="9" t="n"/>
      <c r="G146" s="9" t="n"/>
      <c r="H146" s="9" t="n"/>
      <c r="I146" s="9" t="n"/>
      <c r="J146" s="3" t="n"/>
      <c r="K146" s="9" t="n"/>
    </row>
    <row r="147">
      <c r="A147" s="4" t="n"/>
      <c r="B147" s="9">
        <f>IF(A147="","",IF(DAY(A147)&lt;=2,1,IF(DAY(A147)&lt;=9,2,IF(DAY(A147)&lt;=16,3,IF(DAY(A147)&lt;=23,4,5)))))</f>
        <v/>
      </c>
      <c r="C147" s="9" t="n"/>
      <c r="D147" s="9" t="n"/>
      <c r="E147" s="9" t="n"/>
      <c r="F147" s="9" t="n"/>
      <c r="G147" s="9" t="n"/>
      <c r="H147" s="9" t="n"/>
      <c r="I147" s="9" t="n"/>
      <c r="J147" s="3" t="n"/>
      <c r="K147" s="9" t="n"/>
    </row>
    <row r="148">
      <c r="A148" s="4" t="n"/>
      <c r="B148" s="9">
        <f>IF(A148="","",IF(DAY(A148)&lt;=2,1,IF(DAY(A148)&lt;=9,2,IF(DAY(A148)&lt;=16,3,IF(DAY(A148)&lt;=23,4,5)))))</f>
        <v/>
      </c>
      <c r="C148" s="9" t="n"/>
      <c r="D148" s="9" t="n"/>
      <c r="E148" s="9" t="n"/>
      <c r="F148" s="9" t="n"/>
      <c r="G148" s="9" t="n"/>
      <c r="H148" s="9" t="n"/>
      <c r="I148" s="9" t="n"/>
      <c r="J148" s="3" t="n"/>
      <c r="K148" s="9" t="n"/>
    </row>
    <row r="149">
      <c r="A149" s="4" t="n"/>
      <c r="B149" s="9">
        <f>IF(A149="","",IF(DAY(A149)&lt;=2,1,IF(DAY(A149)&lt;=9,2,IF(DAY(A149)&lt;=16,3,IF(DAY(A149)&lt;=23,4,5)))))</f>
        <v/>
      </c>
      <c r="C149" s="9" t="n"/>
      <c r="D149" s="9" t="n"/>
      <c r="E149" s="9" t="n"/>
      <c r="F149" s="9" t="n"/>
      <c r="G149" s="9" t="n"/>
      <c r="H149" s="9" t="n"/>
      <c r="I149" s="9" t="n"/>
      <c r="J149" s="3" t="n"/>
      <c r="K149" s="9" t="n"/>
    </row>
    <row r="150">
      <c r="A150" s="4" t="n"/>
      <c r="B150" s="9">
        <f>IF(A150="","",IF(DAY(A150)&lt;=2,1,IF(DAY(A150)&lt;=9,2,IF(DAY(A150)&lt;=16,3,IF(DAY(A150)&lt;=23,4,5)))))</f>
        <v/>
      </c>
      <c r="C150" s="9" t="n"/>
      <c r="D150" s="9" t="n"/>
      <c r="E150" s="9" t="n"/>
      <c r="F150" s="9" t="n"/>
      <c r="G150" s="9" t="n"/>
      <c r="H150" s="9" t="n"/>
      <c r="I150" s="9" t="n"/>
      <c r="J150" s="3" t="n"/>
      <c r="K150" s="9" t="n"/>
    </row>
    <row r="151">
      <c r="A151" s="4" t="n"/>
      <c r="B151" s="9">
        <f>IF(A151="","",IF(DAY(A151)&lt;=2,1,IF(DAY(A151)&lt;=9,2,IF(DAY(A151)&lt;=16,3,IF(DAY(A151)&lt;=23,4,5)))))</f>
        <v/>
      </c>
      <c r="C151" s="9" t="n"/>
      <c r="D151" s="9" t="n"/>
      <c r="E151" s="9" t="n"/>
      <c r="F151" s="9" t="n"/>
      <c r="G151" s="9" t="n"/>
      <c r="H151" s="9" t="n"/>
      <c r="I151" s="9" t="n"/>
      <c r="J151" s="3" t="n"/>
      <c r="K151" s="9" t="n"/>
    </row>
    <row r="152">
      <c r="A152" s="4" t="n"/>
      <c r="B152" s="9">
        <f>IF(A152="","",IF(DAY(A152)&lt;=2,1,IF(DAY(A152)&lt;=9,2,IF(DAY(A152)&lt;=16,3,IF(DAY(A152)&lt;=23,4,5)))))</f>
        <v/>
      </c>
      <c r="C152" s="9" t="n"/>
      <c r="D152" s="9" t="n"/>
      <c r="E152" s="9" t="n"/>
      <c r="F152" s="9" t="n"/>
      <c r="G152" s="9" t="n"/>
      <c r="H152" s="9" t="n"/>
      <c r="I152" s="9" t="n"/>
      <c r="J152" s="3" t="n"/>
      <c r="K152" s="9" t="n"/>
    </row>
    <row r="153">
      <c r="A153" s="4" t="n"/>
      <c r="B153" s="9">
        <f>IF(A153="","",IF(DAY(A153)&lt;=2,1,IF(DAY(A153)&lt;=9,2,IF(DAY(A153)&lt;=16,3,IF(DAY(A153)&lt;=23,4,5)))))</f>
        <v/>
      </c>
      <c r="C153" s="9" t="n"/>
      <c r="D153" s="9" t="n"/>
      <c r="E153" s="9" t="n"/>
      <c r="F153" s="9" t="n"/>
      <c r="G153" s="9" t="n"/>
      <c r="H153" s="9" t="n"/>
      <c r="I153" s="9" t="n"/>
      <c r="J153" s="3" t="n"/>
      <c r="K153" s="9" t="n"/>
    </row>
    <row r="154">
      <c r="A154" s="4" t="n"/>
      <c r="B154" s="9">
        <f>IF(A154="","",IF(DAY(A154)&lt;=2,1,IF(DAY(A154)&lt;=9,2,IF(DAY(A154)&lt;=16,3,IF(DAY(A154)&lt;=23,4,5)))))</f>
        <v/>
      </c>
      <c r="C154" s="9" t="n"/>
      <c r="D154" s="9" t="n"/>
      <c r="E154" s="9" t="n"/>
      <c r="F154" s="9" t="n"/>
      <c r="G154" s="9" t="n"/>
      <c r="H154" s="9" t="n"/>
      <c r="I154" s="9" t="n"/>
      <c r="J154" s="3" t="n"/>
      <c r="K154" s="9" t="n"/>
    </row>
    <row r="155">
      <c r="A155" s="4" t="n"/>
      <c r="B155" s="9">
        <f>IF(A155="","",IF(DAY(A155)&lt;=2,1,IF(DAY(A155)&lt;=9,2,IF(DAY(A155)&lt;=16,3,IF(DAY(A155)&lt;=23,4,5)))))</f>
        <v/>
      </c>
      <c r="C155" s="9" t="n"/>
      <c r="D155" s="9" t="n"/>
      <c r="E155" s="9" t="n"/>
      <c r="F155" s="9" t="n"/>
      <c r="G155" s="9" t="n"/>
      <c r="H155" s="9" t="n"/>
      <c r="I155" s="9" t="n"/>
      <c r="J155" s="3" t="n"/>
      <c r="K155" s="9" t="n"/>
    </row>
    <row r="156">
      <c r="A156" s="4" t="n"/>
      <c r="B156" s="9">
        <f>IF(A156="","",IF(DAY(A156)&lt;=2,1,IF(DAY(A156)&lt;=9,2,IF(DAY(A156)&lt;=16,3,IF(DAY(A156)&lt;=23,4,5)))))</f>
        <v/>
      </c>
      <c r="C156" s="9" t="n"/>
      <c r="D156" s="9" t="n"/>
      <c r="E156" s="9" t="n"/>
      <c r="F156" s="9" t="n"/>
      <c r="G156" s="9" t="n"/>
      <c r="H156" s="9" t="n"/>
      <c r="I156" s="9" t="n"/>
      <c r="J156" s="3" t="n"/>
      <c r="K156" s="9" t="n"/>
    </row>
    <row r="157">
      <c r="A157" s="4" t="n"/>
      <c r="B157" s="9">
        <f>IF(A157="","",IF(DAY(A157)&lt;=2,1,IF(DAY(A157)&lt;=9,2,IF(DAY(A157)&lt;=16,3,IF(DAY(A157)&lt;=23,4,5)))))</f>
        <v/>
      </c>
      <c r="C157" s="9" t="n"/>
      <c r="D157" s="9" t="n"/>
      <c r="E157" s="9" t="n"/>
      <c r="F157" s="9" t="n"/>
      <c r="G157" s="9" t="n"/>
      <c r="H157" s="9" t="n"/>
      <c r="I157" s="9" t="n"/>
      <c r="J157" s="3" t="n"/>
      <c r="K157" s="9" t="n"/>
    </row>
    <row r="158">
      <c r="A158" s="4" t="n"/>
      <c r="B158" s="9">
        <f>IF(A158="","",IF(DAY(A158)&lt;=2,1,IF(DAY(A158)&lt;=9,2,IF(DAY(A158)&lt;=16,3,IF(DAY(A158)&lt;=23,4,5)))))</f>
        <v/>
      </c>
      <c r="C158" s="9" t="n"/>
      <c r="D158" s="9" t="n"/>
      <c r="E158" s="9" t="n"/>
      <c r="F158" s="9" t="n"/>
      <c r="G158" s="9" t="n"/>
      <c r="H158" s="9" t="n"/>
      <c r="I158" s="9" t="n"/>
      <c r="J158" s="3" t="n"/>
      <c r="K158" s="9" t="n"/>
    </row>
    <row r="159">
      <c r="A159" s="4" t="n"/>
      <c r="B159" s="9">
        <f>IF(A159="","",IF(DAY(A159)&lt;=2,1,IF(DAY(A159)&lt;=9,2,IF(DAY(A159)&lt;=16,3,IF(DAY(A159)&lt;=23,4,5)))))</f>
        <v/>
      </c>
      <c r="C159" s="9" t="n"/>
      <c r="D159" s="9" t="n"/>
      <c r="E159" s="9" t="n"/>
      <c r="F159" s="9" t="n"/>
      <c r="G159" s="9" t="n"/>
      <c r="H159" s="9" t="n"/>
      <c r="I159" s="9" t="n"/>
      <c r="J159" s="3" t="n"/>
      <c r="K159" s="9" t="n"/>
    </row>
    <row r="160">
      <c r="A160" s="4" t="n"/>
      <c r="B160" s="9">
        <f>IF(A160="","",IF(DAY(A160)&lt;=2,1,IF(DAY(A160)&lt;=9,2,IF(DAY(A160)&lt;=16,3,IF(DAY(A160)&lt;=23,4,5)))))</f>
        <v/>
      </c>
      <c r="C160" s="9" t="n"/>
      <c r="D160" s="9" t="n"/>
      <c r="E160" s="9" t="n"/>
      <c r="F160" s="9" t="n"/>
      <c r="G160" s="9" t="n"/>
      <c r="H160" s="9" t="n"/>
      <c r="I160" s="9" t="n"/>
      <c r="J160" s="3" t="n"/>
      <c r="K160" s="9" t="n"/>
    </row>
    <row r="161">
      <c r="A161" s="4" t="n"/>
      <c r="B161" s="9">
        <f>IF(A161="","",IF(DAY(A161)&lt;=2,1,IF(DAY(A161)&lt;=9,2,IF(DAY(A161)&lt;=16,3,IF(DAY(A161)&lt;=23,4,5)))))</f>
        <v/>
      </c>
      <c r="C161" s="9" t="n"/>
      <c r="D161" s="9" t="n"/>
      <c r="E161" s="9" t="n"/>
      <c r="F161" s="9" t="n"/>
      <c r="G161" s="9" t="n"/>
      <c r="H161" s="9" t="n"/>
      <c r="I161" s="9" t="n"/>
      <c r="J161" s="3" t="n"/>
      <c r="K161" s="9" t="n"/>
    </row>
    <row r="162">
      <c r="A162" s="4" t="n"/>
      <c r="B162" s="9">
        <f>IF(A162="","",IF(DAY(A162)&lt;=2,1,IF(DAY(A162)&lt;=9,2,IF(DAY(A162)&lt;=16,3,IF(DAY(A162)&lt;=23,4,5)))))</f>
        <v/>
      </c>
      <c r="C162" s="9" t="n"/>
      <c r="D162" s="9" t="n"/>
      <c r="E162" s="9" t="n"/>
      <c r="F162" s="9" t="n"/>
      <c r="G162" s="9" t="n"/>
      <c r="H162" s="9" t="n"/>
      <c r="I162" s="9" t="n"/>
      <c r="J162" s="3" t="n"/>
      <c r="K162" s="9" t="n"/>
    </row>
    <row r="163">
      <c r="A163" s="4" t="n"/>
      <c r="B163" s="9">
        <f>IF(A163="","",IF(DAY(A163)&lt;=2,1,IF(DAY(A163)&lt;=9,2,IF(DAY(A163)&lt;=16,3,IF(DAY(A163)&lt;=23,4,5)))))</f>
        <v/>
      </c>
      <c r="C163" s="9" t="n"/>
      <c r="D163" s="9" t="n"/>
      <c r="E163" s="9" t="n"/>
      <c r="F163" s="9" t="n"/>
      <c r="G163" s="9" t="n"/>
      <c r="H163" s="9" t="n"/>
      <c r="I163" s="9" t="n"/>
      <c r="J163" s="3" t="n"/>
      <c r="K163" s="9" t="n"/>
    </row>
    <row r="164">
      <c r="A164" s="4" t="n"/>
      <c r="B164" s="9">
        <f>IF(A164="","",IF(DAY(A164)&lt;=2,1,IF(DAY(A164)&lt;=9,2,IF(DAY(A164)&lt;=16,3,IF(DAY(A164)&lt;=23,4,5)))))</f>
        <v/>
      </c>
      <c r="C164" s="9" t="n"/>
      <c r="D164" s="9" t="n"/>
      <c r="E164" s="9" t="n"/>
      <c r="F164" s="9" t="n"/>
      <c r="G164" s="9" t="n"/>
      <c r="H164" s="9" t="n"/>
      <c r="I164" s="9" t="n"/>
      <c r="J164" s="3" t="n"/>
      <c r="K164" s="9" t="n"/>
    </row>
    <row r="165">
      <c r="A165" s="4" t="n"/>
      <c r="B165" s="9">
        <f>IF(A165="","",IF(DAY(A165)&lt;=2,1,IF(DAY(A165)&lt;=9,2,IF(DAY(A165)&lt;=16,3,IF(DAY(A165)&lt;=23,4,5)))))</f>
        <v/>
      </c>
      <c r="C165" s="9" t="n"/>
      <c r="D165" s="9" t="n"/>
      <c r="E165" s="9" t="n"/>
      <c r="F165" s="9" t="n"/>
      <c r="G165" s="9" t="n"/>
      <c r="H165" s="9" t="n"/>
      <c r="I165" s="9" t="n"/>
      <c r="J165" s="3" t="n"/>
      <c r="K165" s="9" t="n"/>
    </row>
    <row r="166">
      <c r="A166" s="4" t="n"/>
      <c r="B166" s="9">
        <f>IF(A166="","",IF(DAY(A166)&lt;=2,1,IF(DAY(A166)&lt;=9,2,IF(DAY(A166)&lt;=16,3,IF(DAY(A166)&lt;=23,4,5)))))</f>
        <v/>
      </c>
      <c r="C166" s="9" t="n"/>
      <c r="D166" s="9" t="n"/>
      <c r="E166" s="9" t="n"/>
      <c r="F166" s="9" t="n"/>
      <c r="G166" s="9" t="n"/>
      <c r="H166" s="9" t="n"/>
      <c r="I166" s="9" t="n"/>
      <c r="J166" s="3" t="n"/>
      <c r="K166" s="9" t="n"/>
    </row>
    <row r="167">
      <c r="A167" s="4" t="n"/>
      <c r="B167" s="9">
        <f>IF(A167="","",IF(DAY(A167)&lt;=2,1,IF(DAY(A167)&lt;=9,2,IF(DAY(A167)&lt;=16,3,IF(DAY(A167)&lt;=23,4,5)))))</f>
        <v/>
      </c>
      <c r="C167" s="9" t="n"/>
      <c r="D167" s="9" t="n"/>
      <c r="E167" s="9" t="n"/>
      <c r="F167" s="9" t="n"/>
      <c r="G167" s="9" t="n"/>
      <c r="H167" s="9" t="n"/>
      <c r="I167" s="9" t="n"/>
      <c r="J167" s="3" t="n"/>
      <c r="K167" s="9" t="n"/>
    </row>
    <row r="168">
      <c r="A168" s="4" t="n"/>
      <c r="B168" s="9">
        <f>IF(A168="","",IF(DAY(A168)&lt;=2,1,IF(DAY(A168)&lt;=9,2,IF(DAY(A168)&lt;=16,3,IF(DAY(A168)&lt;=23,4,5)))))</f>
        <v/>
      </c>
      <c r="C168" s="9" t="n"/>
      <c r="D168" s="9" t="n"/>
      <c r="E168" s="9" t="n"/>
      <c r="F168" s="9" t="n"/>
      <c r="G168" s="9" t="n"/>
      <c r="H168" s="9" t="n"/>
      <c r="I168" s="9" t="n"/>
      <c r="J168" s="3" t="n"/>
      <c r="K168" s="9" t="n"/>
    </row>
    <row r="169">
      <c r="A169" s="4" t="n"/>
      <c r="B169" s="9">
        <f>IF(A169="","",IF(DAY(A169)&lt;=2,1,IF(DAY(A169)&lt;=9,2,IF(DAY(A169)&lt;=16,3,IF(DAY(A169)&lt;=23,4,5)))))</f>
        <v/>
      </c>
      <c r="C169" s="9" t="n"/>
      <c r="D169" s="9" t="n"/>
      <c r="E169" s="9" t="n"/>
      <c r="F169" s="9" t="n"/>
      <c r="G169" s="9" t="n"/>
      <c r="H169" s="9" t="n"/>
      <c r="I169" s="9" t="n"/>
      <c r="J169" s="3" t="n"/>
      <c r="K169" s="9" t="n"/>
    </row>
    <row r="170">
      <c r="A170" s="4" t="n"/>
      <c r="B170" s="9">
        <f>IF(A170="","",IF(DAY(A170)&lt;=2,1,IF(DAY(A170)&lt;=9,2,IF(DAY(A170)&lt;=16,3,IF(DAY(A170)&lt;=23,4,5)))))</f>
        <v/>
      </c>
      <c r="C170" s="9" t="n"/>
      <c r="D170" s="9" t="n"/>
      <c r="E170" s="9" t="n"/>
      <c r="F170" s="9" t="n"/>
      <c r="G170" s="9" t="n"/>
      <c r="H170" s="9" t="n"/>
      <c r="I170" s="9" t="n"/>
      <c r="J170" s="3" t="n"/>
      <c r="K170" s="9" t="n"/>
    </row>
    <row r="171">
      <c r="A171" s="4" t="n"/>
      <c r="B171" s="9">
        <f>IF(A171="","",IF(DAY(A171)&lt;=2,1,IF(DAY(A171)&lt;=9,2,IF(DAY(A171)&lt;=16,3,IF(DAY(A171)&lt;=23,4,5)))))</f>
        <v/>
      </c>
      <c r="C171" s="9" t="n"/>
      <c r="D171" s="9" t="n"/>
      <c r="E171" s="9" t="n"/>
      <c r="F171" s="9" t="n"/>
      <c r="G171" s="9" t="n"/>
      <c r="H171" s="9" t="n"/>
      <c r="I171" s="9" t="n"/>
      <c r="J171" s="3" t="n"/>
      <c r="K171" s="9" t="n"/>
    </row>
    <row r="172">
      <c r="A172" s="4" t="n"/>
      <c r="B172" s="9">
        <f>IF(A172="","",IF(DAY(A172)&lt;=2,1,IF(DAY(A172)&lt;=9,2,IF(DAY(A172)&lt;=16,3,IF(DAY(A172)&lt;=23,4,5)))))</f>
        <v/>
      </c>
      <c r="C172" s="9" t="n"/>
      <c r="D172" s="9" t="n"/>
      <c r="E172" s="9" t="n"/>
      <c r="F172" s="9" t="n"/>
      <c r="G172" s="9" t="n"/>
      <c r="H172" s="9" t="n"/>
      <c r="I172" s="9" t="n"/>
      <c r="J172" s="3" t="n"/>
      <c r="K172" s="9" t="n"/>
    </row>
    <row r="173">
      <c r="A173" s="4" t="n"/>
      <c r="B173" s="9">
        <f>IF(A173="","",IF(DAY(A173)&lt;=2,1,IF(DAY(A173)&lt;=9,2,IF(DAY(A173)&lt;=16,3,IF(DAY(A173)&lt;=23,4,5)))))</f>
        <v/>
      </c>
      <c r="C173" s="9" t="n"/>
      <c r="D173" s="9" t="n"/>
      <c r="E173" s="9" t="n"/>
      <c r="F173" s="9" t="n"/>
      <c r="G173" s="9" t="n"/>
      <c r="H173" s="9" t="n"/>
      <c r="I173" s="9" t="n"/>
      <c r="J173" s="3" t="n"/>
      <c r="K173" s="9" t="n"/>
    </row>
    <row r="174">
      <c r="A174" s="4" t="n"/>
      <c r="B174" s="9">
        <f>IF(A174="","",IF(DAY(A174)&lt;=2,1,IF(DAY(A174)&lt;=9,2,IF(DAY(A174)&lt;=16,3,IF(DAY(A174)&lt;=23,4,5)))))</f>
        <v/>
      </c>
      <c r="C174" s="9" t="n"/>
      <c r="D174" s="9" t="n"/>
      <c r="E174" s="9" t="n"/>
      <c r="F174" s="9" t="n"/>
      <c r="G174" s="9" t="n"/>
      <c r="H174" s="9" t="n"/>
      <c r="I174" s="9" t="n"/>
      <c r="J174" s="3" t="n"/>
      <c r="K174" s="9" t="n"/>
    </row>
    <row r="175">
      <c r="A175" s="4" t="n"/>
      <c r="B175" s="9">
        <f>IF(A175="","",IF(DAY(A175)&lt;=2,1,IF(DAY(A175)&lt;=9,2,IF(DAY(A175)&lt;=16,3,IF(DAY(A175)&lt;=23,4,5)))))</f>
        <v/>
      </c>
      <c r="C175" s="9" t="n"/>
      <c r="D175" s="9" t="n"/>
      <c r="E175" s="9" t="n"/>
      <c r="F175" s="9" t="n"/>
      <c r="G175" s="9" t="n"/>
      <c r="H175" s="9" t="n"/>
      <c r="I175" s="9" t="n"/>
      <c r="J175" s="3" t="n"/>
      <c r="K175" s="9" t="n"/>
    </row>
    <row r="176">
      <c r="A176" s="4" t="n"/>
      <c r="B176" s="9">
        <f>IF(A176="","",IF(DAY(A176)&lt;=2,1,IF(DAY(A176)&lt;=9,2,IF(DAY(A176)&lt;=16,3,IF(DAY(A176)&lt;=23,4,5)))))</f>
        <v/>
      </c>
      <c r="C176" s="9" t="n"/>
      <c r="D176" s="9" t="n"/>
      <c r="E176" s="9" t="n"/>
      <c r="F176" s="9" t="n"/>
      <c r="G176" s="9" t="n"/>
      <c r="H176" s="9" t="n"/>
      <c r="I176" s="9" t="n"/>
      <c r="J176" s="3" t="n"/>
      <c r="K176" s="9" t="n"/>
    </row>
    <row r="177">
      <c r="A177" s="4" t="n"/>
      <c r="B177" s="9">
        <f>IF(A177="","",IF(DAY(A177)&lt;=2,1,IF(DAY(A177)&lt;=9,2,IF(DAY(A177)&lt;=16,3,IF(DAY(A177)&lt;=23,4,5)))))</f>
        <v/>
      </c>
      <c r="C177" s="9" t="n"/>
      <c r="D177" s="9" t="n"/>
      <c r="E177" s="9" t="n"/>
      <c r="F177" s="9" t="n"/>
      <c r="G177" s="9" t="n"/>
      <c r="H177" s="9" t="n"/>
      <c r="I177" s="9" t="n"/>
      <c r="J177" s="3" t="n"/>
      <c r="K177" s="9" t="n"/>
    </row>
    <row r="178">
      <c r="A178" s="4" t="n"/>
      <c r="B178" s="9">
        <f>IF(A178="","",IF(DAY(A178)&lt;=2,1,IF(DAY(A178)&lt;=9,2,IF(DAY(A178)&lt;=16,3,IF(DAY(A178)&lt;=23,4,5)))))</f>
        <v/>
      </c>
      <c r="C178" s="9" t="n"/>
      <c r="D178" s="9" t="n"/>
      <c r="E178" s="9" t="n"/>
      <c r="F178" s="9" t="n"/>
      <c r="G178" s="9" t="n"/>
      <c r="H178" s="9" t="n"/>
      <c r="I178" s="9" t="n"/>
      <c r="J178" s="3" t="n"/>
      <c r="K178" s="9" t="n"/>
    </row>
    <row r="179">
      <c r="A179" s="4" t="n"/>
      <c r="B179" s="9">
        <f>IF(A179="","",IF(DAY(A179)&lt;=2,1,IF(DAY(A179)&lt;=9,2,IF(DAY(A179)&lt;=16,3,IF(DAY(A179)&lt;=23,4,5)))))</f>
        <v/>
      </c>
      <c r="C179" s="9" t="n"/>
      <c r="D179" s="9" t="n"/>
      <c r="E179" s="9" t="n"/>
      <c r="F179" s="9" t="n"/>
      <c r="G179" s="9" t="n"/>
      <c r="H179" s="9" t="n"/>
      <c r="I179" s="9" t="n"/>
      <c r="J179" s="3" t="n"/>
      <c r="K179" s="9" t="n"/>
    </row>
    <row r="180">
      <c r="A180" s="4" t="n"/>
      <c r="B180" s="9">
        <f>IF(A180="","",IF(DAY(A180)&lt;=2,1,IF(DAY(A180)&lt;=9,2,IF(DAY(A180)&lt;=16,3,IF(DAY(A180)&lt;=23,4,5)))))</f>
        <v/>
      </c>
      <c r="C180" s="9" t="n"/>
      <c r="D180" s="9" t="n"/>
      <c r="E180" s="9" t="n"/>
      <c r="F180" s="9" t="n"/>
      <c r="G180" s="9" t="n"/>
      <c r="H180" s="9" t="n"/>
      <c r="I180" s="9" t="n"/>
      <c r="J180" s="3" t="n"/>
      <c r="K180" s="9" t="n"/>
    </row>
    <row r="181">
      <c r="A181" s="4" t="n"/>
      <c r="B181" s="9">
        <f>IF(A181="","",IF(DAY(A181)&lt;=2,1,IF(DAY(A181)&lt;=9,2,IF(DAY(A181)&lt;=16,3,IF(DAY(A181)&lt;=23,4,5)))))</f>
        <v/>
      </c>
      <c r="C181" s="9" t="n"/>
      <c r="D181" s="9" t="n"/>
      <c r="E181" s="9" t="n"/>
      <c r="F181" s="9" t="n"/>
      <c r="G181" s="9" t="n"/>
      <c r="H181" s="9" t="n"/>
      <c r="I181" s="9" t="n"/>
      <c r="J181" s="3" t="n"/>
      <c r="K181" s="9" t="n"/>
    </row>
    <row r="182">
      <c r="A182" s="4" t="n"/>
      <c r="B182" s="9">
        <f>IF(A182="","",IF(DAY(A182)&lt;=2,1,IF(DAY(A182)&lt;=9,2,IF(DAY(A182)&lt;=16,3,IF(DAY(A182)&lt;=23,4,5)))))</f>
        <v/>
      </c>
      <c r="C182" s="9" t="n"/>
      <c r="D182" s="9" t="n"/>
      <c r="E182" s="9" t="n"/>
      <c r="F182" s="9" t="n"/>
      <c r="G182" s="9" t="n"/>
      <c r="H182" s="9" t="n"/>
      <c r="I182" s="9" t="n"/>
      <c r="J182" s="3" t="n"/>
      <c r="K182" s="9" t="n"/>
    </row>
    <row r="183">
      <c r="A183" s="4" t="n"/>
      <c r="B183" s="9">
        <f>IF(A183="","",IF(DAY(A183)&lt;=2,1,IF(DAY(A183)&lt;=9,2,IF(DAY(A183)&lt;=16,3,IF(DAY(A183)&lt;=23,4,5)))))</f>
        <v/>
      </c>
      <c r="C183" s="9" t="n"/>
      <c r="D183" s="9" t="n"/>
      <c r="E183" s="9" t="n"/>
      <c r="F183" s="9" t="n"/>
      <c r="G183" s="9" t="n"/>
      <c r="H183" s="9" t="n"/>
      <c r="I183" s="9" t="n"/>
      <c r="J183" s="3" t="n"/>
      <c r="K183" s="9" t="n"/>
    </row>
    <row r="184">
      <c r="A184" s="4" t="n"/>
      <c r="B184" s="9">
        <f>IF(A184="","",IF(DAY(A184)&lt;=2,1,IF(DAY(A184)&lt;=9,2,IF(DAY(A184)&lt;=16,3,IF(DAY(A184)&lt;=23,4,5)))))</f>
        <v/>
      </c>
      <c r="C184" s="9" t="n"/>
      <c r="D184" s="9" t="n"/>
      <c r="E184" s="9" t="n"/>
      <c r="F184" s="9" t="n"/>
      <c r="G184" s="9" t="n"/>
      <c r="H184" s="9" t="n"/>
      <c r="I184" s="9" t="n"/>
      <c r="J184" s="3" t="n"/>
      <c r="K184" s="9" t="n"/>
    </row>
    <row r="185">
      <c r="A185" s="4" t="n"/>
      <c r="B185" s="9">
        <f>IF(A185="","",IF(DAY(A185)&lt;=2,1,IF(DAY(A185)&lt;=9,2,IF(DAY(A185)&lt;=16,3,IF(DAY(A185)&lt;=23,4,5)))))</f>
        <v/>
      </c>
      <c r="C185" s="9" t="n"/>
      <c r="D185" s="9" t="n"/>
      <c r="E185" s="9" t="n"/>
      <c r="F185" s="9" t="n"/>
      <c r="G185" s="9" t="n"/>
      <c r="H185" s="9" t="n"/>
      <c r="I185" s="9" t="n"/>
      <c r="J185" s="3" t="n"/>
      <c r="K185" s="9" t="n"/>
    </row>
    <row r="186">
      <c r="A186" s="4" t="n"/>
      <c r="B186" s="9">
        <f>IF(A186="","",IF(DAY(A186)&lt;=2,1,IF(DAY(A186)&lt;=9,2,IF(DAY(A186)&lt;=16,3,IF(DAY(A186)&lt;=23,4,5)))))</f>
        <v/>
      </c>
      <c r="C186" s="9" t="n"/>
      <c r="D186" s="9" t="n"/>
      <c r="E186" s="9" t="n"/>
      <c r="F186" s="9" t="n"/>
      <c r="G186" s="9" t="n"/>
      <c r="H186" s="9" t="n"/>
      <c r="I186" s="9" t="n"/>
      <c r="J186" s="3" t="n"/>
      <c r="K186" s="9" t="n"/>
    </row>
    <row r="187">
      <c r="A187" s="4" t="n"/>
      <c r="B187" s="9">
        <f>IF(A187="","",IF(DAY(A187)&lt;=2,1,IF(DAY(A187)&lt;=9,2,IF(DAY(A187)&lt;=16,3,IF(DAY(A187)&lt;=23,4,5)))))</f>
        <v/>
      </c>
      <c r="C187" s="9" t="n"/>
      <c r="D187" s="9" t="n"/>
      <c r="E187" s="9" t="n"/>
      <c r="F187" s="9" t="n"/>
      <c r="G187" s="9" t="n"/>
      <c r="H187" s="9" t="n"/>
      <c r="I187" s="9" t="n"/>
      <c r="J187" s="3" t="n"/>
      <c r="K187" s="9" t="n"/>
    </row>
    <row r="188">
      <c r="A188" s="4" t="n"/>
      <c r="B188" s="9">
        <f>IF(A188="","",IF(DAY(A188)&lt;=2,1,IF(DAY(A188)&lt;=9,2,IF(DAY(A188)&lt;=16,3,IF(DAY(A188)&lt;=23,4,5)))))</f>
        <v/>
      </c>
      <c r="C188" s="9" t="n"/>
      <c r="D188" s="9" t="n"/>
      <c r="E188" s="9" t="n"/>
      <c r="F188" s="9" t="n"/>
      <c r="G188" s="9" t="n"/>
      <c r="H188" s="9" t="n"/>
      <c r="I188" s="9" t="n"/>
      <c r="J188" s="3" t="n"/>
      <c r="K188" s="9" t="n"/>
    </row>
    <row r="189">
      <c r="A189" s="4" t="n"/>
      <c r="B189" s="9">
        <f>IF(A189="","",IF(DAY(A189)&lt;=2,1,IF(DAY(A189)&lt;=9,2,IF(DAY(A189)&lt;=16,3,IF(DAY(A189)&lt;=23,4,5)))))</f>
        <v/>
      </c>
      <c r="C189" s="9" t="n"/>
      <c r="D189" s="9" t="n"/>
      <c r="E189" s="9" t="n"/>
      <c r="F189" s="9" t="n"/>
      <c r="G189" s="9" t="n"/>
      <c r="H189" s="9" t="n"/>
      <c r="I189" s="9" t="n"/>
      <c r="J189" s="3" t="n"/>
      <c r="K189" s="9" t="n"/>
    </row>
    <row r="190">
      <c r="A190" s="4" t="n"/>
      <c r="B190" s="9">
        <f>IF(A190="","",IF(DAY(A190)&lt;=2,1,IF(DAY(A190)&lt;=9,2,IF(DAY(A190)&lt;=16,3,IF(DAY(A190)&lt;=23,4,5)))))</f>
        <v/>
      </c>
      <c r="C190" s="9" t="n"/>
      <c r="D190" s="9" t="n"/>
      <c r="E190" s="9" t="n"/>
      <c r="F190" s="9" t="n"/>
      <c r="G190" s="9" t="n"/>
      <c r="H190" s="9" t="n"/>
      <c r="I190" s="9" t="n"/>
      <c r="J190" s="3" t="n"/>
      <c r="K190" s="9" t="n"/>
    </row>
    <row r="191">
      <c r="A191" s="4" t="n"/>
      <c r="B191" s="9">
        <f>IF(A191="","",IF(DAY(A191)&lt;=2,1,IF(DAY(A191)&lt;=9,2,IF(DAY(A191)&lt;=16,3,IF(DAY(A191)&lt;=23,4,5)))))</f>
        <v/>
      </c>
      <c r="C191" s="9" t="n"/>
      <c r="D191" s="9" t="n"/>
      <c r="E191" s="9" t="n"/>
      <c r="F191" s="9" t="n"/>
      <c r="G191" s="9" t="n"/>
      <c r="H191" s="9" t="n"/>
      <c r="I191" s="9" t="n"/>
      <c r="J191" s="3" t="n"/>
      <c r="K191" s="9" t="n"/>
    </row>
    <row r="192">
      <c r="A192" s="4" t="n"/>
      <c r="B192" s="9">
        <f>IF(A192="","",IF(DAY(A192)&lt;=2,1,IF(DAY(A192)&lt;=9,2,IF(DAY(A192)&lt;=16,3,IF(DAY(A192)&lt;=23,4,5)))))</f>
        <v/>
      </c>
      <c r="C192" s="9" t="n"/>
      <c r="D192" s="9" t="n"/>
      <c r="E192" s="9" t="n"/>
      <c r="F192" s="9" t="n"/>
      <c r="G192" s="9" t="n"/>
      <c r="H192" s="9" t="n"/>
      <c r="I192" s="9" t="n"/>
      <c r="J192" s="3" t="n"/>
      <c r="K192" s="9" t="n"/>
    </row>
    <row r="193">
      <c r="A193" s="4" t="n"/>
      <c r="B193" s="9">
        <f>IF(A193="","",IF(DAY(A193)&lt;=2,1,IF(DAY(A193)&lt;=9,2,IF(DAY(A193)&lt;=16,3,IF(DAY(A193)&lt;=23,4,5)))))</f>
        <v/>
      </c>
      <c r="C193" s="9" t="n"/>
      <c r="D193" s="9" t="n"/>
      <c r="E193" s="9" t="n"/>
      <c r="F193" s="9" t="n"/>
      <c r="G193" s="9" t="n"/>
      <c r="H193" s="9" t="n"/>
      <c r="I193" s="9" t="n"/>
      <c r="J193" s="3" t="n"/>
      <c r="K193" s="9" t="n"/>
    </row>
    <row r="194">
      <c r="A194" s="4" t="n"/>
      <c r="B194" s="9">
        <f>IF(A194="","",IF(DAY(A194)&lt;=2,1,IF(DAY(A194)&lt;=9,2,IF(DAY(A194)&lt;=16,3,IF(DAY(A194)&lt;=23,4,5)))))</f>
        <v/>
      </c>
      <c r="C194" s="9" t="n"/>
      <c r="D194" s="9" t="n"/>
      <c r="E194" s="9" t="n"/>
      <c r="F194" s="9" t="n"/>
      <c r="G194" s="9" t="n"/>
      <c r="H194" s="9" t="n"/>
      <c r="I194" s="9" t="n"/>
      <c r="J194" s="3" t="n"/>
      <c r="K194" s="9" t="n"/>
    </row>
    <row r="195">
      <c r="A195" s="4" t="n"/>
      <c r="B195" s="9">
        <f>IF(A195="","",IF(DAY(A195)&lt;=2,1,IF(DAY(A195)&lt;=9,2,IF(DAY(A195)&lt;=16,3,IF(DAY(A195)&lt;=23,4,5)))))</f>
        <v/>
      </c>
      <c r="C195" s="9" t="n"/>
      <c r="D195" s="9" t="n"/>
      <c r="E195" s="9" t="n"/>
      <c r="F195" s="9" t="n"/>
      <c r="G195" s="9" t="n"/>
      <c r="H195" s="9" t="n"/>
      <c r="I195" s="9" t="n"/>
      <c r="J195" s="3" t="n"/>
      <c r="K195" s="9" t="n"/>
    </row>
    <row r="196">
      <c r="A196" s="4" t="n"/>
      <c r="B196" s="9">
        <f>IF(A196="","",IF(DAY(A196)&lt;=2,1,IF(DAY(A196)&lt;=9,2,IF(DAY(A196)&lt;=16,3,IF(DAY(A196)&lt;=23,4,5)))))</f>
        <v/>
      </c>
      <c r="C196" s="9" t="n"/>
      <c r="D196" s="9" t="n"/>
      <c r="E196" s="9" t="n"/>
      <c r="F196" s="9" t="n"/>
      <c r="G196" s="9" t="n"/>
      <c r="H196" s="9" t="n"/>
      <c r="I196" s="9" t="n"/>
      <c r="J196" s="3" t="n"/>
      <c r="K196" s="9" t="n"/>
    </row>
    <row r="197">
      <c r="A197" s="4" t="n"/>
      <c r="B197" s="9">
        <f>IF(A197="","",IF(DAY(A197)&lt;=2,1,IF(DAY(A197)&lt;=9,2,IF(DAY(A197)&lt;=16,3,IF(DAY(A197)&lt;=23,4,5)))))</f>
        <v/>
      </c>
      <c r="C197" s="9" t="n"/>
      <c r="D197" s="9" t="n"/>
      <c r="E197" s="9" t="n"/>
      <c r="F197" s="9" t="n"/>
      <c r="G197" s="9" t="n"/>
      <c r="H197" s="9" t="n"/>
      <c r="I197" s="9" t="n"/>
      <c r="J197" s="3" t="n"/>
      <c r="K197" s="9" t="n"/>
    </row>
    <row r="198">
      <c r="A198" s="4" t="n"/>
      <c r="B198" s="9">
        <f>IF(A198="","",IF(DAY(A198)&lt;=2,1,IF(DAY(A198)&lt;=9,2,IF(DAY(A198)&lt;=16,3,IF(DAY(A198)&lt;=23,4,5)))))</f>
        <v/>
      </c>
      <c r="C198" s="9" t="n"/>
      <c r="D198" s="9" t="n"/>
      <c r="E198" s="9" t="n"/>
      <c r="F198" s="9" t="n"/>
      <c r="G198" s="9" t="n"/>
      <c r="H198" s="9" t="n"/>
      <c r="I198" s="9" t="n"/>
      <c r="J198" s="3" t="n"/>
      <c r="K198" s="9" t="n"/>
    </row>
    <row r="199">
      <c r="A199" s="4" t="n"/>
      <c r="B199" s="9">
        <f>IF(A199="","",IF(DAY(A199)&lt;=2,1,IF(DAY(A199)&lt;=9,2,IF(DAY(A199)&lt;=16,3,IF(DAY(A199)&lt;=23,4,5)))))</f>
        <v/>
      </c>
      <c r="C199" s="9" t="n"/>
      <c r="D199" s="9" t="n"/>
      <c r="E199" s="9" t="n"/>
      <c r="F199" s="9" t="n"/>
      <c r="G199" s="9" t="n"/>
      <c r="H199" s="9" t="n"/>
      <c r="I199" s="9" t="n"/>
      <c r="J199" s="3" t="n"/>
      <c r="K199" s="9" t="n"/>
    </row>
    <row r="200">
      <c r="A200" s="4" t="n"/>
      <c r="B200" s="9">
        <f>IF(A200="","",IF(DAY(A200)&lt;=2,1,IF(DAY(A200)&lt;=9,2,IF(DAY(A200)&lt;=16,3,IF(DAY(A200)&lt;=23,4,5)))))</f>
        <v/>
      </c>
      <c r="C200" s="9" t="n"/>
      <c r="D200" s="9" t="n"/>
      <c r="E200" s="9" t="n"/>
      <c r="F200" s="9" t="n"/>
      <c r="G200" s="9" t="n"/>
      <c r="H200" s="9" t="n"/>
      <c r="I200" s="9" t="n"/>
      <c r="J200" s="3" t="n"/>
      <c r="K200" s="9" t="n"/>
    </row>
    <row r="201">
      <c r="A201" s="4" t="n"/>
      <c r="B201" s="9">
        <f>IF(A201="","",IF(DAY(A201)&lt;=2,1,IF(DAY(A201)&lt;=9,2,IF(DAY(A201)&lt;=16,3,IF(DAY(A201)&lt;=23,4,5)))))</f>
        <v/>
      </c>
      <c r="C201" s="9" t="n"/>
      <c r="D201" s="9" t="n"/>
      <c r="E201" s="9" t="n"/>
      <c r="F201" s="9" t="n"/>
      <c r="G201" s="9" t="n"/>
      <c r="H201" s="9" t="n"/>
      <c r="I201" s="9" t="n"/>
      <c r="J201" s="3" t="n"/>
      <c r="K201" s="9" t="n"/>
    </row>
    <row r="202">
      <c r="A202" s="4" t="n"/>
      <c r="B202" s="9">
        <f>IF(A202="","",IF(DAY(A202)&lt;=2,1,IF(DAY(A202)&lt;=9,2,IF(DAY(A202)&lt;=16,3,IF(DAY(A202)&lt;=23,4,5)))))</f>
        <v/>
      </c>
      <c r="C202" s="9" t="n"/>
      <c r="D202" s="9" t="n"/>
      <c r="E202" s="9" t="n"/>
      <c r="F202" s="9" t="n"/>
      <c r="G202" s="9" t="n"/>
      <c r="H202" s="9" t="n"/>
      <c r="I202" s="9" t="n"/>
      <c r="J202" s="3" t="n"/>
      <c r="K202" s="9" t="n"/>
    </row>
    <row r="203">
      <c r="A203" s="4" t="n"/>
      <c r="B203" s="9">
        <f>IF(A203="","",IF(DAY(A203)&lt;=2,1,IF(DAY(A203)&lt;=9,2,IF(DAY(A203)&lt;=16,3,IF(DAY(A203)&lt;=23,4,5)))))</f>
        <v/>
      </c>
      <c r="C203" s="9" t="n"/>
      <c r="D203" s="9" t="n"/>
      <c r="E203" s="9" t="n"/>
      <c r="F203" s="9" t="n"/>
      <c r="G203" s="9" t="n"/>
      <c r="H203" s="9" t="n"/>
      <c r="I203" s="9" t="n"/>
      <c r="J203" s="3" t="n"/>
      <c r="K203" s="9" t="n"/>
    </row>
    <row r="204">
      <c r="A204" s="4" t="n"/>
      <c r="B204" s="9">
        <f>IF(A204="","",IF(DAY(A204)&lt;=2,1,IF(DAY(A204)&lt;=9,2,IF(DAY(A204)&lt;=16,3,IF(DAY(A204)&lt;=23,4,5)))))</f>
        <v/>
      </c>
      <c r="C204" s="9" t="n"/>
      <c r="D204" s="9" t="n"/>
      <c r="E204" s="9" t="n"/>
      <c r="F204" s="9" t="n"/>
      <c r="G204" s="9" t="n"/>
      <c r="H204" s="9" t="n"/>
      <c r="I204" s="9" t="n"/>
      <c r="J204" s="3" t="n"/>
      <c r="K204" s="9" t="n"/>
    </row>
    <row r="205">
      <c r="A205" s="4" t="n"/>
      <c r="B205" s="9">
        <f>IF(A205="","",IF(DAY(A205)&lt;=2,1,IF(DAY(A205)&lt;=9,2,IF(DAY(A205)&lt;=16,3,IF(DAY(A205)&lt;=23,4,5)))))</f>
        <v/>
      </c>
      <c r="C205" s="9" t="n"/>
      <c r="D205" s="9" t="n"/>
      <c r="E205" s="9" t="n"/>
      <c r="F205" s="9" t="n"/>
      <c r="G205" s="9" t="n"/>
      <c r="H205" s="9" t="n"/>
      <c r="I205" s="9" t="n"/>
      <c r="J205" s="3" t="n"/>
      <c r="K205" s="9" t="n"/>
    </row>
    <row r="206">
      <c r="A206" s="4" t="n"/>
      <c r="B206" s="9">
        <f>IF(A206="","",IF(DAY(A206)&lt;=2,1,IF(DAY(A206)&lt;=9,2,IF(DAY(A206)&lt;=16,3,IF(DAY(A206)&lt;=23,4,5)))))</f>
        <v/>
      </c>
      <c r="C206" s="9" t="n"/>
      <c r="D206" s="9" t="n"/>
      <c r="E206" s="9" t="n"/>
      <c r="F206" s="9" t="n"/>
      <c r="G206" s="9" t="n"/>
      <c r="H206" s="9" t="n"/>
      <c r="I206" s="9" t="n"/>
      <c r="J206" s="3" t="n"/>
      <c r="K206" s="9" t="n"/>
    </row>
    <row r="207">
      <c r="A207" s="4" t="n"/>
      <c r="B207" s="9">
        <f>IF(A207="","",IF(DAY(A207)&lt;=2,1,IF(DAY(A207)&lt;=9,2,IF(DAY(A207)&lt;=16,3,IF(DAY(A207)&lt;=23,4,5)))))</f>
        <v/>
      </c>
      <c r="C207" s="9" t="n"/>
      <c r="D207" s="9" t="n"/>
      <c r="E207" s="9" t="n"/>
      <c r="F207" s="9" t="n"/>
      <c r="G207" s="9" t="n"/>
      <c r="H207" s="9" t="n"/>
      <c r="I207" s="9" t="n"/>
      <c r="J207" s="3" t="n"/>
      <c r="K207" s="9" t="n"/>
    </row>
    <row r="208">
      <c r="A208" s="4" t="n"/>
      <c r="B208" s="9">
        <f>IF(A208="","",IF(DAY(A208)&lt;=2,1,IF(DAY(A208)&lt;=9,2,IF(DAY(A208)&lt;=16,3,IF(DAY(A208)&lt;=23,4,5)))))</f>
        <v/>
      </c>
      <c r="C208" s="9" t="n"/>
      <c r="D208" s="9" t="n"/>
      <c r="E208" s="9" t="n"/>
      <c r="F208" s="9" t="n"/>
      <c r="G208" s="9" t="n"/>
      <c r="H208" s="9" t="n"/>
      <c r="I208" s="9" t="n"/>
      <c r="J208" s="3" t="n"/>
      <c r="K208" s="9" t="n"/>
    </row>
    <row r="209">
      <c r="A209" s="4" t="n"/>
      <c r="B209" s="9">
        <f>IF(A209="","",IF(DAY(A209)&lt;=2,1,IF(DAY(A209)&lt;=9,2,IF(DAY(A209)&lt;=16,3,IF(DAY(A209)&lt;=23,4,5)))))</f>
        <v/>
      </c>
      <c r="C209" s="9" t="n"/>
      <c r="D209" s="9" t="n"/>
      <c r="E209" s="9" t="n"/>
      <c r="F209" s="9" t="n"/>
      <c r="G209" s="9" t="n"/>
      <c r="H209" s="9" t="n"/>
      <c r="I209" s="9" t="n"/>
      <c r="J209" s="3" t="n"/>
      <c r="K209" s="9" t="n"/>
    </row>
    <row r="210">
      <c r="A210" s="4" t="n"/>
      <c r="B210" s="9">
        <f>IF(A210="","",IF(DAY(A210)&lt;=2,1,IF(DAY(A210)&lt;=9,2,IF(DAY(A210)&lt;=16,3,IF(DAY(A210)&lt;=23,4,5)))))</f>
        <v/>
      </c>
      <c r="C210" s="9" t="n"/>
      <c r="D210" s="9" t="n"/>
      <c r="E210" s="9" t="n"/>
      <c r="F210" s="9" t="n"/>
      <c r="G210" s="9" t="n"/>
      <c r="H210" s="9" t="n"/>
      <c r="I210" s="9" t="n"/>
      <c r="J210" s="3" t="n"/>
      <c r="K210" s="9" t="n"/>
    </row>
    <row r="211">
      <c r="A211" s="4" t="n"/>
      <c r="B211" s="9">
        <f>IF(A211="","",IF(DAY(A211)&lt;=2,1,IF(DAY(A211)&lt;=9,2,IF(DAY(A211)&lt;=16,3,IF(DAY(A211)&lt;=23,4,5)))))</f>
        <v/>
      </c>
      <c r="C211" s="9" t="n"/>
      <c r="D211" s="9" t="n"/>
      <c r="E211" s="9" t="n"/>
      <c r="F211" s="9" t="n"/>
      <c r="G211" s="9" t="n"/>
      <c r="H211" s="9" t="n"/>
      <c r="I211" s="9" t="n"/>
      <c r="J211" s="3" t="n"/>
      <c r="K211" s="9" t="n"/>
    </row>
    <row r="212">
      <c r="A212" s="4" t="n"/>
      <c r="B212" s="9">
        <f>IF(A212="","",IF(DAY(A212)&lt;=2,1,IF(DAY(A212)&lt;=9,2,IF(DAY(A212)&lt;=16,3,IF(DAY(A212)&lt;=23,4,5)))))</f>
        <v/>
      </c>
      <c r="C212" s="9" t="n"/>
      <c r="D212" s="9" t="n"/>
      <c r="E212" s="9" t="n"/>
      <c r="F212" s="9" t="n"/>
      <c r="G212" s="9" t="n"/>
      <c r="H212" s="9" t="n"/>
      <c r="I212" s="9" t="n"/>
      <c r="J212" s="3" t="n"/>
      <c r="K212" s="9" t="n"/>
    </row>
    <row r="213">
      <c r="A213" s="4" t="n"/>
      <c r="B213" s="9">
        <f>IF(A213="","",IF(DAY(A213)&lt;=2,1,IF(DAY(A213)&lt;=9,2,IF(DAY(A213)&lt;=16,3,IF(DAY(A213)&lt;=23,4,5)))))</f>
        <v/>
      </c>
      <c r="C213" s="9" t="n"/>
      <c r="D213" s="9" t="n"/>
      <c r="E213" s="9" t="n"/>
      <c r="F213" s="9" t="n"/>
      <c r="G213" s="9" t="n"/>
      <c r="H213" s="9" t="n"/>
      <c r="I213" s="9" t="n"/>
      <c r="J213" s="3" t="n"/>
      <c r="K213" s="9" t="n"/>
    </row>
    <row r="214">
      <c r="A214" s="4" t="n"/>
      <c r="B214" s="9">
        <f>IF(A214="","",IF(DAY(A214)&lt;=2,1,IF(DAY(A214)&lt;=9,2,IF(DAY(A214)&lt;=16,3,IF(DAY(A214)&lt;=23,4,5)))))</f>
        <v/>
      </c>
      <c r="C214" s="9" t="n"/>
      <c r="D214" s="9" t="n"/>
      <c r="E214" s="9" t="n"/>
      <c r="F214" s="9" t="n"/>
      <c r="G214" s="9" t="n"/>
      <c r="H214" s="9" t="n"/>
      <c r="I214" s="9" t="n"/>
      <c r="J214" s="3" t="n"/>
      <c r="K214" s="9" t="n"/>
    </row>
    <row r="215">
      <c r="A215" s="4" t="n"/>
      <c r="B215" s="9">
        <f>IF(A215="","",IF(DAY(A215)&lt;=2,1,IF(DAY(A215)&lt;=9,2,IF(DAY(A215)&lt;=16,3,IF(DAY(A215)&lt;=23,4,5)))))</f>
        <v/>
      </c>
      <c r="C215" s="9" t="n"/>
      <c r="D215" s="9" t="n"/>
      <c r="E215" s="9" t="n"/>
      <c r="F215" s="9" t="n"/>
      <c r="G215" s="9" t="n"/>
      <c r="H215" s="9" t="n"/>
      <c r="I215" s="9" t="n"/>
      <c r="J215" s="3" t="n"/>
      <c r="K215" s="9" t="n"/>
    </row>
    <row r="216">
      <c r="A216" s="4" t="n"/>
      <c r="B216" s="9">
        <f>IF(A216="","",IF(DAY(A216)&lt;=2,1,IF(DAY(A216)&lt;=9,2,IF(DAY(A216)&lt;=16,3,IF(DAY(A216)&lt;=23,4,5)))))</f>
        <v/>
      </c>
      <c r="C216" s="9" t="n"/>
      <c r="D216" s="9" t="n"/>
      <c r="E216" s="9" t="n"/>
      <c r="F216" s="9" t="n"/>
      <c r="G216" s="9" t="n"/>
      <c r="H216" s="9" t="n"/>
      <c r="I216" s="9" t="n"/>
      <c r="J216" s="3" t="n"/>
      <c r="K216" s="9" t="n"/>
    </row>
    <row r="217">
      <c r="A217" s="4" t="n"/>
      <c r="B217" s="9">
        <f>IF(A217="","",IF(DAY(A217)&lt;=2,1,IF(DAY(A217)&lt;=9,2,IF(DAY(A217)&lt;=16,3,IF(DAY(A217)&lt;=23,4,5)))))</f>
        <v/>
      </c>
      <c r="C217" s="9" t="n"/>
      <c r="D217" s="9" t="n"/>
      <c r="E217" s="9" t="n"/>
      <c r="F217" s="9" t="n"/>
      <c r="G217" s="9" t="n"/>
      <c r="H217" s="9" t="n"/>
      <c r="I217" s="9" t="n"/>
      <c r="J217" s="3" t="n"/>
      <c r="K217" s="9" t="n"/>
    </row>
    <row r="218">
      <c r="A218" s="4" t="n"/>
      <c r="B218" s="9">
        <f>IF(A218="","",IF(DAY(A218)&lt;=2,1,IF(DAY(A218)&lt;=9,2,IF(DAY(A218)&lt;=16,3,IF(DAY(A218)&lt;=23,4,5)))))</f>
        <v/>
      </c>
      <c r="C218" s="9" t="n"/>
      <c r="D218" s="9" t="n"/>
      <c r="E218" s="9" t="n"/>
      <c r="F218" s="9" t="n"/>
      <c r="G218" s="9" t="n"/>
      <c r="H218" s="9" t="n"/>
      <c r="I218" s="9" t="n"/>
      <c r="J218" s="3" t="n"/>
      <c r="K218" s="9" t="n"/>
    </row>
    <row r="219">
      <c r="A219" s="4" t="n"/>
      <c r="B219" s="9">
        <f>IF(A219="","",IF(DAY(A219)&lt;=2,1,IF(DAY(A219)&lt;=9,2,IF(DAY(A219)&lt;=16,3,IF(DAY(A219)&lt;=23,4,5)))))</f>
        <v/>
      </c>
      <c r="C219" s="9" t="n"/>
      <c r="D219" s="9" t="n"/>
      <c r="E219" s="9" t="n"/>
      <c r="F219" s="9" t="n"/>
      <c r="G219" s="9" t="n"/>
      <c r="H219" s="9" t="n"/>
      <c r="I219" s="9" t="n"/>
      <c r="J219" s="3" t="n"/>
      <c r="K219" s="9" t="n"/>
    </row>
    <row r="220">
      <c r="A220" s="4" t="n"/>
      <c r="B220" s="9">
        <f>IF(A220="","",IF(DAY(A220)&lt;=2,1,IF(DAY(A220)&lt;=9,2,IF(DAY(A220)&lt;=16,3,IF(DAY(A220)&lt;=23,4,5)))))</f>
        <v/>
      </c>
      <c r="C220" s="9" t="n"/>
      <c r="D220" s="9" t="n"/>
      <c r="E220" s="9" t="n"/>
      <c r="F220" s="9" t="n"/>
      <c r="G220" s="9" t="n"/>
      <c r="H220" s="9" t="n"/>
      <c r="I220" s="9" t="n"/>
      <c r="J220" s="3" t="n"/>
      <c r="K220" s="9" t="n"/>
    </row>
    <row r="221">
      <c r="A221" s="4" t="n"/>
      <c r="B221" s="9">
        <f>IF(A221="","",IF(DAY(A221)&lt;=2,1,IF(DAY(A221)&lt;=9,2,IF(DAY(A221)&lt;=16,3,IF(DAY(A221)&lt;=23,4,5)))))</f>
        <v/>
      </c>
      <c r="C221" s="9" t="n"/>
      <c r="D221" s="9" t="n"/>
      <c r="E221" s="9" t="n"/>
      <c r="F221" s="9" t="n"/>
      <c r="G221" s="9" t="n"/>
      <c r="H221" s="9" t="n"/>
      <c r="I221" s="9" t="n"/>
      <c r="J221" s="3" t="n"/>
      <c r="K221" s="9" t="n"/>
    </row>
    <row r="222">
      <c r="A222" s="4" t="n"/>
      <c r="B222" s="9">
        <f>IF(A222="","",IF(DAY(A222)&lt;=2,1,IF(DAY(A222)&lt;=9,2,IF(DAY(A222)&lt;=16,3,IF(DAY(A222)&lt;=23,4,5)))))</f>
        <v/>
      </c>
      <c r="C222" s="9" t="n"/>
      <c r="D222" s="9" t="n"/>
      <c r="E222" s="9" t="n"/>
      <c r="F222" s="9" t="n"/>
      <c r="G222" s="9" t="n"/>
      <c r="H222" s="9" t="n"/>
      <c r="I222" s="9" t="n"/>
      <c r="J222" s="3" t="n"/>
      <c r="K222" s="9" t="n"/>
    </row>
    <row r="223">
      <c r="A223" s="4" t="n"/>
      <c r="B223" s="9">
        <f>IF(A223="","",IF(DAY(A223)&lt;=2,1,IF(DAY(A223)&lt;=9,2,IF(DAY(A223)&lt;=16,3,IF(DAY(A223)&lt;=23,4,5)))))</f>
        <v/>
      </c>
      <c r="C223" s="9" t="n"/>
      <c r="D223" s="9" t="n"/>
      <c r="E223" s="9" t="n"/>
      <c r="F223" s="9" t="n"/>
      <c r="G223" s="9" t="n"/>
      <c r="H223" s="9" t="n"/>
      <c r="I223" s="9" t="n"/>
      <c r="J223" s="3" t="n"/>
      <c r="K223" s="9" t="n"/>
    </row>
    <row r="224">
      <c r="A224" s="4" t="n"/>
      <c r="B224" s="9">
        <f>IF(A224="","",IF(DAY(A224)&lt;=2,1,IF(DAY(A224)&lt;=9,2,IF(DAY(A224)&lt;=16,3,IF(DAY(A224)&lt;=23,4,5)))))</f>
        <v/>
      </c>
      <c r="C224" s="9" t="n"/>
      <c r="D224" s="9" t="n"/>
      <c r="E224" s="9" t="n"/>
      <c r="F224" s="9" t="n"/>
      <c r="G224" s="9" t="n"/>
      <c r="H224" s="9" t="n"/>
      <c r="I224" s="9" t="n"/>
      <c r="J224" s="3" t="n"/>
      <c r="K224" s="9" t="n"/>
    </row>
    <row r="225">
      <c r="A225" s="4" t="n"/>
      <c r="B225" s="9">
        <f>IF(A225="","",IF(DAY(A225)&lt;=2,1,IF(DAY(A225)&lt;=9,2,IF(DAY(A225)&lt;=16,3,IF(DAY(A225)&lt;=23,4,5)))))</f>
        <v/>
      </c>
      <c r="C225" s="9" t="n"/>
      <c r="D225" s="9" t="n"/>
      <c r="E225" s="9" t="n"/>
      <c r="F225" s="9" t="n"/>
      <c r="G225" s="9" t="n"/>
      <c r="H225" s="9" t="n"/>
      <c r="I225" s="9" t="n"/>
      <c r="J225" s="3" t="n"/>
      <c r="K225" s="9" t="n"/>
    </row>
    <row r="226">
      <c r="A226" s="4" t="n"/>
      <c r="B226" s="9">
        <f>IF(A226="","",IF(DAY(A226)&lt;=2,1,IF(DAY(A226)&lt;=9,2,IF(DAY(A226)&lt;=16,3,IF(DAY(A226)&lt;=23,4,5)))))</f>
        <v/>
      </c>
      <c r="C226" s="9" t="n"/>
      <c r="D226" s="9" t="n"/>
      <c r="E226" s="9" t="n"/>
      <c r="F226" s="9" t="n"/>
      <c r="G226" s="9" t="n"/>
      <c r="H226" s="9" t="n"/>
      <c r="I226" s="9" t="n"/>
      <c r="J226" s="3" t="n"/>
      <c r="K226" s="9" t="n"/>
    </row>
    <row r="227">
      <c r="A227" s="4" t="n"/>
      <c r="B227" s="9">
        <f>IF(A227="","",IF(DAY(A227)&lt;=2,1,IF(DAY(A227)&lt;=9,2,IF(DAY(A227)&lt;=16,3,IF(DAY(A227)&lt;=23,4,5)))))</f>
        <v/>
      </c>
      <c r="C227" s="9" t="n"/>
      <c r="D227" s="9" t="n"/>
      <c r="E227" s="9" t="n"/>
      <c r="F227" s="9" t="n"/>
      <c r="G227" s="9" t="n"/>
      <c r="H227" s="9" t="n"/>
      <c r="I227" s="9" t="n"/>
      <c r="J227" s="3" t="n"/>
      <c r="K227" s="9" t="n"/>
    </row>
    <row r="228">
      <c r="A228" s="4" t="n"/>
      <c r="B228" s="9">
        <f>IF(A228="","",IF(DAY(A228)&lt;=2,1,IF(DAY(A228)&lt;=9,2,IF(DAY(A228)&lt;=16,3,IF(DAY(A228)&lt;=23,4,5)))))</f>
        <v/>
      </c>
      <c r="C228" s="9" t="n"/>
      <c r="D228" s="9" t="n"/>
      <c r="E228" s="9" t="n"/>
      <c r="F228" s="9" t="n"/>
      <c r="G228" s="9" t="n"/>
      <c r="H228" s="9" t="n"/>
      <c r="I228" s="9" t="n"/>
      <c r="J228" s="3" t="n"/>
      <c r="K228" s="9" t="n"/>
    </row>
    <row r="229">
      <c r="A229" s="4" t="n"/>
      <c r="B229" s="9">
        <f>IF(A229="","",IF(DAY(A229)&lt;=2,1,IF(DAY(A229)&lt;=9,2,IF(DAY(A229)&lt;=16,3,IF(DAY(A229)&lt;=23,4,5)))))</f>
        <v/>
      </c>
      <c r="C229" s="9" t="n"/>
      <c r="D229" s="9" t="n"/>
      <c r="E229" s="9" t="n"/>
      <c r="F229" s="9" t="n"/>
      <c r="G229" s="9" t="n"/>
      <c r="H229" s="9" t="n"/>
      <c r="I229" s="9" t="n"/>
      <c r="J229" s="3" t="n"/>
      <c r="K229" s="9" t="n"/>
    </row>
    <row r="230">
      <c r="A230" s="4" t="n"/>
      <c r="B230" s="9">
        <f>IF(A230="","",IF(DAY(A230)&lt;=2,1,IF(DAY(A230)&lt;=9,2,IF(DAY(A230)&lt;=16,3,IF(DAY(A230)&lt;=23,4,5)))))</f>
        <v/>
      </c>
      <c r="C230" s="9" t="n"/>
      <c r="D230" s="9" t="n"/>
      <c r="E230" s="9" t="n"/>
      <c r="F230" s="9" t="n"/>
      <c r="G230" s="9" t="n"/>
      <c r="H230" s="9" t="n"/>
      <c r="I230" s="9" t="n"/>
      <c r="J230" s="3" t="n"/>
      <c r="K230" s="9" t="n"/>
    </row>
    <row r="231">
      <c r="A231" s="4" t="n"/>
      <c r="B231" s="9">
        <f>IF(A231="","",IF(DAY(A231)&lt;=2,1,IF(DAY(A231)&lt;=9,2,IF(DAY(A231)&lt;=16,3,IF(DAY(A231)&lt;=23,4,5)))))</f>
        <v/>
      </c>
      <c r="C231" s="9" t="n"/>
      <c r="D231" s="9" t="n"/>
      <c r="E231" s="9" t="n"/>
      <c r="F231" s="9" t="n"/>
      <c r="G231" s="9" t="n"/>
      <c r="H231" s="9" t="n"/>
      <c r="I231" s="9" t="n"/>
      <c r="J231" s="3" t="n"/>
      <c r="K231" s="9" t="n"/>
    </row>
    <row r="232">
      <c r="A232" s="4" t="n"/>
      <c r="B232" s="9">
        <f>IF(A232="","",IF(DAY(A232)&lt;=2,1,IF(DAY(A232)&lt;=9,2,IF(DAY(A232)&lt;=16,3,IF(DAY(A232)&lt;=23,4,5)))))</f>
        <v/>
      </c>
      <c r="C232" s="9" t="n"/>
      <c r="D232" s="9" t="n"/>
      <c r="E232" s="9" t="n"/>
      <c r="F232" s="9" t="n"/>
      <c r="G232" s="9" t="n"/>
      <c r="H232" s="9" t="n"/>
      <c r="I232" s="9" t="n"/>
      <c r="J232" s="3" t="n"/>
      <c r="K232" s="9" t="n"/>
    </row>
    <row r="233">
      <c r="A233" s="4" t="n"/>
      <c r="B233" s="9">
        <f>IF(A233="","",IF(DAY(A233)&lt;=2,1,IF(DAY(A233)&lt;=9,2,IF(DAY(A233)&lt;=16,3,IF(DAY(A233)&lt;=23,4,5)))))</f>
        <v/>
      </c>
      <c r="C233" s="9" t="n"/>
      <c r="D233" s="9" t="n"/>
      <c r="E233" s="9" t="n"/>
      <c r="F233" s="9" t="n"/>
      <c r="G233" s="9" t="n"/>
      <c r="H233" s="9" t="n"/>
      <c r="I233" s="9" t="n"/>
      <c r="J233" s="3" t="n"/>
      <c r="K233" s="9" t="n"/>
    </row>
    <row r="234">
      <c r="A234" s="4" t="n"/>
      <c r="B234" s="9">
        <f>IF(A234="","",IF(DAY(A234)&lt;=2,1,IF(DAY(A234)&lt;=9,2,IF(DAY(A234)&lt;=16,3,IF(DAY(A234)&lt;=23,4,5)))))</f>
        <v/>
      </c>
      <c r="C234" s="9" t="n"/>
      <c r="D234" s="9" t="n"/>
      <c r="E234" s="9" t="n"/>
      <c r="F234" s="9" t="n"/>
      <c r="G234" s="9" t="n"/>
      <c r="H234" s="9" t="n"/>
      <c r="I234" s="9" t="n"/>
      <c r="J234" s="3" t="n"/>
      <c r="K234" s="9" t="n"/>
    </row>
    <row r="235">
      <c r="A235" s="4" t="n"/>
      <c r="B235" s="9">
        <f>IF(A235="","",IF(DAY(A235)&lt;=2,1,IF(DAY(A235)&lt;=9,2,IF(DAY(A235)&lt;=16,3,IF(DAY(A235)&lt;=23,4,5)))))</f>
        <v/>
      </c>
      <c r="C235" s="9" t="n"/>
      <c r="D235" s="9" t="n"/>
      <c r="E235" s="9" t="n"/>
      <c r="F235" s="9" t="n"/>
      <c r="G235" s="9" t="n"/>
      <c r="H235" s="9" t="n"/>
      <c r="I235" s="9" t="n"/>
      <c r="J235" s="3" t="n"/>
      <c r="K235" s="9" t="n"/>
    </row>
    <row r="236">
      <c r="A236" s="4" t="n"/>
      <c r="B236" s="9">
        <f>IF(A236="","",IF(DAY(A236)&lt;=2,1,IF(DAY(A236)&lt;=9,2,IF(DAY(A236)&lt;=16,3,IF(DAY(A236)&lt;=23,4,5)))))</f>
        <v/>
      </c>
      <c r="C236" s="9" t="n"/>
      <c r="D236" s="9" t="n"/>
      <c r="E236" s="9" t="n"/>
      <c r="F236" s="9" t="n"/>
      <c r="G236" s="9" t="n"/>
      <c r="H236" s="9" t="n"/>
      <c r="I236" s="9" t="n"/>
      <c r="J236" s="3" t="n"/>
      <c r="K236" s="9" t="n"/>
    </row>
    <row r="237">
      <c r="A237" s="4" t="n"/>
      <c r="B237" s="9">
        <f>IF(A237="","",IF(DAY(A237)&lt;=2,1,IF(DAY(A237)&lt;=9,2,IF(DAY(A237)&lt;=16,3,IF(DAY(A237)&lt;=23,4,5)))))</f>
        <v/>
      </c>
      <c r="C237" s="9" t="n"/>
      <c r="D237" s="9" t="n"/>
      <c r="E237" s="9" t="n"/>
      <c r="F237" s="9" t="n"/>
      <c r="G237" s="9" t="n"/>
      <c r="H237" s="9" t="n"/>
      <c r="I237" s="9" t="n"/>
      <c r="J237" s="3" t="n"/>
      <c r="K237" s="9" t="n"/>
    </row>
    <row r="238">
      <c r="A238" s="4" t="n"/>
      <c r="B238" s="9">
        <f>IF(A238="","",IF(DAY(A238)&lt;=2,1,IF(DAY(A238)&lt;=9,2,IF(DAY(A238)&lt;=16,3,IF(DAY(A238)&lt;=23,4,5)))))</f>
        <v/>
      </c>
      <c r="C238" s="9" t="n"/>
      <c r="D238" s="9" t="n"/>
      <c r="E238" s="9" t="n"/>
      <c r="F238" s="9" t="n"/>
      <c r="G238" s="9" t="n"/>
      <c r="H238" s="9" t="n"/>
      <c r="I238" s="9" t="n"/>
      <c r="J238" s="3" t="n"/>
      <c r="K238" s="9" t="n"/>
    </row>
    <row r="239">
      <c r="A239" s="4" t="n"/>
      <c r="B239" s="9">
        <f>IF(A239="","",IF(DAY(A239)&lt;=2,1,IF(DAY(A239)&lt;=9,2,IF(DAY(A239)&lt;=16,3,IF(DAY(A239)&lt;=23,4,5)))))</f>
        <v/>
      </c>
      <c r="C239" s="9" t="n"/>
      <c r="D239" s="9" t="n"/>
      <c r="E239" s="9" t="n"/>
      <c r="F239" s="9" t="n"/>
      <c r="G239" s="9" t="n"/>
      <c r="H239" s="9" t="n"/>
      <c r="I239" s="9" t="n"/>
      <c r="J239" s="3" t="n"/>
      <c r="K239" s="9" t="n"/>
    </row>
    <row r="240">
      <c r="A240" s="4" t="n"/>
      <c r="B240" s="9">
        <f>IF(A240="","",IF(DAY(A240)&lt;=2,1,IF(DAY(A240)&lt;=9,2,IF(DAY(A240)&lt;=16,3,IF(DAY(A240)&lt;=23,4,5)))))</f>
        <v/>
      </c>
      <c r="C240" s="9" t="n"/>
      <c r="D240" s="9" t="n"/>
      <c r="E240" s="9" t="n"/>
      <c r="F240" s="9" t="n"/>
      <c r="G240" s="9" t="n"/>
      <c r="H240" s="9" t="n"/>
      <c r="I240" s="9" t="n"/>
      <c r="J240" s="3" t="n"/>
      <c r="K240" s="9" t="n"/>
    </row>
    <row r="241">
      <c r="A241" s="4" t="n"/>
      <c r="B241" s="9">
        <f>IF(A241="","",IF(DAY(A241)&lt;=2,1,IF(DAY(A241)&lt;=9,2,IF(DAY(A241)&lt;=16,3,IF(DAY(A241)&lt;=23,4,5)))))</f>
        <v/>
      </c>
      <c r="C241" s="9" t="n"/>
      <c r="D241" s="9" t="n"/>
      <c r="E241" s="9" t="n"/>
      <c r="F241" s="9" t="n"/>
      <c r="G241" s="9" t="n"/>
      <c r="H241" s="9" t="n"/>
      <c r="I241" s="9" t="n"/>
      <c r="J241" s="3" t="n"/>
      <c r="K241" s="9" t="n"/>
    </row>
    <row r="242">
      <c r="A242" s="4" t="n"/>
      <c r="B242" s="9">
        <f>IF(A242="","",IF(DAY(A242)&lt;=2,1,IF(DAY(A242)&lt;=9,2,IF(DAY(A242)&lt;=16,3,IF(DAY(A242)&lt;=23,4,5)))))</f>
        <v/>
      </c>
      <c r="C242" s="9" t="n"/>
      <c r="D242" s="9" t="n"/>
      <c r="E242" s="9" t="n"/>
      <c r="F242" s="9" t="n"/>
      <c r="G242" s="9" t="n"/>
      <c r="H242" s="9" t="n"/>
      <c r="I242" s="9" t="n"/>
      <c r="J242" s="3" t="n"/>
      <c r="K242" s="9" t="n"/>
    </row>
    <row r="243">
      <c r="A243" s="4" t="n"/>
      <c r="B243" s="9">
        <f>IF(A243="","",IF(DAY(A243)&lt;=2,1,IF(DAY(A243)&lt;=9,2,IF(DAY(A243)&lt;=16,3,IF(DAY(A243)&lt;=23,4,5)))))</f>
        <v/>
      </c>
      <c r="C243" s="9" t="n"/>
      <c r="D243" s="9" t="n"/>
      <c r="E243" s="9" t="n"/>
      <c r="F243" s="9" t="n"/>
      <c r="G243" s="9" t="n"/>
      <c r="H243" s="9" t="n"/>
      <c r="I243" s="9" t="n"/>
      <c r="J243" s="3" t="n"/>
      <c r="K243" s="9" t="n"/>
    </row>
    <row r="244">
      <c r="A244" s="4" t="n"/>
      <c r="B244" s="9">
        <f>IF(A244="","",IF(DAY(A244)&lt;=2,1,IF(DAY(A244)&lt;=9,2,IF(DAY(A244)&lt;=16,3,IF(DAY(A244)&lt;=23,4,5)))))</f>
        <v/>
      </c>
      <c r="C244" s="9" t="n"/>
      <c r="D244" s="9" t="n"/>
      <c r="E244" s="9" t="n"/>
      <c r="F244" s="9" t="n"/>
      <c r="G244" s="9" t="n"/>
      <c r="H244" s="9" t="n"/>
      <c r="I244" s="9" t="n"/>
      <c r="J244" s="3" t="n"/>
      <c r="K244" s="9" t="n"/>
    </row>
    <row r="245">
      <c r="A245" s="4" t="n"/>
      <c r="B245" s="9">
        <f>IF(A245="","",IF(DAY(A245)&lt;=2,1,IF(DAY(A245)&lt;=9,2,IF(DAY(A245)&lt;=16,3,IF(DAY(A245)&lt;=23,4,5)))))</f>
        <v/>
      </c>
      <c r="C245" s="9" t="n"/>
      <c r="D245" s="9" t="n"/>
      <c r="E245" s="9" t="n"/>
      <c r="F245" s="9" t="n"/>
      <c r="G245" s="9" t="n"/>
      <c r="H245" s="9" t="n"/>
      <c r="I245" s="9" t="n"/>
      <c r="J245" s="3" t="n"/>
      <c r="K245" s="9" t="n"/>
    </row>
    <row r="246">
      <c r="A246" s="4" t="n"/>
      <c r="B246" s="9">
        <f>IF(A246="","",IF(DAY(A246)&lt;=2,1,IF(DAY(A246)&lt;=9,2,IF(DAY(A246)&lt;=16,3,IF(DAY(A246)&lt;=23,4,5)))))</f>
        <v/>
      </c>
      <c r="C246" s="9" t="n"/>
      <c r="D246" s="9" t="n"/>
      <c r="E246" s="9" t="n"/>
      <c r="F246" s="9" t="n"/>
      <c r="G246" s="9" t="n"/>
      <c r="H246" s="9" t="n"/>
      <c r="I246" s="9" t="n"/>
      <c r="J246" s="3" t="n"/>
      <c r="K246" s="9" t="n"/>
    </row>
    <row r="247">
      <c r="A247" s="4" t="n"/>
      <c r="B247" s="9">
        <f>IF(A247="","",IF(DAY(A247)&lt;=2,1,IF(DAY(A247)&lt;=9,2,IF(DAY(A247)&lt;=16,3,IF(DAY(A247)&lt;=23,4,5)))))</f>
        <v/>
      </c>
      <c r="C247" s="9" t="n"/>
      <c r="D247" s="9" t="n"/>
      <c r="E247" s="9" t="n"/>
      <c r="F247" s="9" t="n"/>
      <c r="G247" s="9" t="n"/>
      <c r="H247" s="9" t="n"/>
      <c r="I247" s="9" t="n"/>
      <c r="J247" s="3" t="n"/>
      <c r="K247" s="9" t="n"/>
    </row>
    <row r="248">
      <c r="A248" s="4" t="n"/>
      <c r="B248" s="9">
        <f>IF(A248="","",IF(DAY(A248)&lt;=2,1,IF(DAY(A248)&lt;=9,2,IF(DAY(A248)&lt;=16,3,IF(DAY(A248)&lt;=23,4,5)))))</f>
        <v/>
      </c>
      <c r="C248" s="9" t="n"/>
      <c r="D248" s="9" t="n"/>
      <c r="E248" s="9" t="n"/>
      <c r="F248" s="9" t="n"/>
      <c r="G248" s="9" t="n"/>
      <c r="H248" s="9" t="n"/>
      <c r="I248" s="9" t="n"/>
      <c r="J248" s="3" t="n"/>
      <c r="K248" s="9" t="n"/>
    </row>
    <row r="249">
      <c r="A249" s="4" t="n"/>
      <c r="B249" s="9">
        <f>IF(A249="","",IF(DAY(A249)&lt;=2,1,IF(DAY(A249)&lt;=9,2,IF(DAY(A249)&lt;=16,3,IF(DAY(A249)&lt;=23,4,5)))))</f>
        <v/>
      </c>
      <c r="C249" s="9" t="n"/>
      <c r="D249" s="9" t="n"/>
      <c r="E249" s="9" t="n"/>
      <c r="F249" s="9" t="n"/>
      <c r="G249" s="9" t="n"/>
      <c r="H249" s="9" t="n"/>
      <c r="I249" s="9" t="n"/>
      <c r="J249" s="3" t="n"/>
      <c r="K249" s="9" t="n"/>
    </row>
    <row r="250">
      <c r="A250" s="4" t="n"/>
      <c r="B250" s="9">
        <f>IF(A250="","",IF(DAY(A250)&lt;=2,1,IF(DAY(A250)&lt;=9,2,IF(DAY(A250)&lt;=16,3,IF(DAY(A250)&lt;=23,4,5)))))</f>
        <v/>
      </c>
      <c r="C250" s="9" t="n"/>
      <c r="D250" s="9" t="n"/>
      <c r="E250" s="9" t="n"/>
      <c r="F250" s="9" t="n"/>
      <c r="G250" s="9" t="n"/>
      <c r="H250" s="9" t="n"/>
      <c r="I250" s="9" t="n"/>
      <c r="J250" s="3" t="n"/>
      <c r="K250" s="9" t="n"/>
    </row>
    <row r="251">
      <c r="A251" s="4" t="n"/>
      <c r="B251" s="9">
        <f>IF(A251="","",IF(DAY(A251)&lt;=2,1,IF(DAY(A251)&lt;=9,2,IF(DAY(A251)&lt;=16,3,IF(DAY(A251)&lt;=23,4,5)))))</f>
        <v/>
      </c>
      <c r="C251" s="9" t="n"/>
      <c r="D251" s="9" t="n"/>
      <c r="E251" s="9" t="n"/>
      <c r="F251" s="9" t="n"/>
      <c r="G251" s="9" t="n"/>
      <c r="H251" s="9" t="n"/>
      <c r="I251" s="9" t="n"/>
      <c r="J251" s="3" t="n"/>
      <c r="K251" s="9" t="n"/>
    </row>
    <row r="252">
      <c r="A252" s="4" t="n"/>
      <c r="B252" s="9">
        <f>IF(A252="","",IF(DAY(A252)&lt;=2,1,IF(DAY(A252)&lt;=9,2,IF(DAY(A252)&lt;=16,3,IF(DAY(A252)&lt;=23,4,5)))))</f>
        <v/>
      </c>
      <c r="C252" s="9" t="n"/>
      <c r="D252" s="9" t="n"/>
      <c r="E252" s="9" t="n"/>
      <c r="F252" s="9" t="n"/>
      <c r="G252" s="9" t="n"/>
      <c r="H252" s="9" t="n"/>
      <c r="I252" s="9" t="n"/>
      <c r="J252" s="3" t="n"/>
      <c r="K252" s="9" t="n"/>
    </row>
    <row r="253">
      <c r="A253" s="4" t="n"/>
      <c r="B253" s="9">
        <f>IF(A253="","",IF(DAY(A253)&lt;=2,1,IF(DAY(A253)&lt;=9,2,IF(DAY(A253)&lt;=16,3,IF(DAY(A253)&lt;=23,4,5)))))</f>
        <v/>
      </c>
      <c r="C253" s="9" t="n"/>
      <c r="D253" s="9" t="n"/>
      <c r="E253" s="9" t="n"/>
      <c r="F253" s="9" t="n"/>
      <c r="G253" s="9" t="n"/>
      <c r="H253" s="9" t="n"/>
      <c r="I253" s="9" t="n"/>
      <c r="J253" s="3" t="n"/>
      <c r="K253" s="9" t="n"/>
    </row>
    <row r="254">
      <c r="A254" s="4" t="n"/>
      <c r="B254" s="9">
        <f>IF(A254="","",IF(DAY(A254)&lt;=2,1,IF(DAY(A254)&lt;=9,2,IF(DAY(A254)&lt;=16,3,IF(DAY(A254)&lt;=23,4,5)))))</f>
        <v/>
      </c>
      <c r="C254" s="9" t="n"/>
      <c r="D254" s="9" t="n"/>
      <c r="E254" s="9" t="n"/>
      <c r="F254" s="9" t="n"/>
      <c r="G254" s="9" t="n"/>
      <c r="H254" s="9" t="n"/>
      <c r="I254" s="9" t="n"/>
      <c r="J254" s="3" t="n"/>
      <c r="K254" s="9" t="n"/>
    </row>
    <row r="255">
      <c r="A255" s="4" t="n"/>
      <c r="B255" s="9">
        <f>IF(A255="","",IF(DAY(A255)&lt;=2,1,IF(DAY(A255)&lt;=9,2,IF(DAY(A255)&lt;=16,3,IF(DAY(A255)&lt;=23,4,5)))))</f>
        <v/>
      </c>
      <c r="C255" s="9" t="n"/>
      <c r="D255" s="9" t="n"/>
      <c r="E255" s="9" t="n"/>
      <c r="F255" s="9" t="n"/>
      <c r="G255" s="9" t="n"/>
      <c r="H255" s="9" t="n"/>
      <c r="I255" s="9" t="n"/>
      <c r="J255" s="3" t="n"/>
      <c r="K255" s="9" t="n"/>
    </row>
    <row r="256">
      <c r="A256" s="4" t="n"/>
      <c r="B256" s="9">
        <f>IF(A256="","",IF(DAY(A256)&lt;=2,1,IF(DAY(A256)&lt;=9,2,IF(DAY(A256)&lt;=16,3,IF(DAY(A256)&lt;=23,4,5)))))</f>
        <v/>
      </c>
      <c r="C256" s="9" t="n"/>
      <c r="D256" s="9" t="n"/>
      <c r="E256" s="9" t="n"/>
      <c r="F256" s="9" t="n"/>
      <c r="G256" s="9" t="n"/>
      <c r="H256" s="9" t="n"/>
      <c r="I256" s="9" t="n"/>
      <c r="J256" s="3" t="n"/>
      <c r="K256" s="9" t="n"/>
    </row>
    <row r="257">
      <c r="A257" s="4" t="n"/>
      <c r="B257" s="9">
        <f>IF(A257="","",IF(DAY(A257)&lt;=2,1,IF(DAY(A257)&lt;=9,2,IF(DAY(A257)&lt;=16,3,IF(DAY(A257)&lt;=23,4,5)))))</f>
        <v/>
      </c>
      <c r="C257" s="9" t="n"/>
      <c r="D257" s="9" t="n"/>
      <c r="E257" s="9" t="n"/>
      <c r="F257" s="9" t="n"/>
      <c r="G257" s="9" t="n"/>
      <c r="H257" s="9" t="n"/>
      <c r="I257" s="9" t="n"/>
      <c r="J257" s="3" t="n"/>
      <c r="K257" s="9" t="n"/>
    </row>
    <row r="258">
      <c r="A258" s="4" t="n"/>
      <c r="B258" s="9">
        <f>IF(A258="","",IF(DAY(A258)&lt;=2,1,IF(DAY(A258)&lt;=9,2,IF(DAY(A258)&lt;=16,3,IF(DAY(A258)&lt;=23,4,5)))))</f>
        <v/>
      </c>
      <c r="C258" s="9" t="n"/>
      <c r="D258" s="9" t="n"/>
      <c r="E258" s="9" t="n"/>
      <c r="F258" s="9" t="n"/>
      <c r="G258" s="9" t="n"/>
      <c r="H258" s="9" t="n"/>
      <c r="I258" s="9" t="n"/>
      <c r="J258" s="3" t="n"/>
      <c r="K258" s="9" t="n"/>
    </row>
    <row r="259">
      <c r="A259" s="4" t="n"/>
      <c r="B259" s="9">
        <f>IF(A259="","",IF(DAY(A259)&lt;=2,1,IF(DAY(A259)&lt;=9,2,IF(DAY(A259)&lt;=16,3,IF(DAY(A259)&lt;=23,4,5)))))</f>
        <v/>
      </c>
      <c r="C259" s="9" t="n"/>
      <c r="D259" s="9" t="n"/>
      <c r="E259" s="9" t="n"/>
      <c r="F259" s="9" t="n"/>
      <c r="G259" s="9" t="n"/>
      <c r="H259" s="9" t="n"/>
      <c r="I259" s="9" t="n"/>
      <c r="J259" s="3" t="n"/>
      <c r="K259" s="9" t="n"/>
    </row>
    <row r="260">
      <c r="A260" s="4" t="n"/>
      <c r="B260" s="9">
        <f>IF(A260="","",IF(DAY(A260)&lt;=2,1,IF(DAY(A260)&lt;=9,2,IF(DAY(A260)&lt;=16,3,IF(DAY(A260)&lt;=23,4,5)))))</f>
        <v/>
      </c>
      <c r="C260" s="9" t="n"/>
      <c r="D260" s="9" t="n"/>
      <c r="E260" s="9" t="n"/>
      <c r="F260" s="9" t="n"/>
      <c r="G260" s="9" t="n"/>
      <c r="H260" s="9" t="n"/>
      <c r="I260" s="9" t="n"/>
      <c r="J260" s="3" t="n"/>
      <c r="K260" s="9" t="n"/>
    </row>
    <row r="261">
      <c r="A261" s="4" t="n"/>
      <c r="B261" s="9">
        <f>IF(A261="","",IF(DAY(A261)&lt;=2,1,IF(DAY(A261)&lt;=9,2,IF(DAY(A261)&lt;=16,3,IF(DAY(A261)&lt;=23,4,5)))))</f>
        <v/>
      </c>
      <c r="C261" s="9" t="n"/>
      <c r="D261" s="9" t="n"/>
      <c r="E261" s="9" t="n"/>
      <c r="F261" s="9" t="n"/>
      <c r="G261" s="9" t="n"/>
      <c r="H261" s="9" t="n"/>
      <c r="I261" s="9" t="n"/>
      <c r="J261" s="3" t="n"/>
      <c r="K261" s="9" t="n"/>
    </row>
    <row r="262">
      <c r="A262" s="4" t="n"/>
      <c r="B262" s="9">
        <f>IF(A262="","",IF(DAY(A262)&lt;=2,1,IF(DAY(A262)&lt;=9,2,IF(DAY(A262)&lt;=16,3,IF(DAY(A262)&lt;=23,4,5)))))</f>
        <v/>
      </c>
      <c r="C262" s="9" t="n"/>
      <c r="D262" s="9" t="n"/>
      <c r="E262" s="9" t="n"/>
      <c r="F262" s="9" t="n"/>
      <c r="G262" s="9" t="n"/>
      <c r="H262" s="9" t="n"/>
      <c r="I262" s="9" t="n"/>
      <c r="J262" s="3" t="n"/>
      <c r="K262" s="9" t="n"/>
    </row>
    <row r="263">
      <c r="A263" s="4" t="n"/>
      <c r="B263" s="9">
        <f>IF(A263="","",IF(DAY(A263)&lt;=2,1,IF(DAY(A263)&lt;=9,2,IF(DAY(A263)&lt;=16,3,IF(DAY(A263)&lt;=23,4,5)))))</f>
        <v/>
      </c>
      <c r="C263" s="9" t="n"/>
      <c r="D263" s="9" t="n"/>
      <c r="E263" s="9" t="n"/>
      <c r="F263" s="9" t="n"/>
      <c r="G263" s="9" t="n"/>
      <c r="H263" s="9" t="n"/>
      <c r="I263" s="9" t="n"/>
      <c r="J263" s="3" t="n"/>
      <c r="K263" s="9" t="n"/>
    </row>
    <row r="264">
      <c r="A264" s="4" t="n"/>
      <c r="B264" s="9">
        <f>IF(A264="","",IF(DAY(A264)&lt;=2,1,IF(DAY(A264)&lt;=9,2,IF(DAY(A264)&lt;=16,3,IF(DAY(A264)&lt;=23,4,5)))))</f>
        <v/>
      </c>
      <c r="C264" s="9" t="n"/>
      <c r="D264" s="9" t="n"/>
      <c r="E264" s="9" t="n"/>
      <c r="F264" s="9" t="n"/>
      <c r="G264" s="9" t="n"/>
      <c r="H264" s="9" t="n"/>
      <c r="I264" s="9" t="n"/>
      <c r="J264" s="3" t="n"/>
      <c r="K264" s="9" t="n"/>
    </row>
    <row r="265">
      <c r="A265" s="4" t="n"/>
      <c r="B265" s="9">
        <f>IF(A265="","",IF(DAY(A265)&lt;=2,1,IF(DAY(A265)&lt;=9,2,IF(DAY(A265)&lt;=16,3,IF(DAY(A265)&lt;=23,4,5)))))</f>
        <v/>
      </c>
      <c r="C265" s="9" t="n"/>
      <c r="D265" s="9" t="n"/>
      <c r="E265" s="9" t="n"/>
      <c r="F265" s="9" t="n"/>
      <c r="G265" s="9" t="n"/>
      <c r="H265" s="9" t="n"/>
      <c r="I265" s="9" t="n"/>
      <c r="J265" s="3" t="n"/>
      <c r="K265" s="9" t="n"/>
    </row>
    <row r="266">
      <c r="A266" s="4" t="n"/>
      <c r="B266" s="9">
        <f>IF(A266="","",IF(DAY(A266)&lt;=2,1,IF(DAY(A266)&lt;=9,2,IF(DAY(A266)&lt;=16,3,IF(DAY(A266)&lt;=23,4,5)))))</f>
        <v/>
      </c>
      <c r="C266" s="9" t="n"/>
      <c r="D266" s="9" t="n"/>
      <c r="E266" s="9" t="n"/>
      <c r="F266" s="9" t="n"/>
      <c r="G266" s="9" t="n"/>
      <c r="H266" s="9" t="n"/>
      <c r="I266" s="9" t="n"/>
      <c r="J266" s="3" t="n"/>
      <c r="K266" s="9" t="n"/>
    </row>
    <row r="267">
      <c r="A267" s="4" t="n"/>
      <c r="B267" s="9">
        <f>IF(A267="","",IF(DAY(A267)&lt;=2,1,IF(DAY(A267)&lt;=9,2,IF(DAY(A267)&lt;=16,3,IF(DAY(A267)&lt;=23,4,5)))))</f>
        <v/>
      </c>
      <c r="C267" s="9" t="n"/>
      <c r="D267" s="9" t="n"/>
      <c r="E267" s="9" t="n"/>
      <c r="F267" s="9" t="n"/>
      <c r="G267" s="9" t="n"/>
      <c r="H267" s="9" t="n"/>
      <c r="I267" s="9" t="n"/>
      <c r="J267" s="3" t="n"/>
      <c r="K267" s="9" t="n"/>
    </row>
    <row r="268">
      <c r="A268" s="4" t="n"/>
      <c r="B268" s="9">
        <f>IF(A268="","",IF(DAY(A268)&lt;=2,1,IF(DAY(A268)&lt;=9,2,IF(DAY(A268)&lt;=16,3,IF(DAY(A268)&lt;=23,4,5)))))</f>
        <v/>
      </c>
      <c r="C268" s="9" t="n"/>
      <c r="D268" s="9" t="n"/>
      <c r="E268" s="9" t="n"/>
      <c r="F268" s="9" t="n"/>
      <c r="G268" s="9" t="n"/>
      <c r="H268" s="9" t="n"/>
      <c r="I268" s="9" t="n"/>
      <c r="J268" s="3" t="n"/>
      <c r="K268" s="9" t="n"/>
    </row>
    <row r="269">
      <c r="A269" s="4" t="n"/>
      <c r="B269" s="9">
        <f>IF(A269="","",IF(DAY(A269)&lt;=2,1,IF(DAY(A269)&lt;=9,2,IF(DAY(A269)&lt;=16,3,IF(DAY(A269)&lt;=23,4,5)))))</f>
        <v/>
      </c>
      <c r="C269" s="9" t="n"/>
      <c r="D269" s="9" t="n"/>
      <c r="E269" s="9" t="n"/>
      <c r="F269" s="9" t="n"/>
      <c r="G269" s="9" t="n"/>
      <c r="H269" s="9" t="n"/>
      <c r="I269" s="9" t="n"/>
      <c r="J269" s="3" t="n"/>
      <c r="K269" s="9" t="n"/>
    </row>
    <row r="270">
      <c r="A270" s="4" t="n"/>
      <c r="B270" s="9">
        <f>IF(A270="","",IF(DAY(A270)&lt;=2,1,IF(DAY(A270)&lt;=9,2,IF(DAY(A270)&lt;=16,3,IF(DAY(A270)&lt;=23,4,5)))))</f>
        <v/>
      </c>
      <c r="C270" s="9" t="n"/>
      <c r="D270" s="9" t="n"/>
      <c r="E270" s="9" t="n"/>
      <c r="F270" s="9" t="n"/>
      <c r="G270" s="9" t="n"/>
      <c r="H270" s="9" t="n"/>
      <c r="I270" s="9" t="n"/>
      <c r="J270" s="3" t="n"/>
      <c r="K270" s="9" t="n"/>
    </row>
    <row r="271">
      <c r="A271" s="4" t="n"/>
      <c r="B271" s="9">
        <f>IF(A271="","",IF(DAY(A271)&lt;=2,1,IF(DAY(A271)&lt;=9,2,IF(DAY(A271)&lt;=16,3,IF(DAY(A271)&lt;=23,4,5)))))</f>
        <v/>
      </c>
      <c r="C271" s="9" t="n"/>
      <c r="D271" s="9" t="n"/>
      <c r="E271" s="9" t="n"/>
      <c r="F271" s="9" t="n"/>
      <c r="G271" s="9" t="n"/>
      <c r="H271" s="9" t="n"/>
      <c r="I271" s="9" t="n"/>
      <c r="J271" s="3" t="n"/>
      <c r="K271" s="9" t="n"/>
    </row>
    <row r="272">
      <c r="A272" s="4" t="n"/>
      <c r="B272" s="9">
        <f>IF(A272="","",IF(DAY(A272)&lt;=2,1,IF(DAY(A272)&lt;=9,2,IF(DAY(A272)&lt;=16,3,IF(DAY(A272)&lt;=23,4,5)))))</f>
        <v/>
      </c>
      <c r="C272" s="9" t="n"/>
      <c r="D272" s="9" t="n"/>
      <c r="E272" s="9" t="n"/>
      <c r="F272" s="9" t="n"/>
      <c r="G272" s="9" t="n"/>
      <c r="H272" s="9" t="n"/>
      <c r="I272" s="9" t="n"/>
      <c r="J272" s="3" t="n"/>
      <c r="K272" s="9" t="n"/>
    </row>
    <row r="273">
      <c r="A273" s="4" t="n"/>
      <c r="B273" s="9">
        <f>IF(A273="","",IF(DAY(A273)&lt;=2,1,IF(DAY(A273)&lt;=9,2,IF(DAY(A273)&lt;=16,3,IF(DAY(A273)&lt;=23,4,5)))))</f>
        <v/>
      </c>
      <c r="C273" s="9" t="n"/>
      <c r="D273" s="9" t="n"/>
      <c r="E273" s="9" t="n"/>
      <c r="F273" s="9" t="n"/>
      <c r="G273" s="9" t="n"/>
      <c r="H273" s="9" t="n"/>
      <c r="I273" s="9" t="n"/>
      <c r="J273" s="3" t="n"/>
      <c r="K273" s="9" t="n"/>
    </row>
    <row r="274">
      <c r="A274" s="4" t="n"/>
      <c r="B274" s="9">
        <f>IF(A274="","",IF(DAY(A274)&lt;=2,1,IF(DAY(A274)&lt;=9,2,IF(DAY(A274)&lt;=16,3,IF(DAY(A274)&lt;=23,4,5)))))</f>
        <v/>
      </c>
      <c r="C274" s="9" t="n"/>
      <c r="D274" s="9" t="n"/>
      <c r="E274" s="9" t="n"/>
      <c r="F274" s="9" t="n"/>
      <c r="G274" s="9" t="n"/>
      <c r="H274" s="9" t="n"/>
      <c r="I274" s="9" t="n"/>
      <c r="J274" s="3" t="n"/>
      <c r="K274" s="9" t="n"/>
    </row>
    <row r="275">
      <c r="A275" s="4" t="n"/>
      <c r="B275" s="9">
        <f>IF(A275="","",IF(DAY(A275)&lt;=2,1,IF(DAY(A275)&lt;=9,2,IF(DAY(A275)&lt;=16,3,IF(DAY(A275)&lt;=23,4,5)))))</f>
        <v/>
      </c>
      <c r="C275" s="9" t="n"/>
      <c r="D275" s="9" t="n"/>
      <c r="E275" s="9" t="n"/>
      <c r="F275" s="9" t="n"/>
      <c r="G275" s="9" t="n"/>
      <c r="H275" s="9" t="n"/>
      <c r="I275" s="9" t="n"/>
      <c r="J275" s="3" t="n"/>
      <c r="K275" s="9" t="n"/>
    </row>
    <row r="276">
      <c r="A276" s="4" t="n"/>
      <c r="B276" s="9">
        <f>IF(A276="","",IF(DAY(A276)&lt;=2,1,IF(DAY(A276)&lt;=9,2,IF(DAY(A276)&lt;=16,3,IF(DAY(A276)&lt;=23,4,5)))))</f>
        <v/>
      </c>
      <c r="C276" s="9" t="n"/>
      <c r="D276" s="9" t="n"/>
      <c r="E276" s="9" t="n"/>
      <c r="F276" s="9" t="n"/>
      <c r="G276" s="9" t="n"/>
      <c r="H276" s="9" t="n"/>
      <c r="I276" s="9" t="n"/>
      <c r="J276" s="3" t="n"/>
      <c r="K276" s="9" t="n"/>
    </row>
    <row r="277">
      <c r="A277" s="4" t="n"/>
      <c r="B277" s="9">
        <f>IF(A277="","",IF(DAY(A277)&lt;=2,1,IF(DAY(A277)&lt;=9,2,IF(DAY(A277)&lt;=16,3,IF(DAY(A277)&lt;=23,4,5)))))</f>
        <v/>
      </c>
      <c r="C277" s="9" t="n"/>
      <c r="D277" s="9" t="n"/>
      <c r="E277" s="9" t="n"/>
      <c r="F277" s="9" t="n"/>
      <c r="G277" s="9" t="n"/>
      <c r="H277" s="9" t="n"/>
      <c r="I277" s="9" t="n"/>
      <c r="J277" s="3" t="n"/>
      <c r="K277" s="9" t="n"/>
    </row>
    <row r="278">
      <c r="A278" s="4" t="n"/>
      <c r="B278" s="9">
        <f>IF(A278="","",IF(DAY(A278)&lt;=2,1,IF(DAY(A278)&lt;=9,2,IF(DAY(A278)&lt;=16,3,IF(DAY(A278)&lt;=23,4,5)))))</f>
        <v/>
      </c>
      <c r="C278" s="9" t="n"/>
      <c r="D278" s="9" t="n"/>
      <c r="E278" s="9" t="n"/>
      <c r="F278" s="9" t="n"/>
      <c r="G278" s="9" t="n"/>
      <c r="H278" s="9" t="n"/>
      <c r="I278" s="9" t="n"/>
      <c r="J278" s="3" t="n"/>
      <c r="K278" s="9" t="n"/>
    </row>
    <row r="279">
      <c r="A279" s="4" t="n"/>
      <c r="B279" s="9">
        <f>IF(A279="","",IF(DAY(A279)&lt;=2,1,IF(DAY(A279)&lt;=9,2,IF(DAY(A279)&lt;=16,3,IF(DAY(A279)&lt;=23,4,5)))))</f>
        <v/>
      </c>
      <c r="C279" s="9" t="n"/>
      <c r="D279" s="9" t="n"/>
      <c r="E279" s="9" t="n"/>
      <c r="F279" s="9" t="n"/>
      <c r="G279" s="9" t="n"/>
      <c r="H279" s="9" t="n"/>
      <c r="I279" s="9" t="n"/>
      <c r="J279" s="3" t="n"/>
      <c r="K279" s="9" t="n"/>
    </row>
    <row r="280">
      <c r="A280" s="4" t="n"/>
      <c r="B280" s="9">
        <f>IF(A280="","",IF(DAY(A280)&lt;=2,1,IF(DAY(A280)&lt;=9,2,IF(DAY(A280)&lt;=16,3,IF(DAY(A280)&lt;=23,4,5)))))</f>
        <v/>
      </c>
      <c r="C280" s="9" t="n"/>
      <c r="D280" s="9" t="n"/>
      <c r="E280" s="9" t="n"/>
      <c r="F280" s="9" t="n"/>
      <c r="G280" s="9" t="n"/>
      <c r="H280" s="9" t="n"/>
      <c r="I280" s="9" t="n"/>
      <c r="J280" s="3" t="n"/>
      <c r="K280" s="9" t="n"/>
    </row>
    <row r="281">
      <c r="A281" s="4" t="n"/>
      <c r="B281" s="9">
        <f>IF(A281="","",IF(DAY(A281)&lt;=2,1,IF(DAY(A281)&lt;=9,2,IF(DAY(A281)&lt;=16,3,IF(DAY(A281)&lt;=23,4,5)))))</f>
        <v/>
      </c>
      <c r="C281" s="9" t="n"/>
      <c r="D281" s="9" t="n"/>
      <c r="E281" s="9" t="n"/>
      <c r="F281" s="9" t="n"/>
      <c r="G281" s="9" t="n"/>
      <c r="H281" s="9" t="n"/>
      <c r="I281" s="9" t="n"/>
      <c r="J281" s="3" t="n"/>
      <c r="K281" s="9" t="n"/>
    </row>
    <row r="282">
      <c r="A282" s="4" t="n"/>
      <c r="B282" s="9">
        <f>IF(A282="","",IF(DAY(A282)&lt;=2,1,IF(DAY(A282)&lt;=9,2,IF(DAY(A282)&lt;=16,3,IF(DAY(A282)&lt;=23,4,5)))))</f>
        <v/>
      </c>
      <c r="C282" s="9" t="n"/>
      <c r="D282" s="9" t="n"/>
      <c r="E282" s="9" t="n"/>
      <c r="F282" s="9" t="n"/>
      <c r="G282" s="9" t="n"/>
      <c r="H282" s="9" t="n"/>
      <c r="I282" s="9" t="n"/>
      <c r="J282" s="3" t="n"/>
      <c r="K282" s="9" t="n"/>
    </row>
    <row r="283">
      <c r="A283" s="4" t="n"/>
      <c r="B283" s="9">
        <f>IF(A283="","",IF(DAY(A283)&lt;=2,1,IF(DAY(A283)&lt;=9,2,IF(DAY(A283)&lt;=16,3,IF(DAY(A283)&lt;=23,4,5)))))</f>
        <v/>
      </c>
      <c r="C283" s="9" t="n"/>
      <c r="D283" s="9" t="n"/>
      <c r="E283" s="9" t="n"/>
      <c r="F283" s="9" t="n"/>
      <c r="G283" s="9" t="n"/>
      <c r="H283" s="9" t="n"/>
      <c r="I283" s="9" t="n"/>
      <c r="J283" s="3" t="n"/>
      <c r="K283" s="9" t="n"/>
    </row>
    <row r="284">
      <c r="A284" s="4" t="n"/>
      <c r="B284" s="9">
        <f>IF(A284="","",IF(DAY(A284)&lt;=2,1,IF(DAY(A284)&lt;=9,2,IF(DAY(A284)&lt;=16,3,IF(DAY(A284)&lt;=23,4,5)))))</f>
        <v/>
      </c>
      <c r="C284" s="9" t="n"/>
      <c r="D284" s="9" t="n"/>
      <c r="E284" s="9" t="n"/>
      <c r="F284" s="9" t="n"/>
      <c r="G284" s="9" t="n"/>
      <c r="H284" s="9" t="n"/>
      <c r="I284" s="9" t="n"/>
      <c r="J284" s="3" t="n"/>
      <c r="K284" s="9" t="n"/>
    </row>
    <row r="285">
      <c r="A285" s="4" t="n"/>
      <c r="B285" s="9">
        <f>IF(A285="","",IF(DAY(A285)&lt;=2,1,IF(DAY(A285)&lt;=9,2,IF(DAY(A285)&lt;=16,3,IF(DAY(A285)&lt;=23,4,5)))))</f>
        <v/>
      </c>
      <c r="C285" s="9" t="n"/>
      <c r="D285" s="9" t="n"/>
      <c r="E285" s="9" t="n"/>
      <c r="F285" s="9" t="n"/>
      <c r="G285" s="9" t="n"/>
      <c r="H285" s="9" t="n"/>
      <c r="I285" s="9" t="n"/>
      <c r="J285" s="3" t="n"/>
      <c r="K285" s="9" t="n"/>
    </row>
    <row r="286">
      <c r="A286" s="4" t="n"/>
      <c r="B286" s="9">
        <f>IF(A286="","",IF(DAY(A286)&lt;=2,1,IF(DAY(A286)&lt;=9,2,IF(DAY(A286)&lt;=16,3,IF(DAY(A286)&lt;=23,4,5)))))</f>
        <v/>
      </c>
      <c r="C286" s="9" t="n"/>
      <c r="D286" s="9" t="n"/>
      <c r="E286" s="9" t="n"/>
      <c r="F286" s="9" t="n"/>
      <c r="G286" s="9" t="n"/>
      <c r="H286" s="9" t="n"/>
      <c r="I286" s="9" t="n"/>
      <c r="J286" s="3" t="n"/>
      <c r="K286" s="9" t="n"/>
    </row>
    <row r="287">
      <c r="A287" s="4" t="n"/>
      <c r="B287" s="9">
        <f>IF(A287="","",IF(DAY(A287)&lt;=2,1,IF(DAY(A287)&lt;=9,2,IF(DAY(A287)&lt;=16,3,IF(DAY(A287)&lt;=23,4,5)))))</f>
        <v/>
      </c>
      <c r="C287" s="9" t="n"/>
      <c r="D287" s="9" t="n"/>
      <c r="E287" s="9" t="n"/>
      <c r="F287" s="9" t="n"/>
      <c r="G287" s="9" t="n"/>
      <c r="H287" s="9" t="n"/>
      <c r="I287" s="9" t="n"/>
      <c r="J287" s="3" t="n"/>
      <c r="K287" s="9" t="n"/>
    </row>
    <row r="288">
      <c r="A288" s="4" t="n"/>
      <c r="B288" s="9">
        <f>IF(A288="","",IF(DAY(A288)&lt;=2,1,IF(DAY(A288)&lt;=9,2,IF(DAY(A288)&lt;=16,3,IF(DAY(A288)&lt;=23,4,5)))))</f>
        <v/>
      </c>
      <c r="C288" s="9" t="n"/>
      <c r="D288" s="9" t="n"/>
      <c r="E288" s="9" t="n"/>
      <c r="F288" s="9" t="n"/>
      <c r="G288" s="9" t="n"/>
      <c r="H288" s="9" t="n"/>
      <c r="I288" s="9" t="n"/>
      <c r="J288" s="3" t="n"/>
      <c r="K288" s="9" t="n"/>
    </row>
    <row r="289">
      <c r="A289" s="4" t="n"/>
      <c r="B289" s="9">
        <f>IF(A289="","",IF(DAY(A289)&lt;=2,1,IF(DAY(A289)&lt;=9,2,IF(DAY(A289)&lt;=16,3,IF(DAY(A289)&lt;=23,4,5)))))</f>
        <v/>
      </c>
      <c r="C289" s="9" t="n"/>
      <c r="D289" s="9" t="n"/>
      <c r="E289" s="9" t="n"/>
      <c r="F289" s="9" t="n"/>
      <c r="G289" s="9" t="n"/>
      <c r="H289" s="9" t="n"/>
      <c r="I289" s="9" t="n"/>
      <c r="J289" s="3" t="n"/>
      <c r="K289" s="9" t="n"/>
    </row>
    <row r="290">
      <c r="A290" s="4" t="n"/>
      <c r="B290" s="9">
        <f>IF(A290="","",IF(DAY(A290)&lt;=2,1,IF(DAY(A290)&lt;=9,2,IF(DAY(A290)&lt;=16,3,IF(DAY(A290)&lt;=23,4,5)))))</f>
        <v/>
      </c>
      <c r="C290" s="9" t="n"/>
      <c r="D290" s="9" t="n"/>
      <c r="E290" s="9" t="n"/>
      <c r="F290" s="9" t="n"/>
      <c r="G290" s="9" t="n"/>
      <c r="H290" s="9" t="n"/>
      <c r="I290" s="9" t="n"/>
      <c r="J290" s="3" t="n"/>
      <c r="K290" s="9" t="n"/>
    </row>
    <row r="291">
      <c r="A291" s="4" t="n"/>
      <c r="B291" s="9">
        <f>IF(A291="","",IF(DAY(A291)&lt;=2,1,IF(DAY(A291)&lt;=9,2,IF(DAY(A291)&lt;=16,3,IF(DAY(A291)&lt;=23,4,5)))))</f>
        <v/>
      </c>
      <c r="C291" s="9" t="n"/>
      <c r="D291" s="9" t="n"/>
      <c r="E291" s="9" t="n"/>
      <c r="F291" s="9" t="n"/>
      <c r="G291" s="9" t="n"/>
      <c r="H291" s="9" t="n"/>
      <c r="I291" s="9" t="n"/>
      <c r="J291" s="3" t="n"/>
      <c r="K291" s="9" t="n"/>
    </row>
    <row r="292">
      <c r="A292" s="4" t="n"/>
      <c r="B292" s="9">
        <f>IF(A292="","",IF(DAY(A292)&lt;=2,1,IF(DAY(A292)&lt;=9,2,IF(DAY(A292)&lt;=16,3,IF(DAY(A292)&lt;=23,4,5)))))</f>
        <v/>
      </c>
      <c r="C292" s="9" t="n"/>
      <c r="D292" s="9" t="n"/>
      <c r="E292" s="9" t="n"/>
      <c r="F292" s="9" t="n"/>
      <c r="G292" s="9" t="n"/>
      <c r="H292" s="9" t="n"/>
      <c r="I292" s="9" t="n"/>
      <c r="J292" s="3" t="n"/>
      <c r="K292" s="9" t="n"/>
    </row>
    <row r="293">
      <c r="A293" s="4" t="n"/>
      <c r="B293" s="9">
        <f>IF(A293="","",IF(DAY(A293)&lt;=2,1,IF(DAY(A293)&lt;=9,2,IF(DAY(A293)&lt;=16,3,IF(DAY(A293)&lt;=23,4,5)))))</f>
        <v/>
      </c>
      <c r="C293" s="9" t="n"/>
      <c r="D293" s="9" t="n"/>
      <c r="E293" s="9" t="n"/>
      <c r="F293" s="9" t="n"/>
      <c r="G293" s="9" t="n"/>
      <c r="H293" s="9" t="n"/>
      <c r="I293" s="9" t="n"/>
      <c r="J293" s="3" t="n"/>
      <c r="K293" s="9" t="n"/>
    </row>
    <row r="294">
      <c r="A294" s="4" t="n"/>
      <c r="B294" s="9">
        <f>IF(A294="","",IF(DAY(A294)&lt;=2,1,IF(DAY(A294)&lt;=9,2,IF(DAY(A294)&lt;=16,3,IF(DAY(A294)&lt;=23,4,5)))))</f>
        <v/>
      </c>
      <c r="C294" s="9" t="n"/>
      <c r="D294" s="9" t="n"/>
      <c r="E294" s="9" t="n"/>
      <c r="F294" s="9" t="n"/>
      <c r="G294" s="9" t="n"/>
      <c r="H294" s="9" t="n"/>
      <c r="I294" s="9" t="n"/>
      <c r="J294" s="3" t="n"/>
      <c r="K294" s="9" t="n"/>
    </row>
    <row r="295">
      <c r="A295" s="4" t="n"/>
      <c r="B295" s="9">
        <f>IF(A295="","",IF(DAY(A295)&lt;=2,1,IF(DAY(A295)&lt;=9,2,IF(DAY(A295)&lt;=16,3,IF(DAY(A295)&lt;=23,4,5)))))</f>
        <v/>
      </c>
      <c r="C295" s="9" t="n"/>
      <c r="D295" s="9" t="n"/>
      <c r="E295" s="9" t="n"/>
      <c r="F295" s="9" t="n"/>
      <c r="G295" s="9" t="n"/>
      <c r="H295" s="9" t="n"/>
      <c r="I295" s="9" t="n"/>
      <c r="J295" s="3" t="n"/>
      <c r="K295" s="9" t="n"/>
    </row>
    <row r="296">
      <c r="A296" s="4" t="n"/>
      <c r="B296" s="9">
        <f>IF(A296="","",IF(DAY(A296)&lt;=2,1,IF(DAY(A296)&lt;=9,2,IF(DAY(A296)&lt;=16,3,IF(DAY(A296)&lt;=23,4,5)))))</f>
        <v/>
      </c>
      <c r="C296" s="9" t="n"/>
      <c r="D296" s="9" t="n"/>
      <c r="E296" s="9" t="n"/>
      <c r="F296" s="9" t="n"/>
      <c r="G296" s="9" t="n"/>
      <c r="H296" s="9" t="n"/>
      <c r="I296" s="9" t="n"/>
      <c r="J296" s="3" t="n"/>
      <c r="K296" s="9" t="n"/>
    </row>
    <row r="297">
      <c r="A297" s="4" t="n"/>
      <c r="B297" s="9">
        <f>IF(A297="","",IF(DAY(A297)&lt;=2,1,IF(DAY(A297)&lt;=9,2,IF(DAY(A297)&lt;=16,3,IF(DAY(A297)&lt;=23,4,5)))))</f>
        <v/>
      </c>
      <c r="C297" s="9" t="n"/>
      <c r="D297" s="9" t="n"/>
      <c r="E297" s="9" t="n"/>
      <c r="F297" s="9" t="n"/>
      <c r="G297" s="9" t="n"/>
      <c r="H297" s="9" t="n"/>
      <c r="I297" s="9" t="n"/>
      <c r="J297" s="3" t="n"/>
      <c r="K297" s="9" t="n"/>
    </row>
    <row r="298">
      <c r="A298" s="4" t="n"/>
      <c r="B298" s="9">
        <f>IF(A298="","",IF(DAY(A298)&lt;=2,1,IF(DAY(A298)&lt;=9,2,IF(DAY(A298)&lt;=16,3,IF(DAY(A298)&lt;=23,4,5)))))</f>
        <v/>
      </c>
      <c r="C298" s="9" t="n"/>
      <c r="D298" s="9" t="n"/>
      <c r="E298" s="9" t="n"/>
      <c r="F298" s="9" t="n"/>
      <c r="G298" s="9" t="n"/>
      <c r="H298" s="9" t="n"/>
      <c r="I298" s="9" t="n"/>
      <c r="J298" s="3" t="n"/>
      <c r="K298" s="9" t="n"/>
    </row>
    <row r="299">
      <c r="A299" s="4" t="n"/>
      <c r="B299" s="9">
        <f>IF(A299="","",IF(DAY(A299)&lt;=2,1,IF(DAY(A299)&lt;=9,2,IF(DAY(A299)&lt;=16,3,IF(DAY(A299)&lt;=23,4,5)))))</f>
        <v/>
      </c>
      <c r="C299" s="9" t="n"/>
      <c r="D299" s="9" t="n"/>
      <c r="E299" s="9" t="n"/>
      <c r="F299" s="9" t="n"/>
      <c r="G299" s="9" t="n"/>
      <c r="H299" s="9" t="n"/>
      <c r="I299" s="9" t="n"/>
      <c r="J299" s="3" t="n"/>
      <c r="K299" s="9" t="n"/>
    </row>
    <row r="300">
      <c r="A300" s="4" t="n"/>
      <c r="B300" s="9">
        <f>IF(A300="","",IF(DAY(A300)&lt;=2,1,IF(DAY(A300)&lt;=9,2,IF(DAY(A300)&lt;=16,3,IF(DAY(A300)&lt;=23,4,5)))))</f>
        <v/>
      </c>
      <c r="C300" s="9" t="n"/>
      <c r="D300" s="9" t="n"/>
      <c r="E300" s="9" t="n"/>
      <c r="F300" s="9" t="n"/>
      <c r="G300" s="9" t="n"/>
      <c r="H300" s="9" t="n"/>
      <c r="I300" s="9" t="n"/>
      <c r="J300" s="3" t="n"/>
      <c r="K300" s="9" t="n"/>
    </row>
    <row r="301">
      <c r="A301" s="4" t="n"/>
      <c r="B301" s="9">
        <f>IF(A301="","",IF(DAY(A301)&lt;=2,1,IF(DAY(A301)&lt;=9,2,IF(DAY(A301)&lt;=16,3,IF(DAY(A301)&lt;=23,4,5)))))</f>
        <v/>
      </c>
      <c r="C301" s="9" t="n"/>
      <c r="D301" s="9" t="n"/>
      <c r="E301" s="9" t="n"/>
      <c r="F301" s="9" t="n"/>
      <c r="G301" s="9" t="n"/>
      <c r="H301" s="9" t="n"/>
      <c r="I301" s="9" t="n"/>
      <c r="J301" s="3" t="n"/>
      <c r="K301" s="9" t="n"/>
    </row>
    <row r="302">
      <c r="A302" s="4" t="n"/>
      <c r="B302" s="9">
        <f>IF(A302="","",IF(DAY(A302)&lt;=2,1,IF(DAY(A302)&lt;=9,2,IF(DAY(A302)&lt;=16,3,IF(DAY(A302)&lt;=23,4,5)))))</f>
        <v/>
      </c>
      <c r="C302" s="9" t="n"/>
      <c r="D302" s="9" t="n"/>
      <c r="E302" s="9" t="n"/>
      <c r="F302" s="9" t="n"/>
      <c r="G302" s="9" t="n"/>
      <c r="H302" s="9" t="n"/>
      <c r="I302" s="9" t="n"/>
      <c r="J302" s="3" t="n"/>
      <c r="K302" s="9" t="n"/>
    </row>
    <row r="303">
      <c r="A303" s="4" t="n"/>
      <c r="B303" s="9">
        <f>IF(A303="","",IF(DAY(A303)&lt;=2,1,IF(DAY(A303)&lt;=9,2,IF(DAY(A303)&lt;=16,3,IF(DAY(A303)&lt;=23,4,5)))))</f>
        <v/>
      </c>
      <c r="C303" s="9" t="n"/>
      <c r="D303" s="9" t="n"/>
      <c r="E303" s="9" t="n"/>
      <c r="F303" s="9" t="n"/>
      <c r="G303" s="9" t="n"/>
      <c r="H303" s="9" t="n"/>
      <c r="I303" s="9" t="n"/>
      <c r="J303" s="3" t="n"/>
      <c r="K303" s="9" t="n"/>
    </row>
    <row r="304">
      <c r="A304" s="4" t="n"/>
      <c r="B304" s="9">
        <f>IF(A304="","",IF(DAY(A304)&lt;=2,1,IF(DAY(A304)&lt;=9,2,IF(DAY(A304)&lt;=16,3,IF(DAY(A304)&lt;=23,4,5)))))</f>
        <v/>
      </c>
      <c r="C304" s="9" t="n"/>
      <c r="D304" s="9" t="n"/>
      <c r="E304" s="9" t="n"/>
      <c r="F304" s="9" t="n"/>
      <c r="G304" s="9" t="n"/>
      <c r="H304" s="9" t="n"/>
      <c r="I304" s="9" t="n"/>
      <c r="J304" s="3" t="n"/>
      <c r="K304" s="9" t="n"/>
    </row>
    <row r="305">
      <c r="A305" s="4" t="n"/>
      <c r="B305" s="9">
        <f>IF(A305="","",IF(DAY(A305)&lt;=2,1,IF(DAY(A305)&lt;=9,2,IF(DAY(A305)&lt;=16,3,IF(DAY(A305)&lt;=23,4,5)))))</f>
        <v/>
      </c>
      <c r="C305" s="9" t="n"/>
      <c r="D305" s="9" t="n"/>
      <c r="E305" s="9" t="n"/>
      <c r="F305" s="9" t="n"/>
      <c r="G305" s="9" t="n"/>
      <c r="H305" s="9" t="n"/>
      <c r="I305" s="9" t="n"/>
      <c r="J305" s="3" t="n"/>
      <c r="K305" s="9" t="n"/>
    </row>
    <row r="306">
      <c r="A306" s="4" t="n"/>
      <c r="B306" s="9">
        <f>IF(A306="","",IF(DAY(A306)&lt;=2,1,IF(DAY(A306)&lt;=9,2,IF(DAY(A306)&lt;=16,3,IF(DAY(A306)&lt;=23,4,5)))))</f>
        <v/>
      </c>
      <c r="C306" s="9" t="n"/>
      <c r="D306" s="9" t="n"/>
      <c r="E306" s="9" t="n"/>
      <c r="F306" s="9" t="n"/>
      <c r="G306" s="9" t="n"/>
      <c r="H306" s="9" t="n"/>
      <c r="I306" s="9" t="n"/>
      <c r="J306" s="3" t="n"/>
      <c r="K306" s="9" t="n"/>
    </row>
    <row r="307">
      <c r="A307" s="4" t="n"/>
      <c r="B307" s="9">
        <f>IF(A307="","",IF(DAY(A307)&lt;=2,1,IF(DAY(A307)&lt;=9,2,IF(DAY(A307)&lt;=16,3,IF(DAY(A307)&lt;=23,4,5)))))</f>
        <v/>
      </c>
      <c r="C307" s="9" t="n"/>
      <c r="D307" s="9" t="n"/>
      <c r="E307" s="9" t="n"/>
      <c r="F307" s="9" t="n"/>
      <c r="G307" s="9" t="n"/>
      <c r="H307" s="9" t="n"/>
      <c r="I307" s="9" t="n"/>
      <c r="J307" s="3" t="n"/>
      <c r="K307" s="9" t="n"/>
    </row>
    <row r="308">
      <c r="A308" s="4" t="n"/>
      <c r="B308" s="9">
        <f>IF(A308="","",IF(DAY(A308)&lt;=2,1,IF(DAY(A308)&lt;=9,2,IF(DAY(A308)&lt;=16,3,IF(DAY(A308)&lt;=23,4,5)))))</f>
        <v/>
      </c>
      <c r="C308" s="9" t="n"/>
      <c r="D308" s="9" t="n"/>
      <c r="E308" s="9" t="n"/>
      <c r="F308" s="9" t="n"/>
      <c r="G308" s="9" t="n"/>
      <c r="H308" s="9" t="n"/>
      <c r="I308" s="9" t="n"/>
      <c r="J308" s="3" t="n"/>
      <c r="K308" s="9" t="n"/>
    </row>
    <row r="309">
      <c r="A309" s="4" t="n"/>
      <c r="B309" s="9">
        <f>IF(A309="","",IF(DAY(A309)&lt;=2,1,IF(DAY(A309)&lt;=9,2,IF(DAY(A309)&lt;=16,3,IF(DAY(A309)&lt;=23,4,5)))))</f>
        <v/>
      </c>
      <c r="C309" s="9" t="n"/>
      <c r="D309" s="9" t="n"/>
      <c r="E309" s="9" t="n"/>
      <c r="F309" s="9" t="n"/>
      <c r="G309" s="9" t="n"/>
      <c r="H309" s="9" t="n"/>
      <c r="I309" s="9" t="n"/>
      <c r="J309" s="3" t="n"/>
      <c r="K309" s="9" t="n"/>
    </row>
    <row r="310">
      <c r="A310" s="4" t="n"/>
      <c r="B310" s="9">
        <f>IF(A310="","",IF(DAY(A310)&lt;=2,1,IF(DAY(A310)&lt;=9,2,IF(DAY(A310)&lt;=16,3,IF(DAY(A310)&lt;=23,4,5)))))</f>
        <v/>
      </c>
      <c r="C310" s="9" t="n"/>
      <c r="D310" s="9" t="n"/>
      <c r="E310" s="9" t="n"/>
      <c r="F310" s="9" t="n"/>
      <c r="G310" s="9" t="n"/>
      <c r="H310" s="9" t="n"/>
      <c r="I310" s="9" t="n"/>
      <c r="J310" s="3" t="n"/>
      <c r="K310" s="9" t="n"/>
    </row>
    <row r="311">
      <c r="A311" s="4" t="n"/>
      <c r="B311" s="9">
        <f>IF(A311="","",IF(DAY(A311)&lt;=2,1,IF(DAY(A311)&lt;=9,2,IF(DAY(A311)&lt;=16,3,IF(DAY(A311)&lt;=23,4,5)))))</f>
        <v/>
      </c>
      <c r="C311" s="9" t="n"/>
      <c r="D311" s="9" t="n"/>
      <c r="E311" s="9" t="n"/>
      <c r="F311" s="9" t="n"/>
      <c r="G311" s="9" t="n"/>
      <c r="H311" s="9" t="n"/>
      <c r="I311" s="9" t="n"/>
      <c r="J311" s="3" t="n"/>
      <c r="K311" s="9" t="n"/>
    </row>
    <row r="312">
      <c r="A312" s="4" t="n"/>
      <c r="B312" s="9">
        <f>IF(A312="","",IF(DAY(A312)&lt;=2,1,IF(DAY(A312)&lt;=9,2,IF(DAY(A312)&lt;=16,3,IF(DAY(A312)&lt;=23,4,5)))))</f>
        <v/>
      </c>
      <c r="C312" s="9" t="n"/>
      <c r="D312" s="9" t="n"/>
      <c r="E312" s="9" t="n"/>
      <c r="F312" s="9" t="n"/>
      <c r="G312" s="9" t="n"/>
      <c r="H312" s="9" t="n"/>
      <c r="I312" s="9" t="n"/>
      <c r="J312" s="3" t="n"/>
      <c r="K312" s="9" t="n"/>
    </row>
    <row r="313">
      <c r="A313" s="4" t="n"/>
      <c r="B313" s="9">
        <f>IF(A313="","",IF(DAY(A313)&lt;=2,1,IF(DAY(A313)&lt;=9,2,IF(DAY(A313)&lt;=16,3,IF(DAY(A313)&lt;=23,4,5)))))</f>
        <v/>
      </c>
      <c r="C313" s="9" t="n"/>
      <c r="D313" s="9" t="n"/>
      <c r="E313" s="9" t="n"/>
      <c r="F313" s="9" t="n"/>
      <c r="G313" s="9" t="n"/>
      <c r="H313" s="9" t="n"/>
      <c r="I313" s="9" t="n"/>
      <c r="J313" s="3" t="n"/>
      <c r="K313" s="9" t="n"/>
    </row>
    <row r="314">
      <c r="A314" s="4" t="n"/>
      <c r="B314" s="9">
        <f>IF(A314="","",IF(DAY(A314)&lt;=2,1,IF(DAY(A314)&lt;=9,2,IF(DAY(A314)&lt;=16,3,IF(DAY(A314)&lt;=23,4,5)))))</f>
        <v/>
      </c>
      <c r="C314" s="9" t="n"/>
      <c r="D314" s="9" t="n"/>
      <c r="E314" s="9" t="n"/>
      <c r="F314" s="9" t="n"/>
      <c r="G314" s="9" t="n"/>
      <c r="H314" s="9" t="n"/>
      <c r="I314" s="9" t="n"/>
      <c r="J314" s="3" t="n"/>
      <c r="K314" s="9" t="n"/>
    </row>
    <row r="315">
      <c r="A315" s="4" t="n"/>
      <c r="B315" s="9">
        <f>IF(A315="","",IF(DAY(A315)&lt;=2,1,IF(DAY(A315)&lt;=9,2,IF(DAY(A315)&lt;=16,3,IF(DAY(A315)&lt;=23,4,5)))))</f>
        <v/>
      </c>
      <c r="C315" s="9" t="n"/>
      <c r="D315" s="9" t="n"/>
      <c r="E315" s="9" t="n"/>
      <c r="F315" s="9" t="n"/>
      <c r="G315" s="9" t="n"/>
      <c r="H315" s="9" t="n"/>
      <c r="I315" s="9" t="n"/>
      <c r="J315" s="3" t="n"/>
      <c r="K315" s="9" t="n"/>
    </row>
    <row r="316">
      <c r="A316" s="4" t="n"/>
      <c r="B316" s="9">
        <f>IF(A316="","",IF(DAY(A316)&lt;=2,1,IF(DAY(A316)&lt;=9,2,IF(DAY(A316)&lt;=16,3,IF(DAY(A316)&lt;=23,4,5)))))</f>
        <v/>
      </c>
      <c r="C316" s="9" t="n"/>
      <c r="D316" s="9" t="n"/>
      <c r="E316" s="9" t="n"/>
      <c r="F316" s="9" t="n"/>
      <c r="G316" s="9" t="n"/>
      <c r="H316" s="9" t="n"/>
      <c r="I316" s="9" t="n"/>
      <c r="J316" s="3" t="n"/>
      <c r="K316" s="9" t="n"/>
    </row>
    <row r="317">
      <c r="A317" s="4" t="n"/>
      <c r="B317" s="9">
        <f>IF(A317="","",IF(DAY(A317)&lt;=2,1,IF(DAY(A317)&lt;=9,2,IF(DAY(A317)&lt;=16,3,IF(DAY(A317)&lt;=23,4,5)))))</f>
        <v/>
      </c>
      <c r="C317" s="9" t="n"/>
      <c r="D317" s="9" t="n"/>
      <c r="E317" s="9" t="n"/>
      <c r="F317" s="9" t="n"/>
      <c r="G317" s="9" t="n"/>
      <c r="H317" s="9" t="n"/>
      <c r="I317" s="9" t="n"/>
      <c r="J317" s="3" t="n"/>
      <c r="K317" s="9" t="n"/>
    </row>
    <row r="318">
      <c r="A318" s="4" t="n"/>
      <c r="B318" s="9">
        <f>IF(A318="","",IF(DAY(A318)&lt;=2,1,IF(DAY(A318)&lt;=9,2,IF(DAY(A318)&lt;=16,3,IF(DAY(A318)&lt;=23,4,5)))))</f>
        <v/>
      </c>
      <c r="C318" s="9" t="n"/>
      <c r="D318" s="9" t="n"/>
      <c r="E318" s="9" t="n"/>
      <c r="F318" s="9" t="n"/>
      <c r="G318" s="9" t="n"/>
      <c r="H318" s="9" t="n"/>
      <c r="I318" s="9" t="n"/>
      <c r="J318" s="3" t="n"/>
      <c r="K318" s="9" t="n"/>
    </row>
    <row r="319">
      <c r="A319" s="4" t="n"/>
      <c r="B319" s="9">
        <f>IF(A319="","",IF(DAY(A319)&lt;=2,1,IF(DAY(A319)&lt;=9,2,IF(DAY(A319)&lt;=16,3,IF(DAY(A319)&lt;=23,4,5)))))</f>
        <v/>
      </c>
      <c r="C319" s="9" t="n"/>
      <c r="D319" s="9" t="n"/>
      <c r="E319" s="9" t="n"/>
      <c r="F319" s="9" t="n"/>
      <c r="G319" s="9" t="n"/>
      <c r="H319" s="9" t="n"/>
      <c r="I319" s="9" t="n"/>
      <c r="J319" s="3" t="n"/>
      <c r="K319" s="9" t="n"/>
    </row>
    <row r="320">
      <c r="A320" s="4" t="n"/>
      <c r="B320" s="9">
        <f>IF(A320="","",IF(DAY(A320)&lt;=2,1,IF(DAY(A320)&lt;=9,2,IF(DAY(A320)&lt;=16,3,IF(DAY(A320)&lt;=23,4,5)))))</f>
        <v/>
      </c>
      <c r="C320" s="9" t="n"/>
      <c r="D320" s="9" t="n"/>
      <c r="E320" s="9" t="n"/>
      <c r="F320" s="9" t="n"/>
      <c r="G320" s="9" t="n"/>
      <c r="H320" s="9" t="n"/>
      <c r="I320" s="9" t="n"/>
      <c r="J320" s="3" t="n"/>
      <c r="K320" s="9" t="n"/>
    </row>
    <row r="321">
      <c r="A321" s="4" t="n"/>
      <c r="B321" s="9">
        <f>IF(A321="","",IF(DAY(A321)&lt;=2,1,IF(DAY(A321)&lt;=9,2,IF(DAY(A321)&lt;=16,3,IF(DAY(A321)&lt;=23,4,5)))))</f>
        <v/>
      </c>
      <c r="C321" s="9" t="n"/>
      <c r="D321" s="9" t="n"/>
      <c r="E321" s="9" t="n"/>
      <c r="F321" s="9" t="n"/>
      <c r="G321" s="9" t="n"/>
      <c r="H321" s="9" t="n"/>
      <c r="I321" s="9" t="n"/>
      <c r="J321" s="3" t="n"/>
      <c r="K321" s="9" t="n"/>
    </row>
    <row r="322">
      <c r="A322" s="4" t="n"/>
      <c r="B322" s="9">
        <f>IF(A322="","",IF(DAY(A322)&lt;=2,1,IF(DAY(A322)&lt;=9,2,IF(DAY(A322)&lt;=16,3,IF(DAY(A322)&lt;=23,4,5)))))</f>
        <v/>
      </c>
      <c r="C322" s="9" t="n"/>
      <c r="D322" s="9" t="n"/>
      <c r="E322" s="9" t="n"/>
      <c r="F322" s="9" t="n"/>
      <c r="G322" s="9" t="n"/>
      <c r="H322" s="9" t="n"/>
      <c r="I322" s="9" t="n"/>
      <c r="J322" s="3" t="n"/>
      <c r="K322" s="9" t="n"/>
    </row>
    <row r="323">
      <c r="A323" s="4" t="n"/>
      <c r="B323" s="9">
        <f>IF(A323="","",IF(DAY(A323)&lt;=2,1,IF(DAY(A323)&lt;=9,2,IF(DAY(A323)&lt;=16,3,IF(DAY(A323)&lt;=23,4,5)))))</f>
        <v/>
      </c>
      <c r="C323" s="9" t="n"/>
      <c r="D323" s="9" t="n"/>
      <c r="E323" s="9" t="n"/>
      <c r="F323" s="9" t="n"/>
      <c r="G323" s="9" t="n"/>
      <c r="H323" s="9" t="n"/>
      <c r="I323" s="9" t="n"/>
      <c r="J323" s="3" t="n"/>
      <c r="K323" s="9" t="n"/>
    </row>
    <row r="324">
      <c r="A324" s="4" t="n"/>
      <c r="B324" s="9">
        <f>IF(A324="","",IF(DAY(A324)&lt;=2,1,IF(DAY(A324)&lt;=9,2,IF(DAY(A324)&lt;=16,3,IF(DAY(A324)&lt;=23,4,5)))))</f>
        <v/>
      </c>
      <c r="C324" s="9" t="n"/>
      <c r="D324" s="9" t="n"/>
      <c r="E324" s="9" t="n"/>
      <c r="F324" s="9" t="n"/>
      <c r="G324" s="9" t="n"/>
      <c r="H324" s="9" t="n"/>
      <c r="I324" s="9" t="n"/>
      <c r="J324" s="3" t="n"/>
      <c r="K324" s="9" t="n"/>
    </row>
    <row r="325">
      <c r="A325" s="4" t="n"/>
      <c r="B325" s="9">
        <f>IF(A325="","",IF(DAY(A325)&lt;=2,1,IF(DAY(A325)&lt;=9,2,IF(DAY(A325)&lt;=16,3,IF(DAY(A325)&lt;=23,4,5)))))</f>
        <v/>
      </c>
      <c r="C325" s="9" t="n"/>
      <c r="D325" s="9" t="n"/>
      <c r="E325" s="9" t="n"/>
      <c r="F325" s="9" t="n"/>
      <c r="G325" s="9" t="n"/>
      <c r="H325" s="9" t="n"/>
      <c r="I325" s="9" t="n"/>
      <c r="J325" s="3" t="n"/>
      <c r="K325" s="9" t="n"/>
    </row>
    <row r="326">
      <c r="A326" s="4" t="n"/>
      <c r="B326" s="9">
        <f>IF(A326="","",IF(DAY(A326)&lt;=2,1,IF(DAY(A326)&lt;=9,2,IF(DAY(A326)&lt;=16,3,IF(DAY(A326)&lt;=23,4,5)))))</f>
        <v/>
      </c>
      <c r="C326" s="9" t="n"/>
      <c r="D326" s="9" t="n"/>
      <c r="E326" s="9" t="n"/>
      <c r="F326" s="9" t="n"/>
      <c r="G326" s="9" t="n"/>
      <c r="H326" s="9" t="n"/>
      <c r="I326" s="9" t="n"/>
      <c r="J326" s="3" t="n"/>
      <c r="K326" s="9" t="n"/>
    </row>
    <row r="327">
      <c r="A327" s="4" t="n"/>
      <c r="B327" s="9">
        <f>IF(A327="","",IF(DAY(A327)&lt;=2,1,IF(DAY(A327)&lt;=9,2,IF(DAY(A327)&lt;=16,3,IF(DAY(A327)&lt;=23,4,5)))))</f>
        <v/>
      </c>
      <c r="C327" s="9" t="n"/>
      <c r="D327" s="9" t="n"/>
      <c r="E327" s="9" t="n"/>
      <c r="F327" s="9" t="n"/>
      <c r="G327" s="9" t="n"/>
      <c r="H327" s="9" t="n"/>
      <c r="I327" s="9" t="n"/>
      <c r="J327" s="3" t="n"/>
      <c r="K327" s="9" t="n"/>
    </row>
    <row r="328">
      <c r="A328" s="4" t="n"/>
      <c r="B328" s="9">
        <f>IF(A328="","",IF(DAY(A328)&lt;=2,1,IF(DAY(A328)&lt;=9,2,IF(DAY(A328)&lt;=16,3,IF(DAY(A328)&lt;=23,4,5)))))</f>
        <v/>
      </c>
      <c r="C328" s="9" t="n"/>
      <c r="D328" s="9" t="n"/>
      <c r="E328" s="9" t="n"/>
      <c r="F328" s="9" t="n"/>
      <c r="G328" s="9" t="n"/>
      <c r="H328" s="9" t="n"/>
      <c r="I328" s="9" t="n"/>
      <c r="J328" s="3" t="n"/>
      <c r="K328" s="9" t="n"/>
    </row>
    <row r="329">
      <c r="A329" s="4" t="n"/>
      <c r="B329" s="9">
        <f>IF(A329="","",IF(DAY(A329)&lt;=2,1,IF(DAY(A329)&lt;=9,2,IF(DAY(A329)&lt;=16,3,IF(DAY(A329)&lt;=23,4,5)))))</f>
        <v/>
      </c>
      <c r="C329" s="9" t="n"/>
      <c r="D329" s="9" t="n"/>
      <c r="E329" s="9" t="n"/>
      <c r="F329" s="9" t="n"/>
      <c r="G329" s="9" t="n"/>
      <c r="H329" s="9" t="n"/>
      <c r="I329" s="9" t="n"/>
      <c r="J329" s="3" t="n"/>
      <c r="K329" s="9" t="n"/>
    </row>
    <row r="330">
      <c r="A330" s="4" t="n"/>
      <c r="B330" s="9">
        <f>IF(A330="","",IF(DAY(A330)&lt;=2,1,IF(DAY(A330)&lt;=9,2,IF(DAY(A330)&lt;=16,3,IF(DAY(A330)&lt;=23,4,5)))))</f>
        <v/>
      </c>
      <c r="C330" s="9" t="n"/>
      <c r="D330" s="9" t="n"/>
      <c r="E330" s="9" t="n"/>
      <c r="F330" s="9" t="n"/>
      <c r="G330" s="9" t="n"/>
      <c r="H330" s="9" t="n"/>
      <c r="I330" s="9" t="n"/>
      <c r="J330" s="3" t="n"/>
      <c r="K330" s="9" t="n"/>
    </row>
    <row r="331">
      <c r="A331" s="4" t="n"/>
      <c r="B331" s="9">
        <f>IF(A331="","",IF(DAY(A331)&lt;=2,1,IF(DAY(A331)&lt;=9,2,IF(DAY(A331)&lt;=16,3,IF(DAY(A331)&lt;=23,4,5)))))</f>
        <v/>
      </c>
      <c r="C331" s="9" t="n"/>
      <c r="D331" s="9" t="n"/>
      <c r="E331" s="9" t="n"/>
      <c r="F331" s="9" t="n"/>
      <c r="G331" s="9" t="n"/>
      <c r="H331" s="9" t="n"/>
      <c r="I331" s="9" t="n"/>
      <c r="J331" s="3" t="n"/>
      <c r="K331" s="9" t="n"/>
    </row>
    <row r="332">
      <c r="A332" s="4" t="n"/>
      <c r="B332" s="9">
        <f>IF(A332="","",IF(DAY(A332)&lt;=2,1,IF(DAY(A332)&lt;=9,2,IF(DAY(A332)&lt;=16,3,IF(DAY(A332)&lt;=23,4,5)))))</f>
        <v/>
      </c>
      <c r="C332" s="9" t="n"/>
      <c r="D332" s="9" t="n"/>
      <c r="E332" s="9" t="n"/>
      <c r="F332" s="9" t="n"/>
      <c r="G332" s="9" t="n"/>
      <c r="H332" s="9" t="n"/>
      <c r="I332" s="9" t="n"/>
      <c r="J332" s="3" t="n"/>
      <c r="K332" s="9" t="n"/>
    </row>
    <row r="333">
      <c r="A333" s="4" t="n"/>
      <c r="B333" s="9">
        <f>IF(A333="","",IF(DAY(A333)&lt;=2,1,IF(DAY(A333)&lt;=9,2,IF(DAY(A333)&lt;=16,3,IF(DAY(A333)&lt;=23,4,5)))))</f>
        <v/>
      </c>
      <c r="C333" s="9" t="n"/>
      <c r="D333" s="9" t="n"/>
      <c r="E333" s="9" t="n"/>
      <c r="F333" s="9" t="n"/>
      <c r="G333" s="9" t="n"/>
      <c r="H333" s="9" t="n"/>
      <c r="I333" s="9" t="n"/>
      <c r="J333" s="3" t="n"/>
      <c r="K333" s="9" t="n"/>
    </row>
    <row r="334">
      <c r="A334" s="4" t="n"/>
      <c r="B334" s="9">
        <f>IF(A334="","",IF(DAY(A334)&lt;=2,1,IF(DAY(A334)&lt;=9,2,IF(DAY(A334)&lt;=16,3,IF(DAY(A334)&lt;=23,4,5)))))</f>
        <v/>
      </c>
      <c r="C334" s="9" t="n"/>
      <c r="D334" s="9" t="n"/>
      <c r="E334" s="9" t="n"/>
      <c r="F334" s="9" t="n"/>
      <c r="G334" s="9" t="n"/>
      <c r="H334" s="9" t="n"/>
      <c r="I334" s="9" t="n"/>
      <c r="J334" s="3" t="n"/>
      <c r="K334" s="9" t="n"/>
    </row>
    <row r="335">
      <c r="A335" s="4" t="n"/>
      <c r="B335" s="9">
        <f>IF(A335="","",IF(DAY(A335)&lt;=2,1,IF(DAY(A335)&lt;=9,2,IF(DAY(A335)&lt;=16,3,IF(DAY(A335)&lt;=23,4,5)))))</f>
        <v/>
      </c>
      <c r="C335" s="9" t="n"/>
      <c r="D335" s="9" t="n"/>
      <c r="E335" s="9" t="n"/>
      <c r="F335" s="9" t="n"/>
      <c r="G335" s="9" t="n"/>
      <c r="H335" s="9" t="n"/>
      <c r="I335" s="9" t="n"/>
      <c r="J335" s="3" t="n"/>
      <c r="K335" s="9" t="n"/>
    </row>
    <row r="336">
      <c r="A336" s="4" t="n"/>
      <c r="B336" s="9">
        <f>IF(A336="","",IF(DAY(A336)&lt;=2,1,IF(DAY(A336)&lt;=9,2,IF(DAY(A336)&lt;=16,3,IF(DAY(A336)&lt;=23,4,5)))))</f>
        <v/>
      </c>
      <c r="C336" s="9" t="n"/>
      <c r="D336" s="9" t="n"/>
      <c r="E336" s="9" t="n"/>
      <c r="F336" s="9" t="n"/>
      <c r="G336" s="9" t="n"/>
      <c r="H336" s="9" t="n"/>
      <c r="I336" s="9" t="n"/>
      <c r="J336" s="3" t="n"/>
      <c r="K336" s="9" t="n"/>
    </row>
    <row r="337">
      <c r="A337" s="4" t="n"/>
      <c r="B337" s="9">
        <f>IF(A337="","",IF(DAY(A337)&lt;=2,1,IF(DAY(A337)&lt;=9,2,IF(DAY(A337)&lt;=16,3,IF(DAY(A337)&lt;=23,4,5)))))</f>
        <v/>
      </c>
      <c r="C337" s="9" t="n"/>
      <c r="D337" s="9" t="n"/>
      <c r="E337" s="9" t="n"/>
      <c r="F337" s="9" t="n"/>
      <c r="G337" s="9" t="n"/>
      <c r="H337" s="9" t="n"/>
      <c r="I337" s="9" t="n"/>
      <c r="J337" s="3" t="n"/>
      <c r="K337" s="9" t="n"/>
    </row>
    <row r="338">
      <c r="A338" s="4" t="n"/>
      <c r="B338" s="9">
        <f>IF(A338="","",IF(DAY(A338)&lt;=2,1,IF(DAY(A338)&lt;=9,2,IF(DAY(A338)&lt;=16,3,IF(DAY(A338)&lt;=23,4,5)))))</f>
        <v/>
      </c>
      <c r="C338" s="9" t="n"/>
      <c r="D338" s="9" t="n"/>
      <c r="E338" s="9" t="n"/>
      <c r="F338" s="9" t="n"/>
      <c r="G338" s="9" t="n"/>
      <c r="H338" s="9" t="n"/>
      <c r="I338" s="9" t="n"/>
      <c r="J338" s="3" t="n"/>
      <c r="K338" s="9" t="n"/>
    </row>
    <row r="339">
      <c r="A339" s="4" t="n"/>
      <c r="B339" s="9">
        <f>IF(A339="","",IF(DAY(A339)&lt;=2,1,IF(DAY(A339)&lt;=9,2,IF(DAY(A339)&lt;=16,3,IF(DAY(A339)&lt;=23,4,5)))))</f>
        <v/>
      </c>
      <c r="C339" s="9" t="n"/>
      <c r="D339" s="9" t="n"/>
      <c r="E339" s="9" t="n"/>
      <c r="F339" s="9" t="n"/>
      <c r="G339" s="9" t="n"/>
      <c r="H339" s="9" t="n"/>
      <c r="I339" s="9" t="n"/>
      <c r="J339" s="3" t="n"/>
      <c r="K339" s="9" t="n"/>
    </row>
    <row r="340">
      <c r="A340" s="4" t="n"/>
      <c r="B340" s="9">
        <f>IF(A340="","",IF(DAY(A340)&lt;=2,1,IF(DAY(A340)&lt;=9,2,IF(DAY(A340)&lt;=16,3,IF(DAY(A340)&lt;=23,4,5)))))</f>
        <v/>
      </c>
      <c r="C340" s="9" t="n"/>
      <c r="D340" s="9" t="n"/>
      <c r="E340" s="9" t="n"/>
      <c r="F340" s="9" t="n"/>
      <c r="G340" s="9" t="n"/>
      <c r="H340" s="9" t="n"/>
      <c r="I340" s="9" t="n"/>
      <c r="J340" s="3" t="n"/>
      <c r="K340" s="9" t="n"/>
    </row>
    <row r="341">
      <c r="A341" s="4" t="n"/>
      <c r="B341" s="9">
        <f>IF(A341="","",IF(DAY(A341)&lt;=2,1,IF(DAY(A341)&lt;=9,2,IF(DAY(A341)&lt;=16,3,IF(DAY(A341)&lt;=23,4,5)))))</f>
        <v/>
      </c>
      <c r="C341" s="9" t="n"/>
      <c r="D341" s="9" t="n"/>
      <c r="E341" s="9" t="n"/>
      <c r="F341" s="9" t="n"/>
      <c r="G341" s="9" t="n"/>
      <c r="H341" s="9" t="n"/>
      <c r="I341" s="9" t="n"/>
      <c r="J341" s="3" t="n"/>
      <c r="K341" s="9" t="n"/>
    </row>
    <row r="342">
      <c r="A342" s="4" t="n"/>
      <c r="B342" s="9">
        <f>IF(A342="","",IF(DAY(A342)&lt;=2,1,IF(DAY(A342)&lt;=9,2,IF(DAY(A342)&lt;=16,3,IF(DAY(A342)&lt;=23,4,5)))))</f>
        <v/>
      </c>
      <c r="C342" s="9" t="n"/>
      <c r="D342" s="9" t="n"/>
      <c r="E342" s="9" t="n"/>
      <c r="F342" s="9" t="n"/>
      <c r="G342" s="9" t="n"/>
      <c r="H342" s="9" t="n"/>
      <c r="I342" s="9" t="n"/>
      <c r="J342" s="3" t="n"/>
      <c r="K342" s="9" t="n"/>
    </row>
    <row r="343">
      <c r="A343" s="4" t="n"/>
      <c r="B343" s="9">
        <f>IF(A343="","",IF(DAY(A343)&lt;=2,1,IF(DAY(A343)&lt;=9,2,IF(DAY(A343)&lt;=16,3,IF(DAY(A343)&lt;=23,4,5)))))</f>
        <v/>
      </c>
      <c r="C343" s="9" t="n"/>
      <c r="D343" s="9" t="n"/>
      <c r="E343" s="9" t="n"/>
      <c r="F343" s="9" t="n"/>
      <c r="G343" s="9" t="n"/>
      <c r="H343" s="9" t="n"/>
      <c r="I343" s="9" t="n"/>
      <c r="J343" s="3" t="n"/>
      <c r="K343" s="9" t="n"/>
    </row>
    <row r="344">
      <c r="A344" s="4" t="n"/>
      <c r="B344" s="9">
        <f>IF(A344="","",IF(DAY(A344)&lt;=2,1,IF(DAY(A344)&lt;=9,2,IF(DAY(A344)&lt;=16,3,IF(DAY(A344)&lt;=23,4,5)))))</f>
        <v/>
      </c>
      <c r="C344" s="9" t="n"/>
      <c r="D344" s="9" t="n"/>
      <c r="E344" s="9" t="n"/>
      <c r="F344" s="9" t="n"/>
      <c r="G344" s="9" t="n"/>
      <c r="H344" s="9" t="n"/>
      <c r="I344" s="9" t="n"/>
      <c r="J344" s="3" t="n"/>
      <c r="K344" s="9" t="n"/>
    </row>
    <row r="345">
      <c r="A345" s="4" t="n"/>
      <c r="B345" s="9">
        <f>IF(A345="","",IF(DAY(A345)&lt;=2,1,IF(DAY(A345)&lt;=9,2,IF(DAY(A345)&lt;=16,3,IF(DAY(A345)&lt;=23,4,5)))))</f>
        <v/>
      </c>
      <c r="C345" s="9" t="n"/>
      <c r="D345" s="9" t="n"/>
      <c r="E345" s="9" t="n"/>
      <c r="F345" s="9" t="n"/>
      <c r="G345" s="9" t="n"/>
      <c r="H345" s="9" t="n"/>
      <c r="I345" s="9" t="n"/>
      <c r="J345" s="3" t="n"/>
      <c r="K345" s="9" t="n"/>
    </row>
    <row r="346">
      <c r="A346" s="4" t="n"/>
      <c r="B346" s="9">
        <f>IF(A346="","",IF(DAY(A346)&lt;=2,1,IF(DAY(A346)&lt;=9,2,IF(DAY(A346)&lt;=16,3,IF(DAY(A346)&lt;=23,4,5)))))</f>
        <v/>
      </c>
      <c r="C346" s="9" t="n"/>
      <c r="D346" s="9" t="n"/>
      <c r="E346" s="9" t="n"/>
      <c r="F346" s="9" t="n"/>
      <c r="G346" s="9" t="n"/>
      <c r="H346" s="9" t="n"/>
      <c r="I346" s="9" t="n"/>
      <c r="J346" s="3" t="n"/>
      <c r="K346" s="9" t="n"/>
    </row>
    <row r="347">
      <c r="A347" s="4" t="n"/>
      <c r="B347" s="9">
        <f>IF(A347="","",IF(DAY(A347)&lt;=2,1,IF(DAY(A347)&lt;=9,2,IF(DAY(A347)&lt;=16,3,IF(DAY(A347)&lt;=23,4,5)))))</f>
        <v/>
      </c>
      <c r="C347" s="9" t="n"/>
      <c r="D347" s="9" t="n"/>
      <c r="E347" s="9" t="n"/>
      <c r="F347" s="9" t="n"/>
      <c r="G347" s="9" t="n"/>
      <c r="H347" s="9" t="n"/>
      <c r="I347" s="9" t="n"/>
      <c r="J347" s="3" t="n"/>
      <c r="K347" s="9" t="n"/>
    </row>
    <row r="348">
      <c r="A348" s="4" t="n"/>
      <c r="B348" s="9">
        <f>IF(A348="","",IF(DAY(A348)&lt;=2,1,IF(DAY(A348)&lt;=9,2,IF(DAY(A348)&lt;=16,3,IF(DAY(A348)&lt;=23,4,5)))))</f>
        <v/>
      </c>
      <c r="C348" s="9" t="n"/>
      <c r="D348" s="9" t="n"/>
      <c r="E348" s="9" t="n"/>
      <c r="F348" s="9" t="n"/>
      <c r="G348" s="9" t="n"/>
      <c r="H348" s="9" t="n"/>
      <c r="I348" s="9" t="n"/>
      <c r="J348" s="3" t="n"/>
      <c r="K348" s="9" t="n"/>
    </row>
    <row r="349">
      <c r="A349" s="4" t="n"/>
      <c r="B349" s="9">
        <f>IF(A349="","",IF(DAY(A349)&lt;=2,1,IF(DAY(A349)&lt;=9,2,IF(DAY(A349)&lt;=16,3,IF(DAY(A349)&lt;=23,4,5)))))</f>
        <v/>
      </c>
      <c r="C349" s="9" t="n"/>
      <c r="D349" s="9" t="n"/>
      <c r="E349" s="9" t="n"/>
      <c r="F349" s="9" t="n"/>
      <c r="G349" s="9" t="n"/>
      <c r="H349" s="9" t="n"/>
      <c r="I349" s="9" t="n"/>
      <c r="J349" s="3" t="n"/>
      <c r="K349" s="9" t="n"/>
    </row>
    <row r="350">
      <c r="A350" s="4" t="n"/>
      <c r="B350" s="9">
        <f>IF(A350="","",IF(DAY(A350)&lt;=2,1,IF(DAY(A350)&lt;=9,2,IF(DAY(A350)&lt;=16,3,IF(DAY(A350)&lt;=23,4,5)))))</f>
        <v/>
      </c>
      <c r="C350" s="9" t="n"/>
      <c r="D350" s="9" t="n"/>
      <c r="E350" s="9" t="n"/>
      <c r="F350" s="9" t="n"/>
      <c r="G350" s="9" t="n"/>
      <c r="H350" s="9" t="n"/>
      <c r="I350" s="9" t="n"/>
      <c r="J350" s="3" t="n"/>
      <c r="K350" s="9" t="n"/>
    </row>
    <row r="351">
      <c r="A351" s="4" t="n"/>
      <c r="B351" s="9">
        <f>IF(A351="","",IF(DAY(A351)&lt;=2,1,IF(DAY(A351)&lt;=9,2,IF(DAY(A351)&lt;=16,3,IF(DAY(A351)&lt;=23,4,5)))))</f>
        <v/>
      </c>
      <c r="C351" s="9" t="n"/>
      <c r="D351" s="9" t="n"/>
      <c r="E351" s="9" t="n"/>
      <c r="F351" s="9" t="n"/>
      <c r="G351" s="9" t="n"/>
      <c r="H351" s="9" t="n"/>
      <c r="I351" s="9" t="n"/>
      <c r="J351" s="3" t="n"/>
      <c r="K351" s="9" t="n"/>
    </row>
    <row r="352">
      <c r="A352" s="4" t="n"/>
      <c r="B352" s="9">
        <f>IF(A352="","",IF(DAY(A352)&lt;=2,1,IF(DAY(A352)&lt;=9,2,IF(DAY(A352)&lt;=16,3,IF(DAY(A352)&lt;=23,4,5)))))</f>
        <v/>
      </c>
      <c r="C352" s="9" t="n"/>
      <c r="D352" s="9" t="n"/>
      <c r="E352" s="9" t="n"/>
      <c r="F352" s="9" t="n"/>
      <c r="G352" s="9" t="n"/>
      <c r="H352" s="9" t="n"/>
      <c r="I352" s="9" t="n"/>
      <c r="J352" s="3" t="n"/>
      <c r="K352" s="9" t="n"/>
    </row>
    <row r="353">
      <c r="A353" s="4" t="n"/>
      <c r="B353" s="9">
        <f>IF(A353="","",IF(DAY(A353)&lt;=2,1,IF(DAY(A353)&lt;=9,2,IF(DAY(A353)&lt;=16,3,IF(DAY(A353)&lt;=23,4,5)))))</f>
        <v/>
      </c>
      <c r="C353" s="9" t="n"/>
      <c r="D353" s="9" t="n"/>
      <c r="E353" s="9" t="n"/>
      <c r="F353" s="9" t="n"/>
      <c r="G353" s="9" t="n"/>
      <c r="H353" s="9" t="n"/>
      <c r="I353" s="9" t="n"/>
      <c r="J353" s="3" t="n"/>
      <c r="K353" s="9" t="n"/>
    </row>
    <row r="354">
      <c r="A354" s="4" t="n"/>
      <c r="B354" s="9">
        <f>IF(A354="","",IF(DAY(A354)&lt;=2,1,IF(DAY(A354)&lt;=9,2,IF(DAY(A354)&lt;=16,3,IF(DAY(A354)&lt;=23,4,5)))))</f>
        <v/>
      </c>
      <c r="C354" s="9" t="n"/>
      <c r="D354" s="9" t="n"/>
      <c r="E354" s="9" t="n"/>
      <c r="F354" s="9" t="n"/>
      <c r="G354" s="9" t="n"/>
      <c r="H354" s="9" t="n"/>
      <c r="I354" s="9" t="n"/>
      <c r="J354" s="3" t="n"/>
      <c r="K354" s="9" t="n"/>
    </row>
    <row r="355">
      <c r="A355" s="4" t="n"/>
      <c r="B355" s="9">
        <f>IF(A355="","",IF(DAY(A355)&lt;=2,1,IF(DAY(A355)&lt;=9,2,IF(DAY(A355)&lt;=16,3,IF(DAY(A355)&lt;=23,4,5)))))</f>
        <v/>
      </c>
      <c r="C355" s="9" t="n"/>
      <c r="D355" s="9" t="n"/>
      <c r="E355" s="9" t="n"/>
      <c r="F355" s="9" t="n"/>
      <c r="G355" s="9" t="n"/>
      <c r="H355" s="9" t="n"/>
      <c r="I355" s="9" t="n"/>
      <c r="J355" s="3" t="n"/>
      <c r="K355" s="9" t="n"/>
    </row>
    <row r="356">
      <c r="A356" s="4" t="n"/>
      <c r="B356" s="9">
        <f>IF(A356="","",IF(DAY(A356)&lt;=2,1,IF(DAY(A356)&lt;=9,2,IF(DAY(A356)&lt;=16,3,IF(DAY(A356)&lt;=23,4,5)))))</f>
        <v/>
      </c>
      <c r="C356" s="9" t="n"/>
      <c r="D356" s="9" t="n"/>
      <c r="E356" s="9" t="n"/>
      <c r="F356" s="9" t="n"/>
      <c r="G356" s="9" t="n"/>
      <c r="H356" s="9" t="n"/>
      <c r="I356" s="9" t="n"/>
      <c r="J356" s="3" t="n"/>
      <c r="K356" s="9" t="n"/>
    </row>
    <row r="357">
      <c r="A357" s="4" t="n"/>
      <c r="B357" s="9">
        <f>IF(A357="","",IF(DAY(A357)&lt;=2,1,IF(DAY(A357)&lt;=9,2,IF(DAY(A357)&lt;=16,3,IF(DAY(A357)&lt;=23,4,5)))))</f>
        <v/>
      </c>
      <c r="C357" s="9" t="n"/>
      <c r="D357" s="9" t="n"/>
      <c r="E357" s="9" t="n"/>
      <c r="F357" s="9" t="n"/>
      <c r="G357" s="9" t="n"/>
      <c r="H357" s="9" t="n"/>
      <c r="I357" s="9" t="n"/>
      <c r="J357" s="3" t="n"/>
      <c r="K357" s="9" t="n"/>
    </row>
    <row r="358">
      <c r="A358" s="4" t="n"/>
      <c r="B358" s="9">
        <f>IF(A358="","",IF(DAY(A358)&lt;=2,1,IF(DAY(A358)&lt;=9,2,IF(DAY(A358)&lt;=16,3,IF(DAY(A358)&lt;=23,4,5)))))</f>
        <v/>
      </c>
      <c r="C358" s="9" t="n"/>
      <c r="D358" s="9" t="n"/>
      <c r="E358" s="9" t="n"/>
      <c r="F358" s="9" t="n"/>
      <c r="G358" s="9" t="n"/>
      <c r="H358" s="9" t="n"/>
      <c r="I358" s="9" t="n"/>
      <c r="J358" s="3" t="n"/>
      <c r="K358" s="9" t="n"/>
    </row>
    <row r="359">
      <c r="A359" s="4" t="n"/>
      <c r="B359" s="9">
        <f>IF(A359="","",IF(DAY(A359)&lt;=2,1,IF(DAY(A359)&lt;=9,2,IF(DAY(A359)&lt;=16,3,IF(DAY(A359)&lt;=23,4,5)))))</f>
        <v/>
      </c>
      <c r="C359" s="9" t="n"/>
      <c r="D359" s="9" t="n"/>
      <c r="E359" s="9" t="n"/>
      <c r="F359" s="9" t="n"/>
      <c r="G359" s="9" t="n"/>
      <c r="H359" s="9" t="n"/>
      <c r="I359" s="9" t="n"/>
      <c r="J359" s="3" t="n"/>
      <c r="K359" s="9" t="n"/>
    </row>
    <row r="360">
      <c r="A360" s="4" t="n"/>
      <c r="B360" s="9">
        <f>IF(A360="","",IF(DAY(A360)&lt;=2,1,IF(DAY(A360)&lt;=9,2,IF(DAY(A360)&lt;=16,3,IF(DAY(A360)&lt;=23,4,5)))))</f>
        <v/>
      </c>
      <c r="C360" s="9" t="n"/>
      <c r="D360" s="9" t="n"/>
      <c r="E360" s="9" t="n"/>
      <c r="F360" s="9" t="n"/>
      <c r="G360" s="9" t="n"/>
      <c r="H360" s="9" t="n"/>
      <c r="I360" s="9" t="n"/>
      <c r="J360" s="3" t="n"/>
      <c r="K360" s="9" t="n"/>
    </row>
    <row r="361">
      <c r="A361" s="4" t="n"/>
      <c r="B361" s="9">
        <f>IF(A361="","",IF(DAY(A361)&lt;=2,1,IF(DAY(A361)&lt;=9,2,IF(DAY(A361)&lt;=16,3,IF(DAY(A361)&lt;=23,4,5)))))</f>
        <v/>
      </c>
      <c r="C361" s="9" t="n"/>
      <c r="D361" s="9" t="n"/>
      <c r="E361" s="9" t="n"/>
      <c r="F361" s="9" t="n"/>
      <c r="G361" s="9" t="n"/>
      <c r="H361" s="9" t="n"/>
      <c r="I361" s="9" t="n"/>
      <c r="J361" s="3" t="n"/>
      <c r="K361" s="9" t="n"/>
    </row>
    <row r="362">
      <c r="A362" s="4" t="n"/>
      <c r="B362" s="9">
        <f>IF(A362="","",IF(DAY(A362)&lt;=2,1,IF(DAY(A362)&lt;=9,2,IF(DAY(A362)&lt;=16,3,IF(DAY(A362)&lt;=23,4,5)))))</f>
        <v/>
      </c>
      <c r="C362" s="9" t="n"/>
      <c r="D362" s="9" t="n"/>
      <c r="E362" s="9" t="n"/>
      <c r="F362" s="9" t="n"/>
      <c r="G362" s="9" t="n"/>
      <c r="H362" s="9" t="n"/>
      <c r="I362" s="9" t="n"/>
      <c r="J362" s="3" t="n"/>
      <c r="K362" s="9" t="n"/>
    </row>
    <row r="363">
      <c r="A363" s="4" t="n"/>
      <c r="B363" s="9">
        <f>IF(A363="","",IF(DAY(A363)&lt;=2,1,IF(DAY(A363)&lt;=9,2,IF(DAY(A363)&lt;=16,3,IF(DAY(A363)&lt;=23,4,5)))))</f>
        <v/>
      </c>
      <c r="C363" s="9" t="n"/>
      <c r="D363" s="9" t="n"/>
      <c r="E363" s="9" t="n"/>
      <c r="F363" s="9" t="n"/>
      <c r="G363" s="9" t="n"/>
      <c r="H363" s="9" t="n"/>
      <c r="I363" s="9" t="n"/>
      <c r="J363" s="3" t="n"/>
      <c r="K363" s="9" t="n"/>
    </row>
    <row r="364">
      <c r="A364" s="4" t="n"/>
      <c r="B364" s="9">
        <f>IF(A364="","",IF(DAY(A364)&lt;=2,1,IF(DAY(A364)&lt;=9,2,IF(DAY(A364)&lt;=16,3,IF(DAY(A364)&lt;=23,4,5)))))</f>
        <v/>
      </c>
      <c r="C364" s="9" t="n"/>
      <c r="D364" s="9" t="n"/>
      <c r="E364" s="9" t="n"/>
      <c r="F364" s="9" t="n"/>
      <c r="G364" s="9" t="n"/>
      <c r="H364" s="9" t="n"/>
      <c r="I364" s="9" t="n"/>
      <c r="J364" s="3" t="n"/>
      <c r="K364" s="9" t="n"/>
    </row>
    <row r="365">
      <c r="A365" s="4" t="n"/>
      <c r="B365" s="9">
        <f>IF(A365="","",IF(DAY(A365)&lt;=2,1,IF(DAY(A365)&lt;=9,2,IF(DAY(A365)&lt;=16,3,IF(DAY(A365)&lt;=23,4,5)))))</f>
        <v/>
      </c>
      <c r="C365" s="9" t="n"/>
      <c r="D365" s="9" t="n"/>
      <c r="E365" s="9" t="n"/>
      <c r="F365" s="9" t="n"/>
      <c r="G365" s="9" t="n"/>
      <c r="H365" s="9" t="n"/>
      <c r="I365" s="9" t="n"/>
      <c r="J365" s="3" t="n"/>
      <c r="K365" s="9" t="n"/>
    </row>
    <row r="366">
      <c r="A366" s="4" t="n"/>
      <c r="B366" s="9">
        <f>IF(A366="","",IF(DAY(A366)&lt;=2,1,IF(DAY(A366)&lt;=9,2,IF(DAY(A366)&lt;=16,3,IF(DAY(A366)&lt;=23,4,5)))))</f>
        <v/>
      </c>
      <c r="C366" s="9" t="n"/>
      <c r="D366" s="9" t="n"/>
      <c r="E366" s="9" t="n"/>
      <c r="F366" s="9" t="n"/>
      <c r="G366" s="9" t="n"/>
      <c r="H366" s="9" t="n"/>
      <c r="I366" s="9" t="n"/>
      <c r="J366" s="3" t="n"/>
      <c r="K366" s="9" t="n"/>
    </row>
    <row r="367">
      <c r="A367" s="4" t="n"/>
      <c r="B367" s="9">
        <f>IF(A367="","",IF(DAY(A367)&lt;=2,1,IF(DAY(A367)&lt;=9,2,IF(DAY(A367)&lt;=16,3,IF(DAY(A367)&lt;=23,4,5)))))</f>
        <v/>
      </c>
      <c r="C367" s="9" t="n"/>
      <c r="D367" s="9" t="n"/>
      <c r="E367" s="9" t="n"/>
      <c r="F367" s="9" t="n"/>
      <c r="G367" s="9" t="n"/>
      <c r="H367" s="9" t="n"/>
      <c r="I367" s="9" t="n"/>
      <c r="J367" s="3" t="n"/>
      <c r="K367" s="9" t="n"/>
    </row>
    <row r="368">
      <c r="A368" s="4" t="n"/>
      <c r="B368" s="9">
        <f>IF(A368="","",IF(DAY(A368)&lt;=2,1,IF(DAY(A368)&lt;=9,2,IF(DAY(A368)&lt;=16,3,IF(DAY(A368)&lt;=23,4,5)))))</f>
        <v/>
      </c>
      <c r="C368" s="9" t="n"/>
      <c r="D368" s="9" t="n"/>
      <c r="E368" s="9" t="n"/>
      <c r="F368" s="9" t="n"/>
      <c r="G368" s="9" t="n"/>
      <c r="H368" s="9" t="n"/>
      <c r="I368" s="9" t="n"/>
      <c r="J368" s="3" t="n"/>
      <c r="K368" s="9" t="n"/>
    </row>
    <row r="369">
      <c r="A369" s="4" t="n"/>
      <c r="B369" s="9">
        <f>IF(A369="","",IF(DAY(A369)&lt;=2,1,IF(DAY(A369)&lt;=9,2,IF(DAY(A369)&lt;=16,3,IF(DAY(A369)&lt;=23,4,5)))))</f>
        <v/>
      </c>
      <c r="C369" s="9" t="n"/>
      <c r="D369" s="9" t="n"/>
      <c r="E369" s="9" t="n"/>
      <c r="F369" s="9" t="n"/>
      <c r="G369" s="9" t="n"/>
      <c r="H369" s="9" t="n"/>
      <c r="I369" s="9" t="n"/>
      <c r="J369" s="3" t="n"/>
      <c r="K369" s="9" t="n"/>
    </row>
    <row r="370">
      <c r="A370" s="4" t="n"/>
      <c r="B370" s="9">
        <f>IF(A370="","",IF(DAY(A370)&lt;=2,1,IF(DAY(A370)&lt;=9,2,IF(DAY(A370)&lt;=16,3,IF(DAY(A370)&lt;=23,4,5)))))</f>
        <v/>
      </c>
      <c r="C370" s="9" t="n"/>
      <c r="D370" s="9" t="n"/>
      <c r="E370" s="9" t="n"/>
      <c r="F370" s="9" t="n"/>
      <c r="G370" s="9" t="n"/>
      <c r="H370" s="9" t="n"/>
      <c r="I370" s="9" t="n"/>
      <c r="J370" s="3" t="n"/>
      <c r="K370" s="9" t="n"/>
    </row>
    <row r="371">
      <c r="A371" s="4" t="n"/>
      <c r="B371" s="9">
        <f>IF(A371="","",IF(DAY(A371)&lt;=2,1,IF(DAY(A371)&lt;=9,2,IF(DAY(A371)&lt;=16,3,IF(DAY(A371)&lt;=23,4,5)))))</f>
        <v/>
      </c>
      <c r="C371" s="9" t="n"/>
      <c r="D371" s="9" t="n"/>
      <c r="E371" s="9" t="n"/>
      <c r="F371" s="9" t="n"/>
      <c r="G371" s="9" t="n"/>
      <c r="H371" s="9" t="n"/>
      <c r="I371" s="9" t="n"/>
      <c r="J371" s="3" t="n"/>
      <c r="K371" s="9" t="n"/>
    </row>
    <row r="372">
      <c r="A372" s="4" t="n"/>
      <c r="B372" s="9">
        <f>IF(A372="","",IF(DAY(A372)&lt;=2,1,IF(DAY(A372)&lt;=9,2,IF(DAY(A372)&lt;=16,3,IF(DAY(A372)&lt;=23,4,5)))))</f>
        <v/>
      </c>
      <c r="C372" s="9" t="n"/>
      <c r="D372" s="9" t="n"/>
      <c r="E372" s="9" t="n"/>
      <c r="F372" s="9" t="n"/>
      <c r="G372" s="9" t="n"/>
      <c r="H372" s="9" t="n"/>
      <c r="I372" s="9" t="n"/>
      <c r="J372" s="3" t="n"/>
      <c r="K372" s="9" t="n"/>
    </row>
    <row r="373">
      <c r="A373" s="4" t="n"/>
      <c r="B373" s="9">
        <f>IF(A373="","",IF(DAY(A373)&lt;=2,1,IF(DAY(A373)&lt;=9,2,IF(DAY(A373)&lt;=16,3,IF(DAY(A373)&lt;=23,4,5)))))</f>
        <v/>
      </c>
      <c r="C373" s="9" t="n"/>
      <c r="D373" s="9" t="n"/>
      <c r="E373" s="9" t="n"/>
      <c r="F373" s="9" t="n"/>
      <c r="G373" s="9" t="n"/>
      <c r="H373" s="9" t="n"/>
      <c r="I373" s="9" t="n"/>
      <c r="J373" s="3" t="n"/>
      <c r="K373" s="9" t="n"/>
    </row>
    <row r="374">
      <c r="A374" s="4" t="n"/>
      <c r="B374" s="9">
        <f>IF(A374="","",IF(DAY(A374)&lt;=2,1,IF(DAY(A374)&lt;=9,2,IF(DAY(A374)&lt;=16,3,IF(DAY(A374)&lt;=23,4,5)))))</f>
        <v/>
      </c>
      <c r="C374" s="9" t="n"/>
      <c r="D374" s="9" t="n"/>
      <c r="E374" s="9" t="n"/>
      <c r="F374" s="9" t="n"/>
      <c r="G374" s="9" t="n"/>
      <c r="H374" s="9" t="n"/>
      <c r="I374" s="9" t="n"/>
      <c r="J374" s="3" t="n"/>
      <c r="K374" s="9" t="n"/>
    </row>
    <row r="375">
      <c r="A375" s="4" t="n"/>
      <c r="B375" s="9">
        <f>IF(A375="","",IF(DAY(A375)&lt;=2,1,IF(DAY(A375)&lt;=9,2,IF(DAY(A375)&lt;=16,3,IF(DAY(A375)&lt;=23,4,5)))))</f>
        <v/>
      </c>
      <c r="C375" s="9" t="n"/>
      <c r="D375" s="9" t="n"/>
      <c r="E375" s="9" t="n"/>
      <c r="F375" s="9" t="n"/>
      <c r="G375" s="9" t="n"/>
      <c r="H375" s="9" t="n"/>
      <c r="I375" s="9" t="n"/>
      <c r="J375" s="3" t="n"/>
      <c r="K375" s="9" t="n"/>
    </row>
    <row r="376">
      <c r="A376" s="4" t="n"/>
      <c r="B376" s="9">
        <f>IF(A376="","",IF(DAY(A376)&lt;=2,1,IF(DAY(A376)&lt;=9,2,IF(DAY(A376)&lt;=16,3,IF(DAY(A376)&lt;=23,4,5)))))</f>
        <v/>
      </c>
      <c r="C376" s="9" t="n"/>
      <c r="D376" s="9" t="n"/>
      <c r="E376" s="9" t="n"/>
      <c r="F376" s="9" t="n"/>
      <c r="G376" s="9" t="n"/>
      <c r="H376" s="9" t="n"/>
      <c r="I376" s="9" t="n"/>
      <c r="J376" s="3" t="n"/>
      <c r="K376" s="9" t="n"/>
    </row>
    <row r="377">
      <c r="A377" s="4" t="n"/>
      <c r="B377" s="9">
        <f>IF(A377="","",IF(DAY(A377)&lt;=2,1,IF(DAY(A377)&lt;=9,2,IF(DAY(A377)&lt;=16,3,IF(DAY(A377)&lt;=23,4,5)))))</f>
        <v/>
      </c>
      <c r="C377" s="9" t="n"/>
      <c r="D377" s="9" t="n"/>
      <c r="E377" s="9" t="n"/>
      <c r="F377" s="9" t="n"/>
      <c r="G377" s="9" t="n"/>
      <c r="H377" s="9" t="n"/>
      <c r="I377" s="9" t="n"/>
      <c r="J377" s="3" t="n"/>
      <c r="K377" s="9" t="n"/>
    </row>
    <row r="378">
      <c r="A378" s="4" t="n"/>
      <c r="B378" s="9">
        <f>IF(A378="","",IF(DAY(A378)&lt;=2,1,IF(DAY(A378)&lt;=9,2,IF(DAY(A378)&lt;=16,3,IF(DAY(A378)&lt;=23,4,5)))))</f>
        <v/>
      </c>
      <c r="C378" s="9" t="n"/>
      <c r="D378" s="9" t="n"/>
      <c r="E378" s="9" t="n"/>
      <c r="F378" s="9" t="n"/>
      <c r="G378" s="9" t="n"/>
      <c r="H378" s="9" t="n"/>
      <c r="I378" s="9" t="n"/>
      <c r="J378" s="3" t="n"/>
      <c r="K378" s="9" t="n"/>
    </row>
    <row r="379">
      <c r="A379" s="4" t="n"/>
      <c r="B379" s="9">
        <f>IF(A379="","",IF(DAY(A379)&lt;=2,1,IF(DAY(A379)&lt;=9,2,IF(DAY(A379)&lt;=16,3,IF(DAY(A379)&lt;=23,4,5)))))</f>
        <v/>
      </c>
      <c r="C379" s="9" t="n"/>
      <c r="D379" s="9" t="n"/>
      <c r="E379" s="9" t="n"/>
      <c r="F379" s="9" t="n"/>
      <c r="G379" s="9" t="n"/>
      <c r="H379" s="9" t="n"/>
      <c r="I379" s="9" t="n"/>
      <c r="J379" s="3" t="n"/>
      <c r="K379" s="9" t="n"/>
    </row>
    <row r="380">
      <c r="A380" s="4" t="n"/>
      <c r="B380" s="9">
        <f>IF(A380="","",IF(DAY(A380)&lt;=2,1,IF(DAY(A380)&lt;=9,2,IF(DAY(A380)&lt;=16,3,IF(DAY(A380)&lt;=23,4,5)))))</f>
        <v/>
      </c>
      <c r="C380" s="9" t="n"/>
      <c r="D380" s="9" t="n"/>
      <c r="E380" s="9" t="n"/>
      <c r="F380" s="9" t="n"/>
      <c r="G380" s="9" t="n"/>
      <c r="H380" s="9" t="n"/>
      <c r="I380" s="9" t="n"/>
      <c r="J380" s="3" t="n"/>
      <c r="K380" s="9" t="n"/>
    </row>
    <row r="381">
      <c r="A381" s="4" t="n"/>
      <c r="B381" s="9">
        <f>IF(A381="","",IF(DAY(A381)&lt;=2,1,IF(DAY(A381)&lt;=9,2,IF(DAY(A381)&lt;=16,3,IF(DAY(A381)&lt;=23,4,5)))))</f>
        <v/>
      </c>
      <c r="C381" s="9" t="n"/>
      <c r="D381" s="9" t="n"/>
      <c r="E381" s="9" t="n"/>
      <c r="F381" s="9" t="n"/>
      <c r="G381" s="9" t="n"/>
      <c r="H381" s="9" t="n"/>
      <c r="I381" s="9" t="n"/>
      <c r="J381" s="3" t="n"/>
      <c r="K381" s="9" t="n"/>
    </row>
    <row r="382">
      <c r="A382" s="4" t="n"/>
      <c r="B382" s="9">
        <f>IF(A382="","",IF(DAY(A382)&lt;=2,1,IF(DAY(A382)&lt;=9,2,IF(DAY(A382)&lt;=16,3,IF(DAY(A382)&lt;=23,4,5)))))</f>
        <v/>
      </c>
      <c r="C382" s="9" t="n"/>
      <c r="D382" s="9" t="n"/>
      <c r="E382" s="9" t="n"/>
      <c r="F382" s="9" t="n"/>
      <c r="G382" s="9" t="n"/>
      <c r="H382" s="9" t="n"/>
      <c r="I382" s="9" t="n"/>
      <c r="J382" s="3" t="n"/>
      <c r="K382" s="9" t="n"/>
    </row>
    <row r="383">
      <c r="A383" s="4" t="n"/>
      <c r="B383" s="9">
        <f>IF(A383="","",IF(DAY(A383)&lt;=2,1,IF(DAY(A383)&lt;=9,2,IF(DAY(A383)&lt;=16,3,IF(DAY(A383)&lt;=23,4,5)))))</f>
        <v/>
      </c>
      <c r="C383" s="9" t="n"/>
      <c r="D383" s="9" t="n"/>
      <c r="E383" s="9" t="n"/>
      <c r="F383" s="9" t="n"/>
      <c r="G383" s="9" t="n"/>
      <c r="H383" s="9" t="n"/>
      <c r="I383" s="9" t="n"/>
      <c r="J383" s="3" t="n"/>
      <c r="K383" s="9" t="n"/>
    </row>
    <row r="384">
      <c r="A384" s="4" t="n"/>
      <c r="B384" s="9">
        <f>IF(A384="","",IF(DAY(A384)&lt;=2,1,IF(DAY(A384)&lt;=9,2,IF(DAY(A384)&lt;=16,3,IF(DAY(A384)&lt;=23,4,5)))))</f>
        <v/>
      </c>
      <c r="C384" s="9" t="n"/>
      <c r="D384" s="9" t="n"/>
      <c r="E384" s="9" t="n"/>
      <c r="F384" s="9" t="n"/>
      <c r="G384" s="9" t="n"/>
      <c r="H384" s="9" t="n"/>
      <c r="I384" s="9" t="n"/>
      <c r="J384" s="3" t="n"/>
      <c r="K384" s="9" t="n"/>
    </row>
    <row r="385">
      <c r="A385" s="4" t="n"/>
      <c r="B385" s="9">
        <f>IF(A385="","",IF(DAY(A385)&lt;=2,1,IF(DAY(A385)&lt;=9,2,IF(DAY(A385)&lt;=16,3,IF(DAY(A385)&lt;=23,4,5)))))</f>
        <v/>
      </c>
      <c r="C385" s="9" t="n"/>
      <c r="D385" s="9" t="n"/>
      <c r="E385" s="9" t="n"/>
      <c r="F385" s="9" t="n"/>
      <c r="G385" s="9" t="n"/>
      <c r="H385" s="9" t="n"/>
      <c r="I385" s="9" t="n"/>
      <c r="J385" s="3" t="n"/>
      <c r="K385" s="9" t="n"/>
    </row>
    <row r="386">
      <c r="A386" s="4" t="n"/>
      <c r="B386" s="9">
        <f>IF(A386="","",IF(DAY(A386)&lt;=2,1,IF(DAY(A386)&lt;=9,2,IF(DAY(A386)&lt;=16,3,IF(DAY(A386)&lt;=23,4,5)))))</f>
        <v/>
      </c>
      <c r="C386" s="9" t="n"/>
      <c r="D386" s="9" t="n"/>
      <c r="E386" s="9" t="n"/>
      <c r="F386" s="9" t="n"/>
      <c r="G386" s="9" t="n"/>
      <c r="H386" s="9" t="n"/>
      <c r="I386" s="9" t="n"/>
      <c r="J386" s="3" t="n"/>
      <c r="K386" s="9" t="n"/>
    </row>
    <row r="387">
      <c r="A387" s="4" t="n"/>
      <c r="B387" s="9">
        <f>IF(A387="","",IF(DAY(A387)&lt;=2,1,IF(DAY(A387)&lt;=9,2,IF(DAY(A387)&lt;=16,3,IF(DAY(A387)&lt;=23,4,5)))))</f>
        <v/>
      </c>
      <c r="C387" s="9" t="n"/>
      <c r="D387" s="9" t="n"/>
      <c r="E387" s="9" t="n"/>
      <c r="F387" s="9" t="n"/>
      <c r="G387" s="9" t="n"/>
      <c r="H387" s="9" t="n"/>
      <c r="I387" s="9" t="n"/>
      <c r="J387" s="3" t="n"/>
      <c r="K387" s="9" t="n"/>
    </row>
    <row r="388">
      <c r="A388" s="4" t="n"/>
      <c r="B388" s="9">
        <f>IF(A388="","",IF(DAY(A388)&lt;=2,1,IF(DAY(A388)&lt;=9,2,IF(DAY(A388)&lt;=16,3,IF(DAY(A388)&lt;=23,4,5)))))</f>
        <v/>
      </c>
      <c r="C388" s="9" t="n"/>
      <c r="D388" s="9" t="n"/>
      <c r="E388" s="9" t="n"/>
      <c r="F388" s="9" t="n"/>
      <c r="G388" s="9" t="n"/>
      <c r="H388" s="9" t="n"/>
      <c r="I388" s="9" t="n"/>
      <c r="J388" s="3" t="n"/>
      <c r="K388" s="9" t="n"/>
    </row>
    <row r="389">
      <c r="A389" s="4" t="n"/>
      <c r="B389" s="9">
        <f>IF(A389="","",IF(DAY(A389)&lt;=2,1,IF(DAY(A389)&lt;=9,2,IF(DAY(A389)&lt;=16,3,IF(DAY(A389)&lt;=23,4,5)))))</f>
        <v/>
      </c>
      <c r="C389" s="9" t="n"/>
      <c r="D389" s="9" t="n"/>
      <c r="E389" s="9" t="n"/>
      <c r="F389" s="9" t="n"/>
      <c r="G389" s="9" t="n"/>
      <c r="H389" s="9" t="n"/>
      <c r="I389" s="9" t="n"/>
      <c r="J389" s="3" t="n"/>
      <c r="K389" s="9" t="n"/>
    </row>
    <row r="390">
      <c r="A390" s="4" t="n"/>
      <c r="B390" s="9">
        <f>IF(A390="","",IF(DAY(A390)&lt;=2,1,IF(DAY(A390)&lt;=9,2,IF(DAY(A390)&lt;=16,3,IF(DAY(A390)&lt;=23,4,5)))))</f>
        <v/>
      </c>
      <c r="C390" s="9" t="n"/>
      <c r="D390" s="9" t="n"/>
      <c r="E390" s="9" t="n"/>
      <c r="F390" s="9" t="n"/>
      <c r="G390" s="9" t="n"/>
      <c r="H390" s="9" t="n"/>
      <c r="I390" s="9" t="n"/>
      <c r="J390" s="3" t="n"/>
      <c r="K390" s="9" t="n"/>
    </row>
    <row r="391">
      <c r="A391" s="4" t="n"/>
      <c r="B391" s="9">
        <f>IF(A391="","",IF(DAY(A391)&lt;=2,1,IF(DAY(A391)&lt;=9,2,IF(DAY(A391)&lt;=16,3,IF(DAY(A391)&lt;=23,4,5)))))</f>
        <v/>
      </c>
      <c r="C391" s="9" t="n"/>
      <c r="D391" s="9" t="n"/>
      <c r="E391" s="9" t="n"/>
      <c r="F391" s="9" t="n"/>
      <c r="G391" s="9" t="n"/>
      <c r="H391" s="9" t="n"/>
      <c r="I391" s="9" t="n"/>
      <c r="J391" s="3" t="n"/>
      <c r="K391" s="9" t="n"/>
    </row>
    <row r="392">
      <c r="A392" s="4" t="n"/>
      <c r="B392" s="9">
        <f>IF(A392="","",IF(DAY(A392)&lt;=2,1,IF(DAY(A392)&lt;=9,2,IF(DAY(A392)&lt;=16,3,IF(DAY(A392)&lt;=23,4,5)))))</f>
        <v/>
      </c>
      <c r="C392" s="9" t="n"/>
      <c r="D392" s="9" t="n"/>
      <c r="E392" s="9" t="n"/>
      <c r="F392" s="9" t="n"/>
      <c r="G392" s="9" t="n"/>
      <c r="H392" s="9" t="n"/>
      <c r="I392" s="9" t="n"/>
      <c r="J392" s="3" t="n"/>
      <c r="K392" s="9" t="n"/>
    </row>
    <row r="393">
      <c r="A393" s="4" t="n"/>
      <c r="B393" s="9">
        <f>IF(A393="","",IF(DAY(A393)&lt;=2,1,IF(DAY(A393)&lt;=9,2,IF(DAY(A393)&lt;=16,3,IF(DAY(A393)&lt;=23,4,5)))))</f>
        <v/>
      </c>
      <c r="C393" s="9" t="n"/>
      <c r="D393" s="9" t="n"/>
      <c r="E393" s="9" t="n"/>
      <c r="F393" s="9" t="n"/>
      <c r="G393" s="9" t="n"/>
      <c r="H393" s="9" t="n"/>
      <c r="I393" s="9" t="n"/>
      <c r="J393" s="3" t="n"/>
      <c r="K393" s="9" t="n"/>
    </row>
    <row r="394">
      <c r="A394" s="4" t="n"/>
      <c r="B394" s="9">
        <f>IF(A394="","",IF(DAY(A394)&lt;=2,1,IF(DAY(A394)&lt;=9,2,IF(DAY(A394)&lt;=16,3,IF(DAY(A394)&lt;=23,4,5)))))</f>
        <v/>
      </c>
      <c r="C394" s="9" t="n"/>
      <c r="D394" s="9" t="n"/>
      <c r="E394" s="9" t="n"/>
      <c r="F394" s="9" t="n"/>
      <c r="G394" s="9" t="n"/>
      <c r="H394" s="9" t="n"/>
      <c r="I394" s="9" t="n"/>
      <c r="J394" s="3" t="n"/>
      <c r="K394" s="9" t="n"/>
    </row>
    <row r="395">
      <c r="A395" s="4" t="n"/>
      <c r="B395" s="9">
        <f>IF(A395="","",IF(DAY(A395)&lt;=2,1,IF(DAY(A395)&lt;=9,2,IF(DAY(A395)&lt;=16,3,IF(DAY(A395)&lt;=23,4,5)))))</f>
        <v/>
      </c>
      <c r="C395" s="9" t="n"/>
      <c r="D395" s="9" t="n"/>
      <c r="E395" s="9" t="n"/>
      <c r="F395" s="9" t="n"/>
      <c r="G395" s="9" t="n"/>
      <c r="H395" s="9" t="n"/>
      <c r="I395" s="9" t="n"/>
      <c r="J395" s="3" t="n"/>
      <c r="K395" s="9" t="n"/>
    </row>
    <row r="396">
      <c r="A396" s="4" t="n"/>
      <c r="B396" s="9">
        <f>IF(A396="","",IF(DAY(A396)&lt;=2,1,IF(DAY(A396)&lt;=9,2,IF(DAY(A396)&lt;=16,3,IF(DAY(A396)&lt;=23,4,5)))))</f>
        <v/>
      </c>
      <c r="C396" s="9" t="n"/>
      <c r="D396" s="9" t="n"/>
      <c r="E396" s="9" t="n"/>
      <c r="F396" s="9" t="n"/>
      <c r="G396" s="9" t="n"/>
      <c r="H396" s="9" t="n"/>
      <c r="I396" s="9" t="n"/>
      <c r="J396" s="3" t="n"/>
      <c r="K396" s="9" t="n"/>
    </row>
    <row r="397">
      <c r="A397" s="4" t="n"/>
      <c r="B397" s="9">
        <f>IF(A397="","",IF(DAY(A397)&lt;=2,1,IF(DAY(A397)&lt;=9,2,IF(DAY(A397)&lt;=16,3,IF(DAY(A397)&lt;=23,4,5)))))</f>
        <v/>
      </c>
      <c r="C397" s="9" t="n"/>
      <c r="D397" s="9" t="n"/>
      <c r="E397" s="9" t="n"/>
      <c r="F397" s="9" t="n"/>
      <c r="G397" s="9" t="n"/>
      <c r="H397" s="9" t="n"/>
      <c r="I397" s="9" t="n"/>
      <c r="J397" s="3" t="n"/>
      <c r="K397" s="9" t="n"/>
    </row>
    <row r="398">
      <c r="A398" s="4" t="n"/>
      <c r="B398" s="9">
        <f>IF(A398="","",IF(DAY(A398)&lt;=2,1,IF(DAY(A398)&lt;=9,2,IF(DAY(A398)&lt;=16,3,IF(DAY(A398)&lt;=23,4,5)))))</f>
        <v/>
      </c>
      <c r="C398" s="9" t="n"/>
      <c r="D398" s="9" t="n"/>
      <c r="E398" s="9" t="n"/>
      <c r="F398" s="9" t="n"/>
      <c r="G398" s="9" t="n"/>
      <c r="H398" s="9" t="n"/>
      <c r="I398" s="9" t="n"/>
      <c r="J398" s="3" t="n"/>
      <c r="K398" s="9" t="n"/>
    </row>
    <row r="399">
      <c r="A399" s="4" t="n"/>
      <c r="B399" s="9">
        <f>IF(A399="","",IF(DAY(A399)&lt;=2,1,IF(DAY(A399)&lt;=9,2,IF(DAY(A399)&lt;=16,3,IF(DAY(A399)&lt;=23,4,5)))))</f>
        <v/>
      </c>
      <c r="C399" s="9" t="n"/>
      <c r="D399" s="9" t="n"/>
      <c r="E399" s="9" t="n"/>
      <c r="F399" s="9" t="n"/>
      <c r="G399" s="9" t="n"/>
      <c r="H399" s="9" t="n"/>
      <c r="I399" s="9" t="n"/>
      <c r="J399" s="3" t="n"/>
      <c r="K399" s="9" t="n"/>
    </row>
    <row r="400">
      <c r="A400" s="4" t="n"/>
      <c r="B400" s="9">
        <f>IF(A400="","",IF(DAY(A400)&lt;=2,1,IF(DAY(A400)&lt;=9,2,IF(DAY(A400)&lt;=16,3,IF(DAY(A400)&lt;=23,4,5)))))</f>
        <v/>
      </c>
      <c r="C400" s="9" t="n"/>
      <c r="D400" s="9" t="n"/>
      <c r="E400" s="9" t="n"/>
      <c r="F400" s="9" t="n"/>
      <c r="G400" s="9" t="n"/>
      <c r="H400" s="9" t="n"/>
      <c r="I400" s="9" t="n"/>
      <c r="J400" s="3" t="n"/>
      <c r="K400" s="9" t="n"/>
    </row>
    <row r="401">
      <c r="A401" s="4" t="n"/>
      <c r="B401" s="9">
        <f>IF(A401="","",IF(DAY(A401)&lt;=2,1,IF(DAY(A401)&lt;=9,2,IF(DAY(A401)&lt;=16,3,IF(DAY(A401)&lt;=23,4,5)))))</f>
        <v/>
      </c>
      <c r="C401" s="9" t="n"/>
      <c r="D401" s="9" t="n"/>
      <c r="E401" s="9" t="n"/>
      <c r="F401" s="9" t="n"/>
      <c r="G401" s="9" t="n"/>
      <c r="H401" s="9" t="n"/>
      <c r="I401" s="9" t="n"/>
      <c r="J401" s="3" t="n"/>
      <c r="K401" s="9" t="n"/>
    </row>
    <row r="402">
      <c r="A402" s="4" t="n"/>
      <c r="B402" s="9">
        <f>IF(A402="","",IF(DAY(A402)&lt;=2,1,IF(DAY(A402)&lt;=9,2,IF(DAY(A402)&lt;=16,3,IF(DAY(A402)&lt;=23,4,5)))))</f>
        <v/>
      </c>
      <c r="C402" s="9" t="n"/>
      <c r="D402" s="9" t="n"/>
      <c r="E402" s="9" t="n"/>
      <c r="F402" s="9" t="n"/>
      <c r="G402" s="9" t="n"/>
      <c r="H402" s="9" t="n"/>
      <c r="I402" s="9" t="n"/>
      <c r="J402" s="3" t="n"/>
      <c r="K402" s="9" t="n"/>
    </row>
    <row r="403">
      <c r="A403" s="4" t="n"/>
      <c r="B403" s="9">
        <f>IF(A403="","",IF(DAY(A403)&lt;=2,1,IF(DAY(A403)&lt;=9,2,IF(DAY(A403)&lt;=16,3,IF(DAY(A403)&lt;=23,4,5)))))</f>
        <v/>
      </c>
      <c r="C403" s="9" t="n"/>
      <c r="D403" s="9" t="n"/>
      <c r="E403" s="9" t="n"/>
      <c r="F403" s="9" t="n"/>
      <c r="G403" s="9" t="n"/>
      <c r="H403" s="9" t="n"/>
      <c r="I403" s="9" t="n"/>
      <c r="J403" s="3" t="n"/>
      <c r="K403" s="9" t="n"/>
    </row>
    <row r="404">
      <c r="A404" s="4" t="n"/>
      <c r="B404" s="9">
        <f>IF(A404="","",IF(DAY(A404)&lt;=2,1,IF(DAY(A404)&lt;=9,2,IF(DAY(A404)&lt;=16,3,IF(DAY(A404)&lt;=23,4,5)))))</f>
        <v/>
      </c>
      <c r="C404" s="9" t="n"/>
      <c r="D404" s="9" t="n"/>
      <c r="E404" s="9" t="n"/>
      <c r="F404" s="9" t="n"/>
      <c r="G404" s="9" t="n"/>
      <c r="H404" s="9" t="n"/>
      <c r="I404" s="9" t="n"/>
      <c r="J404" s="3" t="n"/>
      <c r="K404" s="9" t="n"/>
    </row>
    <row r="405">
      <c r="A405" s="4" t="n"/>
      <c r="B405" s="9">
        <f>IF(A405="","",IF(DAY(A405)&lt;=2,1,IF(DAY(A405)&lt;=9,2,IF(DAY(A405)&lt;=16,3,IF(DAY(A405)&lt;=23,4,5)))))</f>
        <v/>
      </c>
      <c r="C405" s="9" t="n"/>
      <c r="D405" s="9" t="n"/>
      <c r="E405" s="9" t="n"/>
      <c r="F405" s="9" t="n"/>
      <c r="G405" s="9" t="n"/>
      <c r="H405" s="9" t="n"/>
      <c r="I405" s="9" t="n"/>
      <c r="J405" s="3" t="n"/>
      <c r="K405" s="9" t="n"/>
    </row>
    <row r="406">
      <c r="A406" s="4" t="n"/>
      <c r="B406" s="9">
        <f>IF(A406="","",IF(DAY(A406)&lt;=2,1,IF(DAY(A406)&lt;=9,2,IF(DAY(A406)&lt;=16,3,IF(DAY(A406)&lt;=23,4,5)))))</f>
        <v/>
      </c>
      <c r="C406" s="9" t="n"/>
      <c r="D406" s="9" t="n"/>
      <c r="E406" s="9" t="n"/>
      <c r="F406" s="9" t="n"/>
      <c r="G406" s="9" t="n"/>
      <c r="H406" s="9" t="n"/>
      <c r="I406" s="9" t="n"/>
      <c r="J406" s="3" t="n"/>
      <c r="K406" s="9" t="n"/>
    </row>
    <row r="407">
      <c r="A407" s="4" t="n"/>
      <c r="B407" s="9">
        <f>IF(A407="","",IF(DAY(A407)&lt;=2,1,IF(DAY(A407)&lt;=9,2,IF(DAY(A407)&lt;=16,3,IF(DAY(A407)&lt;=23,4,5)))))</f>
        <v/>
      </c>
      <c r="C407" s="9" t="n"/>
      <c r="D407" s="9" t="n"/>
      <c r="E407" s="9" t="n"/>
      <c r="F407" s="9" t="n"/>
      <c r="G407" s="9" t="n"/>
      <c r="H407" s="9" t="n"/>
      <c r="I407" s="9" t="n"/>
      <c r="J407" s="3" t="n"/>
      <c r="K407" s="9" t="n"/>
    </row>
    <row r="408">
      <c r="A408" s="4" t="n"/>
      <c r="B408" s="9">
        <f>IF(A408="","",IF(DAY(A408)&lt;=2,1,IF(DAY(A408)&lt;=9,2,IF(DAY(A408)&lt;=16,3,IF(DAY(A408)&lt;=23,4,5)))))</f>
        <v/>
      </c>
      <c r="C408" s="9" t="n"/>
      <c r="D408" s="9" t="n"/>
      <c r="E408" s="9" t="n"/>
      <c r="F408" s="9" t="n"/>
      <c r="G408" s="9" t="n"/>
      <c r="H408" s="9" t="n"/>
      <c r="I408" s="9" t="n"/>
      <c r="J408" s="3" t="n"/>
      <c r="K408" s="9" t="n"/>
    </row>
    <row r="409">
      <c r="A409" s="4" t="n"/>
      <c r="B409" s="9">
        <f>IF(A409="","",IF(DAY(A409)&lt;=2,1,IF(DAY(A409)&lt;=9,2,IF(DAY(A409)&lt;=16,3,IF(DAY(A409)&lt;=23,4,5)))))</f>
        <v/>
      </c>
      <c r="C409" s="9" t="n"/>
      <c r="D409" s="9" t="n"/>
      <c r="E409" s="9" t="n"/>
      <c r="F409" s="9" t="n"/>
      <c r="G409" s="9" t="n"/>
      <c r="H409" s="9" t="n"/>
      <c r="I409" s="9" t="n"/>
      <c r="J409" s="3" t="n"/>
      <c r="K409" s="9" t="n"/>
    </row>
    <row r="410">
      <c r="A410" s="4" t="n"/>
      <c r="B410" s="9">
        <f>IF(A410="","",IF(DAY(A410)&lt;=2,1,IF(DAY(A410)&lt;=9,2,IF(DAY(A410)&lt;=16,3,IF(DAY(A410)&lt;=23,4,5)))))</f>
        <v/>
      </c>
      <c r="C410" s="9" t="n"/>
      <c r="D410" s="9" t="n"/>
      <c r="E410" s="9" t="n"/>
      <c r="F410" s="9" t="n"/>
      <c r="G410" s="9" t="n"/>
      <c r="H410" s="9" t="n"/>
      <c r="I410" s="9" t="n"/>
      <c r="J410" s="3" t="n"/>
      <c r="K410" s="9" t="n"/>
    </row>
    <row r="411">
      <c r="A411" s="4" t="n"/>
      <c r="B411" s="9">
        <f>IF(A411="","",IF(DAY(A411)&lt;=2,1,IF(DAY(A411)&lt;=9,2,IF(DAY(A411)&lt;=16,3,IF(DAY(A411)&lt;=23,4,5)))))</f>
        <v/>
      </c>
      <c r="C411" s="9" t="n"/>
      <c r="D411" s="9" t="n"/>
      <c r="E411" s="9" t="n"/>
      <c r="F411" s="9" t="n"/>
      <c r="G411" s="9" t="n"/>
      <c r="H411" s="9" t="n"/>
      <c r="I411" s="9" t="n"/>
      <c r="J411" s="3" t="n"/>
      <c r="K411" s="9" t="n"/>
    </row>
    <row r="412">
      <c r="A412" s="4" t="n"/>
      <c r="B412" s="9">
        <f>IF(A412="","",IF(DAY(A412)&lt;=2,1,IF(DAY(A412)&lt;=9,2,IF(DAY(A412)&lt;=16,3,IF(DAY(A412)&lt;=23,4,5)))))</f>
        <v/>
      </c>
      <c r="C412" s="9" t="n"/>
      <c r="D412" s="9" t="n"/>
      <c r="E412" s="9" t="n"/>
      <c r="F412" s="9" t="n"/>
      <c r="G412" s="9" t="n"/>
      <c r="H412" s="9" t="n"/>
      <c r="I412" s="9" t="n"/>
      <c r="J412" s="3" t="n"/>
      <c r="K412" s="9" t="n"/>
    </row>
    <row r="413">
      <c r="A413" s="4" t="n"/>
      <c r="B413" s="9">
        <f>IF(A413="","",IF(DAY(A413)&lt;=2,1,IF(DAY(A413)&lt;=9,2,IF(DAY(A413)&lt;=16,3,IF(DAY(A413)&lt;=23,4,5)))))</f>
        <v/>
      </c>
      <c r="C413" s="9" t="n"/>
      <c r="D413" s="9" t="n"/>
      <c r="E413" s="9" t="n"/>
      <c r="F413" s="9" t="n"/>
      <c r="G413" s="9" t="n"/>
      <c r="H413" s="9" t="n"/>
      <c r="I413" s="9" t="n"/>
      <c r="J413" s="3" t="n"/>
      <c r="K413" s="9" t="n"/>
    </row>
    <row r="414">
      <c r="A414" s="4" t="n"/>
      <c r="B414" s="9">
        <f>IF(A414="","",IF(DAY(A414)&lt;=2,1,IF(DAY(A414)&lt;=9,2,IF(DAY(A414)&lt;=16,3,IF(DAY(A414)&lt;=23,4,5)))))</f>
        <v/>
      </c>
      <c r="C414" s="9" t="n"/>
      <c r="D414" s="9" t="n"/>
      <c r="E414" s="9" t="n"/>
      <c r="F414" s="9" t="n"/>
      <c r="G414" s="9" t="n"/>
      <c r="H414" s="9" t="n"/>
      <c r="I414" s="9" t="n"/>
      <c r="J414" s="3" t="n"/>
      <c r="K414" s="9" t="n"/>
    </row>
    <row r="415">
      <c r="A415" s="4" t="n"/>
      <c r="B415" s="9">
        <f>IF(A415="","",IF(DAY(A415)&lt;=2,1,IF(DAY(A415)&lt;=9,2,IF(DAY(A415)&lt;=16,3,IF(DAY(A415)&lt;=23,4,5)))))</f>
        <v/>
      </c>
      <c r="C415" s="9" t="n"/>
      <c r="D415" s="9" t="n"/>
      <c r="E415" s="9" t="n"/>
      <c r="F415" s="9" t="n"/>
      <c r="G415" s="9" t="n"/>
      <c r="H415" s="9" t="n"/>
      <c r="I415" s="9" t="n"/>
      <c r="J415" s="3" t="n"/>
      <c r="K415" s="9" t="n"/>
    </row>
    <row r="416">
      <c r="A416" s="4" t="n"/>
      <c r="B416" s="9">
        <f>IF(A416="","",IF(DAY(A416)&lt;=2,1,IF(DAY(A416)&lt;=9,2,IF(DAY(A416)&lt;=16,3,IF(DAY(A416)&lt;=23,4,5)))))</f>
        <v/>
      </c>
      <c r="C416" s="9" t="n"/>
      <c r="D416" s="9" t="n"/>
      <c r="E416" s="9" t="n"/>
      <c r="F416" s="9" t="n"/>
      <c r="G416" s="9" t="n"/>
      <c r="H416" s="9" t="n"/>
      <c r="I416" s="9" t="n"/>
      <c r="J416" s="3" t="n"/>
      <c r="K416" s="9" t="n"/>
    </row>
    <row r="417">
      <c r="A417" s="4" t="n"/>
      <c r="B417" s="9">
        <f>IF(A417="","",IF(DAY(A417)&lt;=2,1,IF(DAY(A417)&lt;=9,2,IF(DAY(A417)&lt;=16,3,IF(DAY(A417)&lt;=23,4,5)))))</f>
        <v/>
      </c>
      <c r="C417" s="9" t="n"/>
      <c r="D417" s="9" t="n"/>
      <c r="E417" s="9" t="n"/>
      <c r="F417" s="9" t="n"/>
      <c r="G417" s="9" t="n"/>
      <c r="H417" s="9" t="n"/>
      <c r="I417" s="9" t="n"/>
      <c r="J417" s="3" t="n"/>
      <c r="K417" s="9" t="n"/>
    </row>
    <row r="418">
      <c r="A418" s="4" t="n"/>
      <c r="B418" s="9">
        <f>IF(A418="","",IF(DAY(A418)&lt;=2,1,IF(DAY(A418)&lt;=9,2,IF(DAY(A418)&lt;=16,3,IF(DAY(A418)&lt;=23,4,5)))))</f>
        <v/>
      </c>
      <c r="C418" s="9" t="n"/>
      <c r="D418" s="9" t="n"/>
      <c r="E418" s="9" t="n"/>
      <c r="F418" s="9" t="n"/>
      <c r="G418" s="9" t="n"/>
      <c r="H418" s="9" t="n"/>
      <c r="I418" s="9" t="n"/>
      <c r="J418" s="3" t="n"/>
      <c r="K418" s="9" t="n"/>
    </row>
    <row r="419">
      <c r="A419" s="4" t="n"/>
      <c r="B419" s="9">
        <f>IF(A419="","",IF(DAY(A419)&lt;=2,1,IF(DAY(A419)&lt;=9,2,IF(DAY(A419)&lt;=16,3,IF(DAY(A419)&lt;=23,4,5)))))</f>
        <v/>
      </c>
      <c r="C419" s="9" t="n"/>
      <c r="D419" s="9" t="n"/>
      <c r="E419" s="9" t="n"/>
      <c r="F419" s="9" t="n"/>
      <c r="G419" s="9" t="n"/>
      <c r="H419" s="9" t="n"/>
      <c r="I419" s="9" t="n"/>
      <c r="J419" s="3" t="n"/>
      <c r="K419" s="9" t="n"/>
    </row>
    <row r="420">
      <c r="A420" s="4" t="n"/>
      <c r="B420" s="9">
        <f>IF(A420="","",IF(DAY(A420)&lt;=2,1,IF(DAY(A420)&lt;=9,2,IF(DAY(A420)&lt;=16,3,IF(DAY(A420)&lt;=23,4,5)))))</f>
        <v/>
      </c>
      <c r="C420" s="9" t="n"/>
      <c r="D420" s="9" t="n"/>
      <c r="E420" s="9" t="n"/>
      <c r="F420" s="9" t="n"/>
      <c r="G420" s="9" t="n"/>
      <c r="H420" s="9" t="n"/>
      <c r="I420" s="9" t="n"/>
      <c r="J420" s="3" t="n"/>
      <c r="K420" s="9" t="n"/>
    </row>
    <row r="421">
      <c r="A421" s="4" t="n"/>
      <c r="B421" s="9">
        <f>IF(A421="","",IF(DAY(A421)&lt;=2,1,IF(DAY(A421)&lt;=9,2,IF(DAY(A421)&lt;=16,3,IF(DAY(A421)&lt;=23,4,5)))))</f>
        <v/>
      </c>
      <c r="C421" s="9" t="n"/>
      <c r="D421" s="9" t="n"/>
      <c r="E421" s="9" t="n"/>
      <c r="F421" s="9" t="n"/>
      <c r="G421" s="9" t="n"/>
      <c r="H421" s="9" t="n"/>
      <c r="I421" s="9" t="n"/>
      <c r="J421" s="3" t="n"/>
      <c r="K421" s="9" t="n"/>
    </row>
    <row r="422">
      <c r="A422" s="4" t="n"/>
      <c r="B422" s="9">
        <f>IF(A422="","",IF(DAY(A422)&lt;=2,1,IF(DAY(A422)&lt;=9,2,IF(DAY(A422)&lt;=16,3,IF(DAY(A422)&lt;=23,4,5)))))</f>
        <v/>
      </c>
      <c r="C422" s="9" t="n"/>
      <c r="D422" s="9" t="n"/>
      <c r="E422" s="9" t="n"/>
      <c r="F422" s="9" t="n"/>
      <c r="G422" s="9" t="n"/>
      <c r="H422" s="9" t="n"/>
      <c r="I422" s="9" t="n"/>
      <c r="J422" s="3" t="n"/>
      <c r="K422" s="9" t="n"/>
    </row>
    <row r="423">
      <c r="A423" s="4" t="n"/>
      <c r="B423" s="9">
        <f>IF(A423="","",IF(DAY(A423)&lt;=2,1,IF(DAY(A423)&lt;=9,2,IF(DAY(A423)&lt;=16,3,IF(DAY(A423)&lt;=23,4,5)))))</f>
        <v/>
      </c>
      <c r="C423" s="9" t="n"/>
      <c r="D423" s="9" t="n"/>
      <c r="E423" s="9" t="n"/>
      <c r="F423" s="9" t="n"/>
      <c r="G423" s="9" t="n"/>
      <c r="H423" s="9" t="n"/>
      <c r="I423" s="9" t="n"/>
      <c r="J423" s="3" t="n"/>
      <c r="K423" s="9" t="n"/>
    </row>
    <row r="424">
      <c r="A424" s="4" t="n"/>
      <c r="B424" s="9">
        <f>IF(A424="","",IF(DAY(A424)&lt;=2,1,IF(DAY(A424)&lt;=9,2,IF(DAY(A424)&lt;=16,3,IF(DAY(A424)&lt;=23,4,5)))))</f>
        <v/>
      </c>
      <c r="C424" s="9" t="n"/>
      <c r="D424" s="9" t="n"/>
      <c r="E424" s="9" t="n"/>
      <c r="F424" s="9" t="n"/>
      <c r="G424" s="9" t="n"/>
      <c r="H424" s="9" t="n"/>
      <c r="I424" s="9" t="n"/>
      <c r="J424" s="3" t="n"/>
      <c r="K424" s="9" t="n"/>
    </row>
    <row r="425">
      <c r="A425" s="4" t="n"/>
      <c r="B425" s="9">
        <f>IF(A425="","",IF(DAY(A425)&lt;=2,1,IF(DAY(A425)&lt;=9,2,IF(DAY(A425)&lt;=16,3,IF(DAY(A425)&lt;=23,4,5)))))</f>
        <v/>
      </c>
      <c r="C425" s="9" t="n"/>
      <c r="D425" s="9" t="n"/>
      <c r="E425" s="9" t="n"/>
      <c r="F425" s="9" t="n"/>
      <c r="G425" s="9" t="n"/>
      <c r="H425" s="9" t="n"/>
      <c r="I425" s="9" t="n"/>
      <c r="J425" s="3" t="n"/>
      <c r="K425" s="9" t="n"/>
    </row>
    <row r="426">
      <c r="A426" s="4" t="n"/>
      <c r="B426" s="9">
        <f>IF(A426="","",IF(DAY(A426)&lt;=2,1,IF(DAY(A426)&lt;=9,2,IF(DAY(A426)&lt;=16,3,IF(DAY(A426)&lt;=23,4,5)))))</f>
        <v/>
      </c>
      <c r="C426" s="9" t="n"/>
      <c r="D426" s="9" t="n"/>
      <c r="E426" s="9" t="n"/>
      <c r="F426" s="9" t="n"/>
      <c r="G426" s="9" t="n"/>
      <c r="H426" s="9" t="n"/>
      <c r="I426" s="9" t="n"/>
      <c r="J426" s="3" t="n"/>
      <c r="K426" s="9" t="n"/>
    </row>
    <row r="427">
      <c r="A427" s="4" t="n"/>
      <c r="B427" s="9">
        <f>IF(A427="","",IF(DAY(A427)&lt;=2,1,IF(DAY(A427)&lt;=9,2,IF(DAY(A427)&lt;=16,3,IF(DAY(A427)&lt;=23,4,5)))))</f>
        <v/>
      </c>
      <c r="C427" s="9" t="n"/>
      <c r="D427" s="9" t="n"/>
      <c r="E427" s="9" t="n"/>
      <c r="F427" s="9" t="n"/>
      <c r="G427" s="9" t="n"/>
      <c r="H427" s="9" t="n"/>
      <c r="I427" s="9" t="n"/>
      <c r="J427" s="3" t="n"/>
      <c r="K427" s="9" t="n"/>
    </row>
    <row r="428">
      <c r="A428" s="4" t="n"/>
      <c r="B428" s="9">
        <f>IF(A428="","",IF(DAY(A428)&lt;=2,1,IF(DAY(A428)&lt;=9,2,IF(DAY(A428)&lt;=16,3,IF(DAY(A428)&lt;=23,4,5)))))</f>
        <v/>
      </c>
      <c r="C428" s="9" t="n"/>
      <c r="D428" s="9" t="n"/>
      <c r="E428" s="9" t="n"/>
      <c r="F428" s="9" t="n"/>
      <c r="G428" s="9" t="n"/>
      <c r="H428" s="9" t="n"/>
      <c r="I428" s="9" t="n"/>
      <c r="J428" s="3" t="n"/>
      <c r="K428" s="9" t="n"/>
    </row>
    <row r="429">
      <c r="A429" s="4" t="n"/>
      <c r="B429" s="9">
        <f>IF(A429="","",IF(DAY(A429)&lt;=2,1,IF(DAY(A429)&lt;=9,2,IF(DAY(A429)&lt;=16,3,IF(DAY(A429)&lt;=23,4,5)))))</f>
        <v/>
      </c>
      <c r="C429" s="9" t="n"/>
      <c r="D429" s="9" t="n"/>
      <c r="E429" s="9" t="n"/>
      <c r="F429" s="9" t="n"/>
      <c r="G429" s="9" t="n"/>
      <c r="H429" s="9" t="n"/>
      <c r="I429" s="9" t="n"/>
      <c r="J429" s="3" t="n"/>
      <c r="K429" s="9" t="n"/>
    </row>
    <row r="430">
      <c r="A430" s="4" t="n"/>
      <c r="B430" s="9">
        <f>IF(A430="","",IF(DAY(A430)&lt;=2,1,IF(DAY(A430)&lt;=9,2,IF(DAY(A430)&lt;=16,3,IF(DAY(A430)&lt;=23,4,5)))))</f>
        <v/>
      </c>
      <c r="C430" s="9" t="n"/>
      <c r="D430" s="9" t="n"/>
      <c r="E430" s="9" t="n"/>
      <c r="F430" s="9" t="n"/>
      <c r="G430" s="9" t="n"/>
      <c r="H430" s="9" t="n"/>
      <c r="I430" s="9" t="n"/>
      <c r="J430" s="3" t="n"/>
      <c r="K430" s="9" t="n"/>
    </row>
    <row r="431">
      <c r="A431" s="4" t="n"/>
      <c r="B431" s="9">
        <f>IF(A431="","",IF(DAY(A431)&lt;=2,1,IF(DAY(A431)&lt;=9,2,IF(DAY(A431)&lt;=16,3,IF(DAY(A431)&lt;=23,4,5)))))</f>
        <v/>
      </c>
      <c r="C431" s="9" t="n"/>
      <c r="D431" s="9" t="n"/>
      <c r="E431" s="9" t="n"/>
      <c r="F431" s="9" t="n"/>
      <c r="G431" s="9" t="n"/>
      <c r="H431" s="9" t="n"/>
      <c r="I431" s="9" t="n"/>
      <c r="J431" s="3" t="n"/>
      <c r="K431" s="9" t="n"/>
    </row>
    <row r="432">
      <c r="A432" s="4" t="n"/>
      <c r="B432" s="9">
        <f>IF(A432="","",IF(DAY(A432)&lt;=2,1,IF(DAY(A432)&lt;=9,2,IF(DAY(A432)&lt;=16,3,IF(DAY(A432)&lt;=23,4,5)))))</f>
        <v/>
      </c>
      <c r="C432" s="9" t="n"/>
      <c r="D432" s="9" t="n"/>
      <c r="E432" s="9" t="n"/>
      <c r="F432" s="9" t="n"/>
      <c r="G432" s="9" t="n"/>
      <c r="H432" s="9" t="n"/>
      <c r="I432" s="9" t="n"/>
      <c r="J432" s="3" t="n"/>
      <c r="K432" s="9" t="n"/>
    </row>
    <row r="433">
      <c r="A433" s="4" t="n"/>
      <c r="B433" s="9">
        <f>IF(A433="","",IF(DAY(A433)&lt;=2,1,IF(DAY(A433)&lt;=9,2,IF(DAY(A433)&lt;=16,3,IF(DAY(A433)&lt;=23,4,5)))))</f>
        <v/>
      </c>
      <c r="C433" s="9" t="n"/>
      <c r="D433" s="9" t="n"/>
      <c r="E433" s="9" t="n"/>
      <c r="F433" s="9" t="n"/>
      <c r="G433" s="9" t="n"/>
      <c r="H433" s="9" t="n"/>
      <c r="I433" s="9" t="n"/>
      <c r="J433" s="3" t="n"/>
      <c r="K433" s="9" t="n"/>
    </row>
    <row r="434">
      <c r="A434" s="4" t="n"/>
      <c r="B434" s="9">
        <f>IF(A434="","",IF(DAY(A434)&lt;=2,1,IF(DAY(A434)&lt;=9,2,IF(DAY(A434)&lt;=16,3,IF(DAY(A434)&lt;=23,4,5)))))</f>
        <v/>
      </c>
      <c r="C434" s="9" t="n"/>
      <c r="D434" s="9" t="n"/>
      <c r="E434" s="9" t="n"/>
      <c r="F434" s="9" t="n"/>
      <c r="G434" s="9" t="n"/>
      <c r="H434" s="9" t="n"/>
      <c r="I434" s="9" t="n"/>
      <c r="J434" s="3" t="n"/>
      <c r="K434" s="9" t="n"/>
    </row>
    <row r="435">
      <c r="A435" s="4" t="n"/>
      <c r="B435" s="9">
        <f>IF(A435="","",IF(DAY(A435)&lt;=2,1,IF(DAY(A435)&lt;=9,2,IF(DAY(A435)&lt;=16,3,IF(DAY(A435)&lt;=23,4,5)))))</f>
        <v/>
      </c>
      <c r="C435" s="9" t="n"/>
      <c r="D435" s="9" t="n"/>
      <c r="E435" s="9" t="n"/>
      <c r="F435" s="9" t="n"/>
      <c r="G435" s="9" t="n"/>
      <c r="H435" s="9" t="n"/>
      <c r="I435" s="9" t="n"/>
      <c r="J435" s="3" t="n"/>
      <c r="K435" s="9" t="n"/>
    </row>
    <row r="436">
      <c r="A436" s="4" t="n"/>
      <c r="B436" s="9">
        <f>IF(A436="","",IF(DAY(A436)&lt;=2,1,IF(DAY(A436)&lt;=9,2,IF(DAY(A436)&lt;=16,3,IF(DAY(A436)&lt;=23,4,5)))))</f>
        <v/>
      </c>
      <c r="C436" s="9" t="n"/>
      <c r="D436" s="9" t="n"/>
      <c r="E436" s="9" t="n"/>
      <c r="F436" s="9" t="n"/>
      <c r="G436" s="9" t="n"/>
      <c r="H436" s="9" t="n"/>
      <c r="I436" s="9" t="n"/>
      <c r="J436" s="3" t="n"/>
      <c r="K436" s="9" t="n"/>
    </row>
    <row r="437">
      <c r="A437" s="4" t="n"/>
      <c r="B437" s="9">
        <f>IF(A437="","",IF(DAY(A437)&lt;=2,1,IF(DAY(A437)&lt;=9,2,IF(DAY(A437)&lt;=16,3,IF(DAY(A437)&lt;=23,4,5)))))</f>
        <v/>
      </c>
      <c r="C437" s="9" t="n"/>
      <c r="D437" s="9" t="n"/>
      <c r="E437" s="9" t="n"/>
      <c r="F437" s="9" t="n"/>
      <c r="G437" s="9" t="n"/>
      <c r="H437" s="9" t="n"/>
      <c r="I437" s="9" t="n"/>
      <c r="J437" s="3" t="n"/>
      <c r="K437" s="9" t="n"/>
    </row>
    <row r="438">
      <c r="A438" s="4" t="n"/>
      <c r="B438" s="9">
        <f>IF(A438="","",IF(DAY(A438)&lt;=2,1,IF(DAY(A438)&lt;=9,2,IF(DAY(A438)&lt;=16,3,IF(DAY(A438)&lt;=23,4,5)))))</f>
        <v/>
      </c>
      <c r="C438" s="9" t="n"/>
      <c r="D438" s="9" t="n"/>
      <c r="E438" s="9" t="n"/>
      <c r="F438" s="9" t="n"/>
      <c r="G438" s="9" t="n"/>
      <c r="H438" s="9" t="n"/>
      <c r="I438" s="9" t="n"/>
      <c r="J438" s="3" t="n"/>
      <c r="K438" s="9" t="n"/>
    </row>
    <row r="439">
      <c r="A439" s="4" t="n"/>
      <c r="B439" s="9">
        <f>IF(A439="","",IF(DAY(A439)&lt;=2,1,IF(DAY(A439)&lt;=9,2,IF(DAY(A439)&lt;=16,3,IF(DAY(A439)&lt;=23,4,5)))))</f>
        <v/>
      </c>
      <c r="C439" s="9" t="n"/>
      <c r="D439" s="9" t="n"/>
      <c r="E439" s="9" t="n"/>
      <c r="F439" s="9" t="n"/>
      <c r="G439" s="9" t="n"/>
      <c r="H439" s="9" t="n"/>
      <c r="I439" s="9" t="n"/>
      <c r="J439" s="3" t="n"/>
      <c r="K439" s="9" t="n"/>
    </row>
    <row r="440">
      <c r="A440" s="4" t="n"/>
      <c r="B440" s="9">
        <f>IF(A440="","",IF(DAY(A440)&lt;=2,1,IF(DAY(A440)&lt;=9,2,IF(DAY(A440)&lt;=16,3,IF(DAY(A440)&lt;=23,4,5)))))</f>
        <v/>
      </c>
      <c r="C440" s="9" t="n"/>
      <c r="D440" s="9" t="n"/>
      <c r="E440" s="9" t="n"/>
      <c r="F440" s="9" t="n"/>
      <c r="G440" s="9" t="n"/>
      <c r="H440" s="9" t="n"/>
      <c r="I440" s="9" t="n"/>
      <c r="J440" s="3" t="n"/>
      <c r="K440" s="9" t="n"/>
    </row>
    <row r="441">
      <c r="A441" s="4" t="n"/>
      <c r="B441" s="9">
        <f>IF(A441="","",IF(DAY(A441)&lt;=2,1,IF(DAY(A441)&lt;=9,2,IF(DAY(A441)&lt;=16,3,IF(DAY(A441)&lt;=23,4,5)))))</f>
        <v/>
      </c>
      <c r="C441" s="9" t="n"/>
      <c r="D441" s="9" t="n"/>
      <c r="E441" s="9" t="n"/>
      <c r="F441" s="9" t="n"/>
      <c r="G441" s="9" t="n"/>
      <c r="H441" s="9" t="n"/>
      <c r="I441" s="9" t="n"/>
      <c r="J441" s="3" t="n"/>
      <c r="K441" s="9" t="n"/>
    </row>
    <row r="442">
      <c r="A442" s="4" t="n"/>
      <c r="B442" s="9">
        <f>IF(A442="","",IF(DAY(A442)&lt;=2,1,IF(DAY(A442)&lt;=9,2,IF(DAY(A442)&lt;=16,3,IF(DAY(A442)&lt;=23,4,5)))))</f>
        <v/>
      </c>
      <c r="C442" s="9" t="n"/>
      <c r="D442" s="9" t="n"/>
      <c r="E442" s="9" t="n"/>
      <c r="F442" s="9" t="n"/>
      <c r="G442" s="9" t="n"/>
      <c r="H442" s="9" t="n"/>
      <c r="I442" s="9" t="n"/>
      <c r="J442" s="3" t="n"/>
      <c r="K442" s="9" t="n"/>
    </row>
    <row r="443">
      <c r="A443" s="4" t="n"/>
      <c r="B443" s="9">
        <f>IF(A443="","",IF(DAY(A443)&lt;=2,1,IF(DAY(A443)&lt;=9,2,IF(DAY(A443)&lt;=16,3,IF(DAY(A443)&lt;=23,4,5)))))</f>
        <v/>
      </c>
      <c r="C443" s="9" t="n"/>
      <c r="D443" s="9" t="n"/>
      <c r="E443" s="9" t="n"/>
      <c r="F443" s="9" t="n"/>
      <c r="G443" s="9" t="n"/>
      <c r="H443" s="9" t="n"/>
      <c r="I443" s="9" t="n"/>
      <c r="J443" s="3" t="n"/>
      <c r="K443" s="9" t="n"/>
    </row>
    <row r="444">
      <c r="A444" s="4" t="n"/>
      <c r="B444" s="9">
        <f>IF(A444="","",IF(DAY(A444)&lt;=2,1,IF(DAY(A444)&lt;=9,2,IF(DAY(A444)&lt;=16,3,IF(DAY(A444)&lt;=23,4,5)))))</f>
        <v/>
      </c>
      <c r="C444" s="9" t="n"/>
      <c r="D444" s="9" t="n"/>
      <c r="E444" s="9" t="n"/>
      <c r="F444" s="9" t="n"/>
      <c r="G444" s="9" t="n"/>
      <c r="H444" s="9" t="n"/>
      <c r="I444" s="9" t="n"/>
      <c r="J444" s="3" t="n"/>
      <c r="K444" s="9" t="n"/>
    </row>
    <row r="445">
      <c r="A445" s="4" t="n"/>
      <c r="B445" s="9">
        <f>IF(A445="","",IF(DAY(A445)&lt;=2,1,IF(DAY(A445)&lt;=9,2,IF(DAY(A445)&lt;=16,3,IF(DAY(A445)&lt;=23,4,5)))))</f>
        <v/>
      </c>
      <c r="C445" s="9" t="n"/>
      <c r="D445" s="9" t="n"/>
      <c r="E445" s="9" t="n"/>
      <c r="F445" s="9" t="n"/>
      <c r="G445" s="9" t="n"/>
      <c r="H445" s="9" t="n"/>
      <c r="I445" s="9" t="n"/>
      <c r="J445" s="3" t="n"/>
      <c r="K445" s="9" t="n"/>
    </row>
    <row r="446">
      <c r="A446" s="4" t="n"/>
      <c r="B446" s="9">
        <f>IF(A446="","",IF(DAY(A446)&lt;=2,1,IF(DAY(A446)&lt;=9,2,IF(DAY(A446)&lt;=16,3,IF(DAY(A446)&lt;=23,4,5)))))</f>
        <v/>
      </c>
      <c r="C446" s="9" t="n"/>
      <c r="D446" s="9" t="n"/>
      <c r="E446" s="9" t="n"/>
      <c r="F446" s="9" t="n"/>
      <c r="G446" s="9" t="n"/>
      <c r="H446" s="9" t="n"/>
      <c r="I446" s="9" t="n"/>
      <c r="J446" s="3" t="n"/>
      <c r="K446" s="9" t="n"/>
    </row>
    <row r="447">
      <c r="A447" s="4" t="n"/>
      <c r="B447" s="9">
        <f>IF(A447="","",IF(DAY(A447)&lt;=2,1,IF(DAY(A447)&lt;=9,2,IF(DAY(A447)&lt;=16,3,IF(DAY(A447)&lt;=23,4,5)))))</f>
        <v/>
      </c>
      <c r="C447" s="9" t="n"/>
      <c r="D447" s="9" t="n"/>
      <c r="E447" s="9" t="n"/>
      <c r="F447" s="9" t="n"/>
      <c r="G447" s="9" t="n"/>
      <c r="H447" s="9" t="n"/>
      <c r="I447" s="9" t="n"/>
      <c r="J447" s="3" t="n"/>
      <c r="K447" s="9" t="n"/>
    </row>
    <row r="448">
      <c r="A448" s="4" t="n"/>
      <c r="B448" s="9">
        <f>IF(A448="","",IF(DAY(A448)&lt;=2,1,IF(DAY(A448)&lt;=9,2,IF(DAY(A448)&lt;=16,3,IF(DAY(A448)&lt;=23,4,5)))))</f>
        <v/>
      </c>
      <c r="C448" s="9" t="n"/>
      <c r="D448" s="9" t="n"/>
      <c r="E448" s="9" t="n"/>
      <c r="F448" s="9" t="n"/>
      <c r="G448" s="9" t="n"/>
      <c r="H448" s="9" t="n"/>
      <c r="I448" s="9" t="n"/>
      <c r="J448" s="3" t="n"/>
      <c r="K448" s="9" t="n"/>
    </row>
    <row r="449">
      <c r="A449" s="4" t="n"/>
      <c r="B449" s="9">
        <f>IF(A449="","",IF(DAY(A449)&lt;=2,1,IF(DAY(A449)&lt;=9,2,IF(DAY(A449)&lt;=16,3,IF(DAY(A449)&lt;=23,4,5)))))</f>
        <v/>
      </c>
      <c r="C449" s="9" t="n"/>
      <c r="D449" s="9" t="n"/>
      <c r="E449" s="9" t="n"/>
      <c r="F449" s="9" t="n"/>
      <c r="G449" s="9" t="n"/>
      <c r="H449" s="9" t="n"/>
      <c r="I449" s="9" t="n"/>
      <c r="J449" s="3" t="n"/>
      <c r="K449" s="9" t="n"/>
    </row>
    <row r="450">
      <c r="A450" s="4" t="n"/>
      <c r="B450" s="9">
        <f>IF(A450="","",IF(DAY(A450)&lt;=2,1,IF(DAY(A450)&lt;=9,2,IF(DAY(A450)&lt;=16,3,IF(DAY(A450)&lt;=23,4,5)))))</f>
        <v/>
      </c>
      <c r="C450" s="9" t="n"/>
      <c r="D450" s="9" t="n"/>
      <c r="E450" s="9" t="n"/>
      <c r="F450" s="9" t="n"/>
      <c r="G450" s="9" t="n"/>
      <c r="H450" s="9" t="n"/>
      <c r="I450" s="9" t="n"/>
      <c r="J450" s="3" t="n"/>
      <c r="K450" s="9" t="n"/>
    </row>
    <row r="451">
      <c r="A451" s="4" t="n"/>
      <c r="B451" s="9">
        <f>IF(A451="","",IF(DAY(A451)&lt;=2,1,IF(DAY(A451)&lt;=9,2,IF(DAY(A451)&lt;=16,3,IF(DAY(A451)&lt;=23,4,5)))))</f>
        <v/>
      </c>
      <c r="C451" s="9" t="n"/>
      <c r="D451" s="9" t="n"/>
      <c r="E451" s="9" t="n"/>
      <c r="F451" s="9" t="n"/>
      <c r="G451" s="9" t="n"/>
      <c r="H451" s="9" t="n"/>
      <c r="I451" s="9" t="n"/>
      <c r="J451" s="3" t="n"/>
      <c r="K451" s="9" t="n"/>
    </row>
    <row r="452">
      <c r="A452" s="4" t="n"/>
      <c r="B452" s="9">
        <f>IF(A452="","",IF(DAY(A452)&lt;=2,1,IF(DAY(A452)&lt;=9,2,IF(DAY(A452)&lt;=16,3,IF(DAY(A452)&lt;=23,4,5)))))</f>
        <v/>
      </c>
      <c r="C452" s="9" t="n"/>
      <c r="D452" s="9" t="n"/>
      <c r="E452" s="9" t="n"/>
      <c r="F452" s="9" t="n"/>
      <c r="G452" s="9" t="n"/>
      <c r="H452" s="9" t="n"/>
      <c r="I452" s="9" t="n"/>
      <c r="J452" s="3" t="n"/>
      <c r="K452" s="9" t="n"/>
    </row>
    <row r="453">
      <c r="A453" s="4" t="n"/>
      <c r="B453" s="9">
        <f>IF(A453="","",IF(DAY(A453)&lt;=2,1,IF(DAY(A453)&lt;=9,2,IF(DAY(A453)&lt;=16,3,IF(DAY(A453)&lt;=23,4,5)))))</f>
        <v/>
      </c>
      <c r="C453" s="9" t="n"/>
      <c r="D453" s="9" t="n"/>
      <c r="E453" s="9" t="n"/>
      <c r="F453" s="9" t="n"/>
      <c r="G453" s="9" t="n"/>
      <c r="H453" s="9" t="n"/>
      <c r="I453" s="9" t="n"/>
      <c r="J453" s="3" t="n"/>
      <c r="K453" s="9" t="n"/>
    </row>
    <row r="454">
      <c r="A454" s="4" t="n"/>
      <c r="B454" s="9">
        <f>IF(A454="","",IF(DAY(A454)&lt;=2,1,IF(DAY(A454)&lt;=9,2,IF(DAY(A454)&lt;=16,3,IF(DAY(A454)&lt;=23,4,5)))))</f>
        <v/>
      </c>
      <c r="C454" s="9" t="n"/>
      <c r="D454" s="9" t="n"/>
      <c r="E454" s="9" t="n"/>
      <c r="F454" s="9" t="n"/>
      <c r="G454" s="9" t="n"/>
      <c r="H454" s="9" t="n"/>
      <c r="I454" s="9" t="n"/>
      <c r="J454" s="3" t="n"/>
      <c r="K454" s="9" t="n"/>
    </row>
    <row r="455">
      <c r="A455" s="4" t="n"/>
      <c r="B455" s="9">
        <f>IF(A455="","",IF(DAY(A455)&lt;=2,1,IF(DAY(A455)&lt;=9,2,IF(DAY(A455)&lt;=16,3,IF(DAY(A455)&lt;=23,4,5)))))</f>
        <v/>
      </c>
      <c r="C455" s="9" t="n"/>
      <c r="D455" s="9" t="n"/>
      <c r="E455" s="9" t="n"/>
      <c r="F455" s="9" t="n"/>
      <c r="G455" s="9" t="n"/>
      <c r="H455" s="9" t="n"/>
      <c r="I455" s="9" t="n"/>
      <c r="J455" s="3" t="n"/>
      <c r="K455" s="9" t="n"/>
    </row>
    <row r="456">
      <c r="A456" s="4" t="n"/>
      <c r="B456" s="9">
        <f>IF(A456="","",IF(DAY(A456)&lt;=2,1,IF(DAY(A456)&lt;=9,2,IF(DAY(A456)&lt;=16,3,IF(DAY(A456)&lt;=23,4,5)))))</f>
        <v/>
      </c>
      <c r="C456" s="9" t="n"/>
      <c r="D456" s="9" t="n"/>
      <c r="E456" s="9" t="n"/>
      <c r="F456" s="9" t="n"/>
      <c r="G456" s="9" t="n"/>
      <c r="H456" s="9" t="n"/>
      <c r="I456" s="9" t="n"/>
      <c r="J456" s="3" t="n"/>
      <c r="K456" s="9" t="n"/>
    </row>
    <row r="457">
      <c r="A457" s="4" t="n"/>
      <c r="B457" s="9">
        <f>IF(A457="","",IF(DAY(A457)&lt;=2,1,IF(DAY(A457)&lt;=9,2,IF(DAY(A457)&lt;=16,3,IF(DAY(A457)&lt;=23,4,5)))))</f>
        <v/>
      </c>
      <c r="C457" s="9" t="n"/>
      <c r="D457" s="9" t="n"/>
      <c r="E457" s="9" t="n"/>
      <c r="F457" s="9" t="n"/>
      <c r="G457" s="9" t="n"/>
      <c r="H457" s="9" t="n"/>
      <c r="I457" s="9" t="n"/>
      <c r="J457" s="3" t="n"/>
      <c r="K457" s="9" t="n"/>
    </row>
    <row r="458">
      <c r="A458" s="4" t="n"/>
      <c r="B458" s="9">
        <f>IF(A458="","",IF(DAY(A458)&lt;=2,1,IF(DAY(A458)&lt;=9,2,IF(DAY(A458)&lt;=16,3,IF(DAY(A458)&lt;=23,4,5)))))</f>
        <v/>
      </c>
      <c r="C458" s="9" t="n"/>
      <c r="D458" s="9" t="n"/>
      <c r="E458" s="9" t="n"/>
      <c r="F458" s="9" t="n"/>
      <c r="G458" s="9" t="n"/>
      <c r="H458" s="9" t="n"/>
      <c r="I458" s="9" t="n"/>
      <c r="J458" s="3" t="n"/>
      <c r="K458" s="9" t="n"/>
    </row>
    <row r="459">
      <c r="A459" s="4" t="n"/>
      <c r="B459" s="9">
        <f>IF(A459="","",IF(DAY(A459)&lt;=2,1,IF(DAY(A459)&lt;=9,2,IF(DAY(A459)&lt;=16,3,IF(DAY(A459)&lt;=23,4,5)))))</f>
        <v/>
      </c>
      <c r="C459" s="9" t="n"/>
      <c r="D459" s="9" t="n"/>
      <c r="E459" s="9" t="n"/>
      <c r="F459" s="9" t="n"/>
      <c r="G459" s="9" t="n"/>
      <c r="H459" s="9" t="n"/>
      <c r="I459" s="9" t="n"/>
      <c r="J459" s="3" t="n"/>
      <c r="K459" s="9" t="n"/>
    </row>
    <row r="460">
      <c r="A460" s="4" t="n"/>
      <c r="B460" s="9">
        <f>IF(A460="","",IF(DAY(A460)&lt;=2,1,IF(DAY(A460)&lt;=9,2,IF(DAY(A460)&lt;=16,3,IF(DAY(A460)&lt;=23,4,5)))))</f>
        <v/>
      </c>
      <c r="C460" s="9" t="n"/>
      <c r="D460" s="9" t="n"/>
      <c r="E460" s="9" t="n"/>
      <c r="F460" s="9" t="n"/>
      <c r="G460" s="9" t="n"/>
      <c r="H460" s="9" t="n"/>
      <c r="I460" s="9" t="n"/>
      <c r="J460" s="3" t="n"/>
      <c r="K460" s="9" t="n"/>
    </row>
    <row r="461">
      <c r="A461" s="4" t="n"/>
      <c r="B461" s="9">
        <f>IF(A461="","",IF(DAY(A461)&lt;=2,1,IF(DAY(A461)&lt;=9,2,IF(DAY(A461)&lt;=16,3,IF(DAY(A461)&lt;=23,4,5)))))</f>
        <v/>
      </c>
      <c r="C461" s="9" t="n"/>
      <c r="D461" s="9" t="n"/>
      <c r="E461" s="9" t="n"/>
      <c r="F461" s="9" t="n"/>
      <c r="G461" s="9" t="n"/>
      <c r="H461" s="9" t="n"/>
      <c r="I461" s="9" t="n"/>
      <c r="J461" s="3" t="n"/>
      <c r="K461" s="9" t="n"/>
    </row>
    <row r="462">
      <c r="A462" s="4" t="n"/>
      <c r="B462" s="9">
        <f>IF(A462="","",IF(DAY(A462)&lt;=2,1,IF(DAY(A462)&lt;=9,2,IF(DAY(A462)&lt;=16,3,IF(DAY(A462)&lt;=23,4,5)))))</f>
        <v/>
      </c>
      <c r="C462" s="9" t="n"/>
      <c r="D462" s="9" t="n"/>
      <c r="E462" s="9" t="n"/>
      <c r="F462" s="9" t="n"/>
      <c r="G462" s="9" t="n"/>
      <c r="H462" s="9" t="n"/>
      <c r="I462" s="9" t="n"/>
      <c r="J462" s="3" t="n"/>
      <c r="K462" s="9" t="n"/>
    </row>
    <row r="463">
      <c r="A463" s="4" t="n"/>
      <c r="B463" s="9">
        <f>IF(A463="","",IF(DAY(A463)&lt;=2,1,IF(DAY(A463)&lt;=9,2,IF(DAY(A463)&lt;=16,3,IF(DAY(A463)&lt;=23,4,5)))))</f>
        <v/>
      </c>
      <c r="C463" s="9" t="n"/>
      <c r="D463" s="9" t="n"/>
      <c r="E463" s="9" t="n"/>
      <c r="F463" s="9" t="n"/>
      <c r="G463" s="9" t="n"/>
      <c r="H463" s="9" t="n"/>
      <c r="I463" s="9" t="n"/>
      <c r="J463" s="3" t="n"/>
      <c r="K463" s="9" t="n"/>
    </row>
    <row r="464">
      <c r="A464" s="4" t="n"/>
      <c r="B464" s="9">
        <f>IF(A464="","",IF(DAY(A464)&lt;=2,1,IF(DAY(A464)&lt;=9,2,IF(DAY(A464)&lt;=16,3,IF(DAY(A464)&lt;=23,4,5)))))</f>
        <v/>
      </c>
      <c r="C464" s="9" t="n"/>
      <c r="D464" s="9" t="n"/>
      <c r="E464" s="9" t="n"/>
      <c r="F464" s="9" t="n"/>
      <c r="G464" s="9" t="n"/>
      <c r="H464" s="9" t="n"/>
      <c r="I464" s="9" t="n"/>
      <c r="J464" s="3" t="n"/>
      <c r="K464" s="9" t="n"/>
    </row>
    <row r="465">
      <c r="A465" s="4" t="n"/>
      <c r="B465" s="9">
        <f>IF(A465="","",IF(DAY(A465)&lt;=2,1,IF(DAY(A465)&lt;=9,2,IF(DAY(A465)&lt;=16,3,IF(DAY(A465)&lt;=23,4,5)))))</f>
        <v/>
      </c>
      <c r="C465" s="9" t="n"/>
      <c r="D465" s="9" t="n"/>
      <c r="E465" s="9" t="n"/>
      <c r="F465" s="9" t="n"/>
      <c r="G465" s="9" t="n"/>
      <c r="H465" s="9" t="n"/>
      <c r="I465" s="9" t="n"/>
      <c r="J465" s="3" t="n"/>
      <c r="K465" s="9" t="n"/>
    </row>
    <row r="466">
      <c r="A466" s="4" t="n"/>
      <c r="B466" s="9">
        <f>IF(A466="","",IF(DAY(A466)&lt;=2,1,IF(DAY(A466)&lt;=9,2,IF(DAY(A466)&lt;=16,3,IF(DAY(A466)&lt;=23,4,5)))))</f>
        <v/>
      </c>
      <c r="C466" s="9" t="n"/>
      <c r="D466" s="9" t="n"/>
      <c r="E466" s="9" t="n"/>
      <c r="F466" s="9" t="n"/>
      <c r="G466" s="9" t="n"/>
      <c r="H466" s="9" t="n"/>
      <c r="I466" s="9" t="n"/>
      <c r="J466" s="3" t="n"/>
      <c r="K466" s="9" t="n"/>
    </row>
    <row r="467">
      <c r="A467" s="4" t="n"/>
      <c r="B467" s="9">
        <f>IF(A467="","",IF(DAY(A467)&lt;=2,1,IF(DAY(A467)&lt;=9,2,IF(DAY(A467)&lt;=16,3,IF(DAY(A467)&lt;=23,4,5)))))</f>
        <v/>
      </c>
      <c r="C467" s="9" t="n"/>
      <c r="D467" s="9" t="n"/>
      <c r="E467" s="9" t="n"/>
      <c r="F467" s="9" t="n"/>
      <c r="G467" s="9" t="n"/>
      <c r="H467" s="9" t="n"/>
      <c r="I467" s="9" t="n"/>
      <c r="J467" s="3" t="n"/>
      <c r="K467" s="9" t="n"/>
    </row>
    <row r="468">
      <c r="A468" s="4" t="n"/>
      <c r="B468" s="9">
        <f>IF(A468="","",IF(DAY(A468)&lt;=2,1,IF(DAY(A468)&lt;=9,2,IF(DAY(A468)&lt;=16,3,IF(DAY(A468)&lt;=23,4,5)))))</f>
        <v/>
      </c>
      <c r="C468" s="9" t="n"/>
      <c r="D468" s="9" t="n"/>
      <c r="E468" s="9" t="n"/>
      <c r="F468" s="9" t="n"/>
      <c r="G468" s="9" t="n"/>
      <c r="H468" s="9" t="n"/>
      <c r="I468" s="9" t="n"/>
      <c r="J468" s="3" t="n"/>
      <c r="K468" s="9" t="n"/>
    </row>
    <row r="469">
      <c r="A469" s="4" t="n"/>
      <c r="B469" s="9">
        <f>IF(A469="","",IF(DAY(A469)&lt;=2,1,IF(DAY(A469)&lt;=9,2,IF(DAY(A469)&lt;=16,3,IF(DAY(A469)&lt;=23,4,5)))))</f>
        <v/>
      </c>
      <c r="C469" s="9" t="n"/>
      <c r="D469" s="9" t="n"/>
      <c r="E469" s="9" t="n"/>
      <c r="F469" s="9" t="n"/>
      <c r="G469" s="9" t="n"/>
      <c r="H469" s="9" t="n"/>
      <c r="I469" s="9" t="n"/>
      <c r="J469" s="3" t="n"/>
      <c r="K469" s="9" t="n"/>
    </row>
    <row r="470">
      <c r="A470" s="4" t="n"/>
      <c r="B470" s="9">
        <f>IF(A470="","",IF(DAY(A470)&lt;=2,1,IF(DAY(A470)&lt;=9,2,IF(DAY(A470)&lt;=16,3,IF(DAY(A470)&lt;=23,4,5)))))</f>
        <v/>
      </c>
      <c r="C470" s="9" t="n"/>
      <c r="D470" s="9" t="n"/>
      <c r="E470" s="9" t="n"/>
      <c r="F470" s="9" t="n"/>
      <c r="G470" s="9" t="n"/>
      <c r="H470" s="9" t="n"/>
      <c r="I470" s="9" t="n"/>
      <c r="J470" s="3" t="n"/>
      <c r="K470" s="9" t="n"/>
    </row>
    <row r="471">
      <c r="A471" s="4" t="n"/>
      <c r="B471" s="9">
        <f>IF(A471="","",IF(DAY(A471)&lt;=2,1,IF(DAY(A471)&lt;=9,2,IF(DAY(A471)&lt;=16,3,IF(DAY(A471)&lt;=23,4,5)))))</f>
        <v/>
      </c>
      <c r="C471" s="9" t="n"/>
      <c r="D471" s="9" t="n"/>
      <c r="E471" s="9" t="n"/>
      <c r="F471" s="9" t="n"/>
      <c r="G471" s="9" t="n"/>
      <c r="H471" s="9" t="n"/>
      <c r="I471" s="9" t="n"/>
      <c r="J471" s="3" t="n"/>
      <c r="K471" s="9" t="n"/>
    </row>
    <row r="472">
      <c r="A472" s="4" t="n"/>
      <c r="B472" s="9">
        <f>IF(A472="","",IF(DAY(A472)&lt;=2,1,IF(DAY(A472)&lt;=9,2,IF(DAY(A472)&lt;=16,3,IF(DAY(A472)&lt;=23,4,5)))))</f>
        <v/>
      </c>
      <c r="C472" s="9" t="n"/>
      <c r="D472" s="9" t="n"/>
      <c r="E472" s="9" t="n"/>
      <c r="F472" s="9" t="n"/>
      <c r="G472" s="9" t="n"/>
      <c r="H472" s="9" t="n"/>
      <c r="I472" s="9" t="n"/>
      <c r="J472" s="3" t="n"/>
      <c r="K472" s="9" t="n"/>
    </row>
    <row r="473">
      <c r="A473" s="4" t="n"/>
      <c r="B473" s="9">
        <f>IF(A473="","",IF(DAY(A473)&lt;=2,1,IF(DAY(A473)&lt;=9,2,IF(DAY(A473)&lt;=16,3,IF(DAY(A473)&lt;=23,4,5)))))</f>
        <v/>
      </c>
      <c r="C473" s="9" t="n"/>
      <c r="D473" s="9" t="n"/>
      <c r="E473" s="9" t="n"/>
      <c r="F473" s="9" t="n"/>
      <c r="G473" s="9" t="n"/>
      <c r="H473" s="9" t="n"/>
      <c r="I473" s="9" t="n"/>
      <c r="J473" s="3" t="n"/>
      <c r="K473" s="9" t="n"/>
    </row>
    <row r="474">
      <c r="A474" s="4" t="n"/>
      <c r="B474" s="9">
        <f>IF(A474="","",IF(DAY(A474)&lt;=2,1,IF(DAY(A474)&lt;=9,2,IF(DAY(A474)&lt;=16,3,IF(DAY(A474)&lt;=23,4,5)))))</f>
        <v/>
      </c>
      <c r="C474" s="9" t="n"/>
      <c r="D474" s="9" t="n"/>
      <c r="E474" s="9" t="n"/>
      <c r="F474" s="9" t="n"/>
      <c r="G474" s="9" t="n"/>
      <c r="H474" s="9" t="n"/>
      <c r="I474" s="9" t="n"/>
      <c r="J474" s="3" t="n"/>
      <c r="K474" s="9" t="n"/>
    </row>
    <row r="475">
      <c r="A475" s="4" t="n"/>
      <c r="B475" s="9">
        <f>IF(A475="","",IF(DAY(A475)&lt;=2,1,IF(DAY(A475)&lt;=9,2,IF(DAY(A475)&lt;=16,3,IF(DAY(A475)&lt;=23,4,5)))))</f>
        <v/>
      </c>
      <c r="C475" s="9" t="n"/>
      <c r="D475" s="9" t="n"/>
      <c r="E475" s="9" t="n"/>
      <c r="F475" s="9" t="n"/>
      <c r="G475" s="9" t="n"/>
      <c r="H475" s="9" t="n"/>
      <c r="I475" s="9" t="n"/>
      <c r="J475" s="3" t="n"/>
      <c r="K475" s="9" t="n"/>
    </row>
    <row r="476">
      <c r="A476" s="4" t="n"/>
      <c r="B476" s="9">
        <f>IF(A476="","",IF(DAY(A476)&lt;=2,1,IF(DAY(A476)&lt;=9,2,IF(DAY(A476)&lt;=16,3,IF(DAY(A476)&lt;=23,4,5)))))</f>
        <v/>
      </c>
      <c r="C476" s="9" t="n"/>
      <c r="D476" s="9" t="n"/>
      <c r="E476" s="9" t="n"/>
      <c r="F476" s="9" t="n"/>
      <c r="G476" s="9" t="n"/>
      <c r="H476" s="9" t="n"/>
      <c r="I476" s="9" t="n"/>
      <c r="J476" s="3" t="n"/>
      <c r="K476" s="9" t="n"/>
    </row>
    <row r="477">
      <c r="A477" s="4" t="n"/>
      <c r="B477" s="9">
        <f>IF(A477="","",IF(DAY(A477)&lt;=2,1,IF(DAY(A477)&lt;=9,2,IF(DAY(A477)&lt;=16,3,IF(DAY(A477)&lt;=23,4,5)))))</f>
        <v/>
      </c>
      <c r="C477" s="9" t="n"/>
      <c r="D477" s="9" t="n"/>
      <c r="E477" s="9" t="n"/>
      <c r="F477" s="9" t="n"/>
      <c r="G477" s="9" t="n"/>
      <c r="H477" s="9" t="n"/>
      <c r="I477" s="9" t="n"/>
      <c r="J477" s="3" t="n"/>
      <c r="K477" s="9" t="n"/>
    </row>
    <row r="478">
      <c r="A478" s="4" t="n"/>
      <c r="B478" s="9">
        <f>IF(A478="","",IF(DAY(A478)&lt;=2,1,IF(DAY(A478)&lt;=9,2,IF(DAY(A478)&lt;=16,3,IF(DAY(A478)&lt;=23,4,5)))))</f>
        <v/>
      </c>
      <c r="C478" s="9" t="n"/>
      <c r="D478" s="9" t="n"/>
      <c r="E478" s="9" t="n"/>
      <c r="F478" s="9" t="n"/>
      <c r="G478" s="9" t="n"/>
      <c r="H478" s="9" t="n"/>
      <c r="I478" s="9" t="n"/>
      <c r="J478" s="3" t="n"/>
      <c r="K478" s="9" t="n"/>
    </row>
    <row r="479">
      <c r="A479" s="4" t="n"/>
      <c r="B479" s="9">
        <f>IF(A479="","",IF(DAY(A479)&lt;=2,1,IF(DAY(A479)&lt;=9,2,IF(DAY(A479)&lt;=16,3,IF(DAY(A479)&lt;=23,4,5)))))</f>
        <v/>
      </c>
      <c r="C479" s="9" t="n"/>
      <c r="D479" s="9" t="n"/>
      <c r="E479" s="9" t="n"/>
      <c r="F479" s="9" t="n"/>
      <c r="G479" s="9" t="n"/>
      <c r="H479" s="9" t="n"/>
      <c r="I479" s="9" t="n"/>
      <c r="J479" s="3" t="n"/>
      <c r="K479" s="9" t="n"/>
    </row>
    <row r="480">
      <c r="A480" s="4" t="n"/>
      <c r="B480" s="9">
        <f>IF(A480="","",IF(DAY(A480)&lt;=2,1,IF(DAY(A480)&lt;=9,2,IF(DAY(A480)&lt;=16,3,IF(DAY(A480)&lt;=23,4,5)))))</f>
        <v/>
      </c>
      <c r="C480" s="9" t="n"/>
      <c r="D480" s="9" t="n"/>
      <c r="E480" s="9" t="n"/>
      <c r="F480" s="9" t="n"/>
      <c r="G480" s="9" t="n"/>
      <c r="H480" s="9" t="n"/>
      <c r="I480" s="9" t="n"/>
      <c r="J480" s="3" t="n"/>
      <c r="K480" s="9" t="n"/>
    </row>
    <row r="481">
      <c r="A481" s="4" t="n"/>
      <c r="B481" s="9">
        <f>IF(A481="","",IF(DAY(A481)&lt;=2,1,IF(DAY(A481)&lt;=9,2,IF(DAY(A481)&lt;=16,3,IF(DAY(A481)&lt;=23,4,5)))))</f>
        <v/>
      </c>
      <c r="C481" s="9" t="n"/>
      <c r="D481" s="9" t="n"/>
      <c r="E481" s="9" t="n"/>
      <c r="F481" s="9" t="n"/>
      <c r="G481" s="9" t="n"/>
      <c r="H481" s="9" t="n"/>
      <c r="I481" s="9" t="n"/>
      <c r="J481" s="3" t="n"/>
      <c r="K481" s="9" t="n"/>
    </row>
    <row r="482">
      <c r="A482" s="4" t="n"/>
      <c r="B482" s="9">
        <f>IF(A482="","",IF(DAY(A482)&lt;=2,1,IF(DAY(A482)&lt;=9,2,IF(DAY(A482)&lt;=16,3,IF(DAY(A482)&lt;=23,4,5)))))</f>
        <v/>
      </c>
      <c r="C482" s="9" t="n"/>
      <c r="D482" s="9" t="n"/>
      <c r="E482" s="9" t="n"/>
      <c r="F482" s="9" t="n"/>
      <c r="G482" s="9" t="n"/>
      <c r="H482" s="9" t="n"/>
      <c r="I482" s="9" t="n"/>
      <c r="J482" s="3" t="n"/>
      <c r="K482" s="9" t="n"/>
    </row>
    <row r="483">
      <c r="A483" s="4" t="n"/>
      <c r="B483" s="9">
        <f>IF(A483="","",IF(DAY(A483)&lt;=2,1,IF(DAY(A483)&lt;=9,2,IF(DAY(A483)&lt;=16,3,IF(DAY(A483)&lt;=23,4,5)))))</f>
        <v/>
      </c>
      <c r="C483" s="9" t="n"/>
      <c r="D483" s="9" t="n"/>
      <c r="E483" s="9" t="n"/>
      <c r="F483" s="9" t="n"/>
      <c r="G483" s="9" t="n"/>
      <c r="H483" s="9" t="n"/>
      <c r="I483" s="9" t="n"/>
      <c r="J483" s="3" t="n"/>
      <c r="K483" s="9" t="n"/>
    </row>
    <row r="484">
      <c r="A484" s="4" t="n"/>
      <c r="B484" s="9">
        <f>IF(A484="","",IF(DAY(A484)&lt;=2,1,IF(DAY(A484)&lt;=9,2,IF(DAY(A484)&lt;=16,3,IF(DAY(A484)&lt;=23,4,5)))))</f>
        <v/>
      </c>
      <c r="C484" s="9" t="n"/>
      <c r="D484" s="9" t="n"/>
      <c r="E484" s="9" t="n"/>
      <c r="F484" s="9" t="n"/>
      <c r="G484" s="9" t="n"/>
      <c r="H484" s="9" t="n"/>
      <c r="I484" s="9" t="n"/>
      <c r="J484" s="3" t="n"/>
      <c r="K484" s="9" t="n"/>
    </row>
    <row r="485">
      <c r="A485" s="4" t="n"/>
      <c r="B485" s="9">
        <f>IF(A485="","",IF(DAY(A485)&lt;=2,1,IF(DAY(A485)&lt;=9,2,IF(DAY(A485)&lt;=16,3,IF(DAY(A485)&lt;=23,4,5)))))</f>
        <v/>
      </c>
      <c r="C485" s="9" t="n"/>
      <c r="D485" s="9" t="n"/>
      <c r="E485" s="9" t="n"/>
      <c r="F485" s="9" t="n"/>
      <c r="G485" s="9" t="n"/>
      <c r="H485" s="9" t="n"/>
      <c r="I485" s="9" t="n"/>
      <c r="J485" s="3" t="n"/>
      <c r="K485" s="9" t="n"/>
    </row>
    <row r="486">
      <c r="A486" s="4" t="n"/>
      <c r="B486" s="9">
        <f>IF(A486="","",IF(DAY(A486)&lt;=2,1,IF(DAY(A486)&lt;=9,2,IF(DAY(A486)&lt;=16,3,IF(DAY(A486)&lt;=23,4,5)))))</f>
        <v/>
      </c>
      <c r="C486" s="9" t="n"/>
      <c r="D486" s="9" t="n"/>
      <c r="E486" s="9" t="n"/>
      <c r="F486" s="9" t="n"/>
      <c r="G486" s="9" t="n"/>
      <c r="H486" s="9" t="n"/>
      <c r="I486" s="9" t="n"/>
      <c r="J486" s="3" t="n"/>
      <c r="K486" s="9" t="n"/>
    </row>
    <row r="487">
      <c r="A487" s="4" t="n"/>
      <c r="B487" s="9">
        <f>IF(A487="","",IF(DAY(A487)&lt;=2,1,IF(DAY(A487)&lt;=9,2,IF(DAY(A487)&lt;=16,3,IF(DAY(A487)&lt;=23,4,5)))))</f>
        <v/>
      </c>
      <c r="C487" s="9" t="n"/>
      <c r="D487" s="9" t="n"/>
      <c r="E487" s="9" t="n"/>
      <c r="F487" s="9" t="n"/>
      <c r="G487" s="9" t="n"/>
      <c r="H487" s="9" t="n"/>
      <c r="I487" s="9" t="n"/>
      <c r="J487" s="3" t="n"/>
      <c r="K487" s="9" t="n"/>
    </row>
    <row r="488">
      <c r="A488" s="4" t="n"/>
      <c r="B488" s="9">
        <f>IF(A488="","",IF(DAY(A488)&lt;=2,1,IF(DAY(A488)&lt;=9,2,IF(DAY(A488)&lt;=16,3,IF(DAY(A488)&lt;=23,4,5)))))</f>
        <v/>
      </c>
      <c r="C488" s="9" t="n"/>
      <c r="D488" s="9" t="n"/>
      <c r="E488" s="9" t="n"/>
      <c r="F488" s="9" t="n"/>
      <c r="G488" s="9" t="n"/>
      <c r="H488" s="9" t="n"/>
      <c r="I488" s="9" t="n"/>
      <c r="J488" s="3" t="n"/>
      <c r="K488" s="9" t="n"/>
    </row>
    <row r="489">
      <c r="A489" s="4" t="n"/>
      <c r="B489" s="9">
        <f>IF(A489="","",IF(DAY(A489)&lt;=2,1,IF(DAY(A489)&lt;=9,2,IF(DAY(A489)&lt;=16,3,IF(DAY(A489)&lt;=23,4,5)))))</f>
        <v/>
      </c>
      <c r="C489" s="9" t="n"/>
      <c r="D489" s="9" t="n"/>
      <c r="E489" s="9" t="n"/>
      <c r="F489" s="9" t="n"/>
      <c r="G489" s="9" t="n"/>
      <c r="H489" s="9" t="n"/>
      <c r="I489" s="9" t="n"/>
      <c r="J489" s="3" t="n"/>
      <c r="K489" s="9" t="n"/>
    </row>
    <row r="490">
      <c r="A490" s="4" t="n"/>
      <c r="B490" s="9">
        <f>IF(A490="","",IF(DAY(A490)&lt;=2,1,IF(DAY(A490)&lt;=9,2,IF(DAY(A490)&lt;=16,3,IF(DAY(A490)&lt;=23,4,5)))))</f>
        <v/>
      </c>
      <c r="C490" s="9" t="n"/>
      <c r="D490" s="9" t="n"/>
      <c r="E490" s="9" t="n"/>
      <c r="F490" s="9" t="n"/>
      <c r="G490" s="9" t="n"/>
      <c r="H490" s="9" t="n"/>
      <c r="I490" s="9" t="n"/>
      <c r="J490" s="3" t="n"/>
      <c r="K490" s="9" t="n"/>
    </row>
    <row r="491">
      <c r="A491" s="4" t="n"/>
      <c r="B491" s="9">
        <f>IF(A491="","",IF(DAY(A491)&lt;=2,1,IF(DAY(A491)&lt;=9,2,IF(DAY(A491)&lt;=16,3,IF(DAY(A491)&lt;=23,4,5)))))</f>
        <v/>
      </c>
      <c r="C491" s="9" t="n"/>
      <c r="D491" s="9" t="n"/>
      <c r="E491" s="9" t="n"/>
      <c r="F491" s="9" t="n"/>
      <c r="G491" s="9" t="n"/>
      <c r="H491" s="9" t="n"/>
      <c r="I491" s="9" t="n"/>
      <c r="J491" s="3" t="n"/>
      <c r="K491" s="9" t="n"/>
    </row>
    <row r="492">
      <c r="A492" s="4" t="n"/>
      <c r="B492" s="9">
        <f>IF(A492="","",IF(DAY(A492)&lt;=2,1,IF(DAY(A492)&lt;=9,2,IF(DAY(A492)&lt;=16,3,IF(DAY(A492)&lt;=23,4,5)))))</f>
        <v/>
      </c>
      <c r="C492" s="9" t="n"/>
      <c r="D492" s="9" t="n"/>
      <c r="E492" s="9" t="n"/>
      <c r="F492" s="9" t="n"/>
      <c r="G492" s="9" t="n"/>
      <c r="H492" s="9" t="n"/>
      <c r="I492" s="9" t="n"/>
      <c r="J492" s="3" t="n"/>
      <c r="K492" s="9" t="n"/>
    </row>
    <row r="493">
      <c r="A493" s="4" t="n"/>
      <c r="B493" s="9">
        <f>IF(A493="","",IF(DAY(A493)&lt;=2,1,IF(DAY(A493)&lt;=9,2,IF(DAY(A493)&lt;=16,3,IF(DAY(A493)&lt;=23,4,5)))))</f>
        <v/>
      </c>
      <c r="C493" s="9" t="n"/>
      <c r="D493" s="9" t="n"/>
      <c r="E493" s="9" t="n"/>
      <c r="F493" s="9" t="n"/>
      <c r="G493" s="9" t="n"/>
      <c r="H493" s="9" t="n"/>
      <c r="I493" s="9" t="n"/>
      <c r="J493" s="3" t="n"/>
      <c r="K493" s="9" t="n"/>
    </row>
    <row r="494">
      <c r="A494" s="4" t="n"/>
      <c r="B494" s="9">
        <f>IF(A494="","",IF(DAY(A494)&lt;=2,1,IF(DAY(A494)&lt;=9,2,IF(DAY(A494)&lt;=16,3,IF(DAY(A494)&lt;=23,4,5)))))</f>
        <v/>
      </c>
      <c r="C494" s="9" t="n"/>
      <c r="D494" s="9" t="n"/>
      <c r="E494" s="9" t="n"/>
      <c r="F494" s="9" t="n"/>
      <c r="G494" s="9" t="n"/>
      <c r="H494" s="9" t="n"/>
      <c r="I494" s="9" t="n"/>
      <c r="J494" s="3" t="n"/>
      <c r="K494" s="9" t="n"/>
    </row>
    <row r="495">
      <c r="A495" s="4" t="n"/>
      <c r="B495" s="9">
        <f>IF(A495="","",IF(DAY(A495)&lt;=2,1,IF(DAY(A495)&lt;=9,2,IF(DAY(A495)&lt;=16,3,IF(DAY(A495)&lt;=23,4,5)))))</f>
        <v/>
      </c>
      <c r="C495" s="9" t="n"/>
      <c r="D495" s="9" t="n"/>
      <c r="E495" s="9" t="n"/>
      <c r="F495" s="9" t="n"/>
      <c r="G495" s="9" t="n"/>
      <c r="H495" s="9" t="n"/>
      <c r="I495" s="9" t="n"/>
      <c r="J495" s="3" t="n"/>
      <c r="K495" s="9" t="n"/>
    </row>
    <row r="496">
      <c r="A496" s="4" t="n"/>
      <c r="B496" s="9">
        <f>IF(A496="","",IF(DAY(A496)&lt;=2,1,IF(DAY(A496)&lt;=9,2,IF(DAY(A496)&lt;=16,3,IF(DAY(A496)&lt;=23,4,5)))))</f>
        <v/>
      </c>
      <c r="C496" s="9" t="n"/>
      <c r="D496" s="9" t="n"/>
      <c r="E496" s="9" t="n"/>
      <c r="F496" s="9" t="n"/>
      <c r="G496" s="9" t="n"/>
      <c r="H496" s="9" t="n"/>
      <c r="I496" s="9" t="n"/>
      <c r="J496" s="3" t="n"/>
      <c r="K496" s="9" t="n"/>
    </row>
    <row r="497">
      <c r="A497" s="4" t="n"/>
      <c r="B497" s="9">
        <f>IF(A497="","",IF(DAY(A497)&lt;=2,1,IF(DAY(A497)&lt;=9,2,IF(DAY(A497)&lt;=16,3,IF(DAY(A497)&lt;=23,4,5)))))</f>
        <v/>
      </c>
      <c r="C497" s="9" t="n"/>
      <c r="D497" s="9" t="n"/>
      <c r="E497" s="9" t="n"/>
      <c r="F497" s="9" t="n"/>
      <c r="G497" s="9" t="n"/>
      <c r="H497" s="9" t="n"/>
      <c r="I497" s="9" t="n"/>
      <c r="J497" s="3" t="n"/>
      <c r="K497" s="9" t="n"/>
    </row>
    <row r="498">
      <c r="A498" s="4" t="n"/>
      <c r="B498" s="9">
        <f>IF(A498="","",IF(DAY(A498)&lt;=2,1,IF(DAY(A498)&lt;=9,2,IF(DAY(A498)&lt;=16,3,IF(DAY(A498)&lt;=23,4,5)))))</f>
        <v/>
      </c>
      <c r="C498" s="9" t="n"/>
      <c r="D498" s="9" t="n"/>
      <c r="E498" s="9" t="n"/>
      <c r="F498" s="9" t="n"/>
      <c r="G498" s="9" t="n"/>
      <c r="H498" s="9" t="n"/>
      <c r="I498" s="9" t="n"/>
      <c r="J498" s="3" t="n"/>
      <c r="K498" s="9" t="n"/>
    </row>
    <row r="499">
      <c r="A499" s="4" t="n"/>
      <c r="B499" s="9">
        <f>IF(A499="","",IF(DAY(A499)&lt;=2,1,IF(DAY(A499)&lt;=9,2,IF(DAY(A499)&lt;=16,3,IF(DAY(A499)&lt;=23,4,5)))))</f>
        <v/>
      </c>
      <c r="C499" s="9" t="n"/>
      <c r="D499" s="9" t="n"/>
      <c r="E499" s="9" t="n"/>
      <c r="F499" s="9" t="n"/>
      <c r="G499" s="9" t="n"/>
      <c r="H499" s="9" t="n"/>
      <c r="I499" s="9" t="n"/>
      <c r="J499" s="3" t="n"/>
      <c r="K499" s="9" t="n"/>
    </row>
    <row r="500">
      <c r="A500" s="4" t="n"/>
      <c r="B500" s="9">
        <f>IF(A500="","",IF(DAY(A500)&lt;=2,1,IF(DAY(A500)&lt;=9,2,IF(DAY(A500)&lt;=16,3,IF(DAY(A500)&lt;=23,4,5)))))</f>
        <v/>
      </c>
      <c r="C500" s="9" t="n"/>
      <c r="D500" s="9" t="n"/>
      <c r="E500" s="9" t="n"/>
      <c r="F500" s="9" t="n"/>
      <c r="G500" s="9" t="n"/>
      <c r="H500" s="9" t="n"/>
      <c r="I500" s="9" t="n"/>
      <c r="J500" s="3" t="n"/>
      <c r="K500" s="9" t="n"/>
    </row>
    <row r="501">
      <c r="A501" s="4" t="n"/>
      <c r="B501" s="9">
        <f>IF(A501="","",IF(DAY(A501)&lt;=2,1,IF(DAY(A501)&lt;=9,2,IF(DAY(A501)&lt;=16,3,IF(DAY(A501)&lt;=23,4,5)))))</f>
        <v/>
      </c>
      <c r="C501" s="9" t="n"/>
      <c r="D501" s="9" t="n"/>
      <c r="E501" s="9" t="n"/>
      <c r="F501" s="9" t="n"/>
      <c r="G501" s="9" t="n"/>
      <c r="H501" s="9" t="n"/>
      <c r="I501" s="9" t="n"/>
      <c r="J501" s="3" t="n"/>
      <c r="K501" s="9" t="n"/>
    </row>
    <row r="502">
      <c r="A502" s="4" t="n"/>
      <c r="B502" s="9">
        <f>IF(A502="","",IF(DAY(A502)&lt;=2,1,IF(DAY(A502)&lt;=9,2,IF(DAY(A502)&lt;=16,3,IF(DAY(A502)&lt;=23,4,5)))))</f>
        <v/>
      </c>
      <c r="C502" s="9" t="n"/>
      <c r="D502" s="9" t="n"/>
      <c r="E502" s="9" t="n"/>
      <c r="F502" s="9" t="n"/>
      <c r="G502" s="9" t="n"/>
      <c r="H502" s="9" t="n"/>
      <c r="I502" s="9" t="n"/>
      <c r="J502" s="3" t="n"/>
      <c r="K502" s="9" t="n"/>
    </row>
    <row r="503">
      <c r="A503" s="4" t="n"/>
      <c r="B503" s="9">
        <f>IF(A503="","",IF(DAY(A503)&lt;=2,1,IF(DAY(A503)&lt;=9,2,IF(DAY(A503)&lt;=16,3,IF(DAY(A503)&lt;=23,4,5)))))</f>
        <v/>
      </c>
      <c r="C503" s="9" t="n"/>
      <c r="D503" s="9" t="n"/>
      <c r="E503" s="9" t="n"/>
      <c r="F503" s="9" t="n"/>
      <c r="G503" s="9" t="n"/>
      <c r="H503" s="9" t="n"/>
      <c r="I503" s="9" t="n"/>
      <c r="J503" s="3" t="n"/>
      <c r="K503" s="9" t="n"/>
    </row>
    <row r="504">
      <c r="A504" s="4" t="n"/>
      <c r="B504" s="9">
        <f>IF(A504="","",IF(DAY(A504)&lt;=2,1,IF(DAY(A504)&lt;=9,2,IF(DAY(A504)&lt;=16,3,IF(DAY(A504)&lt;=23,4,5)))))</f>
        <v/>
      </c>
      <c r="C504" s="9" t="n"/>
      <c r="D504" s="9" t="n"/>
      <c r="E504" s="9" t="n"/>
      <c r="F504" s="9" t="n"/>
      <c r="G504" s="9" t="n"/>
      <c r="H504" s="9" t="n"/>
      <c r="I504" s="9" t="n"/>
      <c r="J504" s="3" t="n"/>
      <c r="K504" s="9" t="n"/>
    </row>
    <row r="505">
      <c r="A505" s="4" t="n"/>
      <c r="B505" s="9">
        <f>IF(A505="","",IF(DAY(A505)&lt;=2,1,IF(DAY(A505)&lt;=9,2,IF(DAY(A505)&lt;=16,3,IF(DAY(A505)&lt;=23,4,5)))))</f>
        <v/>
      </c>
      <c r="C505" s="9" t="n"/>
      <c r="D505" s="9" t="n"/>
      <c r="E505" s="9" t="n"/>
      <c r="F505" s="9" t="n"/>
      <c r="G505" s="9" t="n"/>
      <c r="H505" s="9" t="n"/>
      <c r="I505" s="9" t="n"/>
      <c r="J505" s="3" t="n"/>
      <c r="K505" s="9" t="n"/>
    </row>
    <row r="506">
      <c r="A506" s="4" t="n"/>
      <c r="B506" s="9">
        <f>IF(A506="","",IF(DAY(A506)&lt;=2,1,IF(DAY(A506)&lt;=9,2,IF(DAY(A506)&lt;=16,3,IF(DAY(A506)&lt;=23,4,5)))))</f>
        <v/>
      </c>
      <c r="C506" s="9" t="n"/>
      <c r="D506" s="9" t="n"/>
      <c r="E506" s="9" t="n"/>
      <c r="F506" s="9" t="n"/>
      <c r="G506" s="9" t="n"/>
      <c r="H506" s="9" t="n"/>
      <c r="I506" s="9" t="n"/>
      <c r="J506" s="3" t="n"/>
      <c r="K506" s="9" t="n"/>
    </row>
    <row r="507">
      <c r="A507" s="4" t="n"/>
      <c r="B507" s="9">
        <f>IF(A507="","",IF(DAY(A507)&lt;=2,1,IF(DAY(A507)&lt;=9,2,IF(DAY(A507)&lt;=16,3,IF(DAY(A507)&lt;=23,4,5)))))</f>
        <v/>
      </c>
      <c r="C507" s="9" t="n"/>
      <c r="D507" s="9" t="n"/>
      <c r="E507" s="9" t="n"/>
      <c r="F507" s="9" t="n"/>
      <c r="G507" s="9" t="n"/>
      <c r="H507" s="9" t="n"/>
      <c r="I507" s="9" t="n"/>
      <c r="J507" s="3" t="n"/>
      <c r="K507" s="9" t="n"/>
    </row>
    <row r="508">
      <c r="A508" s="4" t="n"/>
      <c r="B508" s="9">
        <f>IF(A508="","",IF(DAY(A508)&lt;=2,1,IF(DAY(A508)&lt;=9,2,IF(DAY(A508)&lt;=16,3,IF(DAY(A508)&lt;=23,4,5)))))</f>
        <v/>
      </c>
      <c r="C508" s="9" t="n"/>
      <c r="D508" s="9" t="n"/>
      <c r="E508" s="9" t="n"/>
      <c r="F508" s="9" t="n"/>
      <c r="G508" s="9" t="n"/>
      <c r="H508" s="9" t="n"/>
      <c r="I508" s="9" t="n"/>
      <c r="J508" s="3" t="n"/>
      <c r="K508" s="9" t="n"/>
    </row>
    <row r="509">
      <c r="A509" s="4" t="n"/>
      <c r="B509" s="9">
        <f>IF(A509="","",IF(DAY(A509)&lt;=2,1,IF(DAY(A509)&lt;=9,2,IF(DAY(A509)&lt;=16,3,IF(DAY(A509)&lt;=23,4,5)))))</f>
        <v/>
      </c>
      <c r="C509" s="9" t="n"/>
      <c r="D509" s="9" t="n"/>
      <c r="E509" s="9" t="n"/>
      <c r="F509" s="9" t="n"/>
      <c r="G509" s="9" t="n"/>
      <c r="H509" s="9" t="n"/>
      <c r="I509" s="9" t="n"/>
      <c r="J509" s="3" t="n"/>
      <c r="K509" s="9" t="n"/>
    </row>
    <row r="510">
      <c r="A510" s="4" t="n"/>
      <c r="B510" s="9">
        <f>IF(A510="","",IF(DAY(A510)&lt;=2,1,IF(DAY(A510)&lt;=9,2,IF(DAY(A510)&lt;=16,3,IF(DAY(A510)&lt;=23,4,5)))))</f>
        <v/>
      </c>
      <c r="C510" s="9" t="n"/>
      <c r="D510" s="9" t="n"/>
      <c r="E510" s="9" t="n"/>
      <c r="F510" s="9" t="n"/>
      <c r="G510" s="9" t="n"/>
      <c r="H510" s="9" t="n"/>
      <c r="I510" s="9" t="n"/>
      <c r="J510" s="3" t="n"/>
      <c r="K510" s="9" t="n"/>
    </row>
    <row r="511">
      <c r="A511" s="4" t="n"/>
      <c r="B511" s="9">
        <f>IF(A511="","",IF(DAY(A511)&lt;=2,1,IF(DAY(A511)&lt;=9,2,IF(DAY(A511)&lt;=16,3,IF(DAY(A511)&lt;=23,4,5)))))</f>
        <v/>
      </c>
      <c r="C511" s="9" t="n"/>
      <c r="D511" s="9" t="n"/>
      <c r="E511" s="9" t="n"/>
      <c r="F511" s="9" t="n"/>
      <c r="G511" s="9" t="n"/>
      <c r="H511" s="9" t="n"/>
      <c r="I511" s="9" t="n"/>
      <c r="J511" s="3" t="n"/>
      <c r="K511" s="9" t="n"/>
    </row>
    <row r="512">
      <c r="A512" s="4" t="n"/>
      <c r="B512" s="9">
        <f>IF(A512="","",IF(DAY(A512)&lt;=2,1,IF(DAY(A512)&lt;=9,2,IF(DAY(A512)&lt;=16,3,IF(DAY(A512)&lt;=23,4,5)))))</f>
        <v/>
      </c>
      <c r="C512" s="9" t="n"/>
      <c r="D512" s="9" t="n"/>
      <c r="E512" s="9" t="n"/>
      <c r="F512" s="9" t="n"/>
      <c r="G512" s="9" t="n"/>
      <c r="H512" s="9" t="n"/>
      <c r="I512" s="9" t="n"/>
      <c r="J512" s="3" t="n"/>
      <c r="K512" s="9" t="n"/>
    </row>
    <row r="513">
      <c r="A513" s="4" t="n"/>
      <c r="B513" s="9">
        <f>IF(A513="","",IF(DAY(A513)&lt;=2,1,IF(DAY(A513)&lt;=9,2,IF(DAY(A513)&lt;=16,3,IF(DAY(A513)&lt;=23,4,5)))))</f>
        <v/>
      </c>
      <c r="C513" s="9" t="n"/>
      <c r="D513" s="9" t="n"/>
      <c r="E513" s="9" t="n"/>
      <c r="F513" s="9" t="n"/>
      <c r="G513" s="9" t="n"/>
      <c r="H513" s="9" t="n"/>
      <c r="I513" s="9" t="n"/>
      <c r="J513" s="3" t="n"/>
      <c r="K513" s="9" t="n"/>
    </row>
    <row r="514">
      <c r="A514" s="4" t="n"/>
      <c r="B514" s="9">
        <f>IF(A514="","",IF(DAY(A514)&lt;=2,1,IF(DAY(A514)&lt;=9,2,IF(DAY(A514)&lt;=16,3,IF(DAY(A514)&lt;=23,4,5)))))</f>
        <v/>
      </c>
      <c r="C514" s="9" t="n"/>
      <c r="D514" s="9" t="n"/>
      <c r="E514" s="9" t="n"/>
      <c r="F514" s="9" t="n"/>
      <c r="G514" s="9" t="n"/>
      <c r="H514" s="9" t="n"/>
      <c r="I514" s="9" t="n"/>
      <c r="J514" s="3" t="n"/>
      <c r="K514" s="9" t="n"/>
    </row>
    <row r="515">
      <c r="A515" s="4" t="n"/>
      <c r="B515" s="9">
        <f>IF(A515="","",IF(DAY(A515)&lt;=2,1,IF(DAY(A515)&lt;=9,2,IF(DAY(A515)&lt;=16,3,IF(DAY(A515)&lt;=23,4,5)))))</f>
        <v/>
      </c>
      <c r="C515" s="9" t="n"/>
      <c r="D515" s="9" t="n"/>
      <c r="E515" s="9" t="n"/>
      <c r="F515" s="9" t="n"/>
      <c r="G515" s="9" t="n"/>
      <c r="H515" s="9" t="n"/>
      <c r="I515" s="9" t="n"/>
      <c r="J515" s="3" t="n"/>
      <c r="K515" s="9" t="n"/>
    </row>
    <row r="516">
      <c r="A516" s="4" t="n"/>
      <c r="B516" s="9">
        <f>IF(A516="","",IF(DAY(A516)&lt;=2,1,IF(DAY(A516)&lt;=9,2,IF(DAY(A516)&lt;=16,3,IF(DAY(A516)&lt;=23,4,5)))))</f>
        <v/>
      </c>
      <c r="C516" s="9" t="n"/>
      <c r="D516" s="9" t="n"/>
      <c r="E516" s="9" t="n"/>
      <c r="F516" s="9" t="n"/>
      <c r="G516" s="9" t="n"/>
      <c r="H516" s="9" t="n"/>
      <c r="I516" s="9" t="n"/>
      <c r="J516" s="3" t="n"/>
      <c r="K516" s="9" t="n"/>
    </row>
    <row r="517">
      <c r="A517" s="4" t="n"/>
      <c r="B517" s="9">
        <f>IF(A517="","",IF(DAY(A517)&lt;=2,1,IF(DAY(A517)&lt;=9,2,IF(DAY(A517)&lt;=16,3,IF(DAY(A517)&lt;=23,4,5)))))</f>
        <v/>
      </c>
      <c r="C517" s="9" t="n"/>
      <c r="D517" s="9" t="n"/>
      <c r="E517" s="9" t="n"/>
      <c r="F517" s="9" t="n"/>
      <c r="G517" s="9" t="n"/>
      <c r="H517" s="9" t="n"/>
      <c r="I517" s="9" t="n"/>
      <c r="J517" s="3" t="n"/>
      <c r="K517" s="9" t="n"/>
    </row>
    <row r="518">
      <c r="A518" s="4" t="n"/>
      <c r="B518" s="9">
        <f>IF(A518="","",IF(DAY(A518)&lt;=2,1,IF(DAY(A518)&lt;=9,2,IF(DAY(A518)&lt;=16,3,IF(DAY(A518)&lt;=23,4,5)))))</f>
        <v/>
      </c>
      <c r="C518" s="9" t="n"/>
      <c r="D518" s="9" t="n"/>
      <c r="E518" s="9" t="n"/>
      <c r="F518" s="9" t="n"/>
      <c r="G518" s="9" t="n"/>
      <c r="H518" s="9" t="n"/>
      <c r="I518" s="9" t="n"/>
      <c r="J518" s="3" t="n"/>
      <c r="K518" s="9" t="n"/>
    </row>
    <row r="519">
      <c r="A519" s="4" t="n"/>
      <c r="B519" s="9">
        <f>IF(A519="","",IF(DAY(A519)&lt;=2,1,IF(DAY(A519)&lt;=9,2,IF(DAY(A519)&lt;=16,3,IF(DAY(A519)&lt;=23,4,5)))))</f>
        <v/>
      </c>
      <c r="C519" s="9" t="n"/>
      <c r="D519" s="9" t="n"/>
      <c r="E519" s="9" t="n"/>
      <c r="F519" s="9" t="n"/>
      <c r="G519" s="9" t="n"/>
      <c r="H519" s="9" t="n"/>
      <c r="I519" s="9" t="n"/>
      <c r="J519" s="3" t="n"/>
      <c r="K519" s="9" t="n"/>
    </row>
    <row r="520">
      <c r="A520" s="4" t="n"/>
      <c r="B520" s="9">
        <f>IF(A520="","",IF(DAY(A520)&lt;=2,1,IF(DAY(A520)&lt;=9,2,IF(DAY(A520)&lt;=16,3,IF(DAY(A520)&lt;=23,4,5)))))</f>
        <v/>
      </c>
      <c r="C520" s="9" t="n"/>
      <c r="D520" s="9" t="n"/>
      <c r="E520" s="9" t="n"/>
      <c r="F520" s="9" t="n"/>
      <c r="G520" s="9" t="n"/>
      <c r="H520" s="9" t="n"/>
      <c r="I520" s="9" t="n"/>
      <c r="J520" s="3" t="n"/>
      <c r="K520" s="9" t="n"/>
    </row>
    <row r="521">
      <c r="A521" s="4" t="n"/>
      <c r="B521" s="9">
        <f>IF(A521="","",IF(DAY(A521)&lt;=2,1,IF(DAY(A521)&lt;=9,2,IF(DAY(A521)&lt;=16,3,IF(DAY(A521)&lt;=23,4,5)))))</f>
        <v/>
      </c>
      <c r="C521" s="9" t="n"/>
      <c r="D521" s="9" t="n"/>
      <c r="E521" s="9" t="n"/>
      <c r="F521" s="9" t="n"/>
      <c r="G521" s="9" t="n"/>
      <c r="H521" s="9" t="n"/>
      <c r="I521" s="9" t="n"/>
      <c r="J521" s="3" t="n"/>
      <c r="K521" s="9" t="n"/>
    </row>
    <row r="522">
      <c r="A522" s="4" t="n"/>
      <c r="B522" s="9">
        <f>IF(A522="","",IF(DAY(A522)&lt;=2,1,IF(DAY(A522)&lt;=9,2,IF(DAY(A522)&lt;=16,3,IF(DAY(A522)&lt;=23,4,5)))))</f>
        <v/>
      </c>
      <c r="C522" s="9" t="n"/>
      <c r="D522" s="9" t="n"/>
      <c r="E522" s="9" t="n"/>
      <c r="F522" s="9" t="n"/>
      <c r="G522" s="9" t="n"/>
      <c r="H522" s="9" t="n"/>
      <c r="I522" s="9" t="n"/>
      <c r="J522" s="3" t="n"/>
      <c r="K522" s="9" t="n"/>
    </row>
    <row r="523">
      <c r="A523" s="4" t="n"/>
      <c r="B523" s="9">
        <f>IF(A523="","",IF(DAY(A523)&lt;=2,1,IF(DAY(A523)&lt;=9,2,IF(DAY(A523)&lt;=16,3,IF(DAY(A523)&lt;=23,4,5)))))</f>
        <v/>
      </c>
      <c r="C523" s="9" t="n"/>
      <c r="D523" s="9" t="n"/>
      <c r="E523" s="9" t="n"/>
      <c r="F523" s="9" t="n"/>
      <c r="G523" s="9" t="n"/>
      <c r="H523" s="9" t="n"/>
      <c r="I523" s="9" t="n"/>
      <c r="J523" s="3" t="n"/>
      <c r="K523" s="9" t="n"/>
    </row>
    <row r="524">
      <c r="A524" s="4" t="n"/>
      <c r="B524" s="9">
        <f>IF(A524="","",IF(DAY(A524)&lt;=2,1,IF(DAY(A524)&lt;=9,2,IF(DAY(A524)&lt;=16,3,IF(DAY(A524)&lt;=23,4,5)))))</f>
        <v/>
      </c>
      <c r="C524" s="9" t="n"/>
      <c r="D524" s="9" t="n"/>
      <c r="E524" s="9" t="n"/>
      <c r="F524" s="9" t="n"/>
      <c r="G524" s="9" t="n"/>
      <c r="H524" s="9" t="n"/>
      <c r="I524" s="9" t="n"/>
      <c r="J524" s="3" t="n"/>
      <c r="K524" s="9" t="n"/>
    </row>
    <row r="525">
      <c r="A525" s="4" t="n"/>
      <c r="B525" s="9">
        <f>IF(A525="","",IF(DAY(A525)&lt;=2,1,IF(DAY(A525)&lt;=9,2,IF(DAY(A525)&lt;=16,3,IF(DAY(A525)&lt;=23,4,5)))))</f>
        <v/>
      </c>
      <c r="C525" s="9" t="n"/>
      <c r="D525" s="9" t="n"/>
      <c r="E525" s="9" t="n"/>
      <c r="F525" s="9" t="n"/>
      <c r="G525" s="9" t="n"/>
      <c r="H525" s="9" t="n"/>
      <c r="I525" s="9" t="n"/>
      <c r="J525" s="3" t="n"/>
      <c r="K525" s="9" t="n"/>
    </row>
    <row r="526">
      <c r="A526" s="4" t="n"/>
      <c r="B526" s="9">
        <f>IF(A526="","",IF(DAY(A526)&lt;=2,1,IF(DAY(A526)&lt;=9,2,IF(DAY(A526)&lt;=16,3,IF(DAY(A526)&lt;=23,4,5)))))</f>
        <v/>
      </c>
      <c r="C526" s="9" t="n"/>
      <c r="D526" s="9" t="n"/>
      <c r="E526" s="9" t="n"/>
      <c r="F526" s="9" t="n"/>
      <c r="G526" s="9" t="n"/>
      <c r="H526" s="9" t="n"/>
      <c r="I526" s="9" t="n"/>
      <c r="J526" s="3" t="n"/>
      <c r="K526" s="9" t="n"/>
    </row>
    <row r="527">
      <c r="A527" s="4" t="n"/>
      <c r="B527" s="9">
        <f>IF(A527="","",IF(DAY(A527)&lt;=2,1,IF(DAY(A527)&lt;=9,2,IF(DAY(A527)&lt;=16,3,IF(DAY(A527)&lt;=23,4,5)))))</f>
        <v/>
      </c>
      <c r="C527" s="9" t="n"/>
      <c r="D527" s="9" t="n"/>
      <c r="E527" s="9" t="n"/>
      <c r="F527" s="9" t="n"/>
      <c r="G527" s="9" t="n"/>
      <c r="H527" s="9" t="n"/>
      <c r="I527" s="9" t="n"/>
      <c r="J527" s="3" t="n"/>
      <c r="K527" s="9" t="n"/>
    </row>
    <row r="528">
      <c r="A528" s="4" t="n"/>
      <c r="B528" s="9">
        <f>IF(A528="","",IF(DAY(A528)&lt;=2,1,IF(DAY(A528)&lt;=9,2,IF(DAY(A528)&lt;=16,3,IF(DAY(A528)&lt;=23,4,5)))))</f>
        <v/>
      </c>
      <c r="C528" s="9" t="n"/>
      <c r="D528" s="9" t="n"/>
      <c r="E528" s="9" t="n"/>
      <c r="F528" s="9" t="n"/>
      <c r="G528" s="9" t="n"/>
      <c r="H528" s="9" t="n"/>
      <c r="I528" s="9" t="n"/>
      <c r="J528" s="3" t="n"/>
      <c r="K528" s="9" t="n"/>
    </row>
  </sheetData>
  <autoFilter ref="A28:K528"/>
  <dataValidations count="4">
    <dataValidation sqref="E29:E528" showDropDown="0" showInputMessage="0" showErrorMessage="1" allowBlank="1" type="list">
      <formula1>=Lists!$A$2:$A$22</formula1>
    </dataValidation>
    <dataValidation sqref="G29:G528" showDropDown="0" showInputMessage="0" showErrorMessage="1" allowBlank="1" type="list">
      <formula1>=Lists!$D$2:$D$8</formula1>
    </dataValidation>
    <dataValidation sqref="H29:H528" showDropDown="0" showInputMessage="0" showErrorMessage="1" allowBlank="1" type="list">
      <formula1>=Lists!$C$2:$C$9</formula1>
    </dataValidation>
    <dataValidation sqref="I29:I528" showDropDown="0" showInputMessage="0" showErrorMessage="1" allowBlank="1" type="list">
      <formula1>=Lists!$B$2:$B$5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28"/>
  <sheetViews>
    <sheetView showGridLines="0" workbookViewId="0">
      <pane xSplit="0" ySplit="28" topLeftCell="A29" activePane="bottomLeft" state="frozen"/>
      <selection pane="bottomLeft" activeCell="A29" sqref="A29"/>
    </sheetView>
  </sheetViews>
  <sheetFormatPr baseColWidth="8" defaultRowHeight="15"/>
  <cols>
    <col width="12" customWidth="1" style="10" min="1" max="1"/>
    <col width="8" customWidth="1" style="10" min="2" max="2"/>
    <col width="22" customWidth="1" style="10" min="3" max="4"/>
    <col width="24" customWidth="1" style="10" min="5" max="5"/>
    <col width="18" customWidth="1" style="10" min="6" max="6"/>
    <col width="18" customWidth="1" style="10" min="7" max="7"/>
    <col width="18" customWidth="1" style="10" min="8" max="9"/>
    <col width="14" customWidth="1" style="10" min="10" max="10"/>
    <col width="30" customWidth="1" style="10" min="11" max="11"/>
  </cols>
  <sheetData>
    <row r="1">
      <c r="A1" s="1" t="inlineStr">
        <is>
          <t>September 2026 Ledger</t>
        </is>
      </c>
    </row>
    <row r="2">
      <c r="A2" s="7" t="inlineStr">
        <is>
          <t>Use positive amounts; expense reimbursements use negative amounts to reduce the original category.</t>
        </is>
      </c>
    </row>
    <row r="4">
      <c r="A4" s="1" t="inlineStr">
        <is>
          <t>Month Summary</t>
        </is>
      </c>
      <c r="D4" s="1" t="inlineStr">
        <is>
          <t>Category Summary</t>
        </is>
      </c>
      <c r="H4" s="1" t="inlineStr">
        <is>
          <t>Weekly Summary</t>
        </is>
      </c>
    </row>
    <row r="5">
      <c r="A5" s="5" t="inlineStr">
        <is>
          <t>Total Income</t>
        </is>
      </c>
      <c r="B5" s="3">
        <f>SUMIFS($J$29:$J$528,$I$29:$I$528,"Income")</f>
        <v>3126.00</v>
      </c>
      <c r="D5" s="2" t="inlineStr">
        <is>
          <t>Category</t>
        </is>
      </c>
      <c r="E5" s="2" t="inlineStr">
        <is>
          <t>Expenses</t>
        </is>
      </c>
      <c r="F5" s="2" t="inlineStr">
        <is>
          <t>Income</t>
        </is>
      </c>
      <c r="G5" s="2" t="inlineStr">
        <is>
          <t>Existing Savings</t>
        </is>
      </c>
      <c r="H5" s="2" t="inlineStr">
        <is>
          <t>Week</t>
        </is>
      </c>
      <c r="I5" s="2" t="inlineStr">
        <is>
          <t>Expenses</t>
        </is>
      </c>
      <c r="J5" s="2" t="inlineStr">
        <is>
          <t>Income</t>
        </is>
      </c>
      <c r="K5" s="2" t="inlineStr">
        <is>
          <t>Net</t>
        </is>
      </c>
    </row>
    <row r="6">
      <c r="A6" s="5" t="inlineStr">
        <is>
          <t>Total Expenses</t>
        </is>
      </c>
      <c r="B6" s="3">
        <f>SUMIFS($J$29:$J$528,$I$29:$I$528,"Expense")</f>
        <v>2841.18</v>
      </c>
      <c r="D6" s="5" t="inlineStr">
        <is>
          <t>Housing</t>
        </is>
      </c>
      <c r="E6" s="3">
        <f>SUMIFS($J$29:$J$528,$E$29:$E$528,$D6,$I$29:$I$528,"Expense")</f>
        <v>1100</v>
      </c>
      <c r="F6" s="3">
        <f>SUMIFS($J$29:$J$528,$E$29:$E$528,$D6,$I$29:$I$528,"Income")</f>
        <v>0</v>
      </c>
      <c r="G6" s="3">
        <f>SUMIFS($J$29:$J$528,$E$29:$E$528,$D6,$I$29:$I$528,"Opening Balance")</f>
        <v>0</v>
      </c>
      <c r="H6" s="5" t="inlineStr">
        <is>
          <t>Week 1</t>
        </is>
      </c>
      <c r="I6" s="3">
        <f>SUMIFS($J$29:$J$528,$B$29:$B$528,1,$I$29:$I$528,"Expense",$F$29:$F$528,"&lt;&gt;Rent")</f>
        <v>449.85</v>
      </c>
      <c r="J6" s="3">
        <f>SUMIFS($J$29:$J$528,$B$29:$B$528,1,$I$29:$I$528,"Income")</f>
        <v>0</v>
      </c>
      <c r="K6" s="3">
        <f>J6-I6</f>
        <v>-449.85</v>
      </c>
    </row>
    <row r="7">
      <c r="A7" s="5" t="inlineStr">
        <is>
          <t>Existing Savings</t>
        </is>
      </c>
      <c r="B7" s="3">
        <f>SUMIFS($J$29:$J$528,$I$29:$I$528,"Opening Balance")</f>
        <v>0</v>
      </c>
      <c r="D7" s="5" t="inlineStr">
        <is>
          <t>Utilities</t>
        </is>
      </c>
      <c r="E7" s="3">
        <f>SUMIFS($J$29:$J$528,$E$29:$E$528,$D7,$I$29:$I$528,"Expense")</f>
        <v>50.19</v>
      </c>
      <c r="F7" s="3">
        <f>SUMIFS($J$29:$J$528,$E$29:$E$528,$D7,$I$29:$I$528,"Income")</f>
        <v>0</v>
      </c>
      <c r="G7" s="3">
        <f>SUMIFS($J$29:$J$528,$E$29:$E$528,$D7,$I$29:$I$528,"Opening Balance")</f>
        <v>0</v>
      </c>
      <c r="H7" s="5" t="inlineStr">
        <is>
          <t>Week 2</t>
        </is>
      </c>
      <c r="I7" s="3">
        <f>SUMIFS($J$29:$J$528,$B$29:$B$528,2,$I$29:$I$528,"Expense",$F$29:$F$528,"&lt;&gt;Rent")</f>
        <v>462.90</v>
      </c>
      <c r="J7" s="3">
        <f>SUMIFS($J$29:$J$528,$B$29:$B$528,2,$I$29:$I$528,"Income")</f>
        <v>1548</v>
      </c>
      <c r="K7" s="3">
        <f>J7-I7</f>
        <v>1085.10</v>
      </c>
    </row>
    <row r="8">
      <c r="A8" s="5" t="inlineStr">
        <is>
          <t>Transfers</t>
        </is>
      </c>
      <c r="B8" s="3">
        <f>SUMIFS($J$29:$J$528,$I$29:$I$528,"Transfer")</f>
        <v>106.00</v>
      </c>
      <c r="D8" s="5" t="inlineStr">
        <is>
          <t>Groceries</t>
        </is>
      </c>
      <c r="E8" s="3">
        <f>SUMIFS($J$29:$J$528,$E$29:$E$528,$D8,$I$29:$I$528,"Expense")</f>
        <v>264.75</v>
      </c>
      <c r="F8" s="3">
        <f>SUMIFS($J$29:$J$528,$E$29:$E$528,$D8,$I$29:$I$528,"Income")</f>
        <v>0</v>
      </c>
      <c r="G8" s="3">
        <f>SUMIFS($J$29:$J$528,$E$29:$E$528,$D8,$I$29:$I$528,"Opening Balance")</f>
        <v>0</v>
      </c>
      <c r="H8" s="5" t="inlineStr">
        <is>
          <t>Week 3</t>
        </is>
      </c>
      <c r="I8" s="3">
        <f>SUMIFS($J$29:$J$528,$B$29:$B$528,3,$I$29:$I$528,"Expense",$F$29:$F$528,"&lt;&gt;Rent")</f>
        <v>122.99</v>
      </c>
      <c r="J8" s="3">
        <f>SUMIFS($J$29:$J$528,$B$29:$B$528,3,$I$29:$I$528,"Income")</f>
        <v>30.00</v>
      </c>
      <c r="K8" s="3">
        <f>J8-I8</f>
        <v>-92.99</v>
      </c>
    </row>
    <row r="9">
      <c r="A9" s="5" t="inlineStr">
        <is>
          <t>Net Cash Flow</t>
        </is>
      </c>
      <c r="B9" s="3">
        <f>B5-B6</f>
        <v>284.82</v>
      </c>
      <c r="D9" s="5" t="inlineStr">
        <is>
          <t>Dining</t>
        </is>
      </c>
      <c r="E9" s="3">
        <f>SUMIFS($J$29:$J$528,$E$29:$E$528,$D9,$I$29:$I$528,"Expense")</f>
        <v>567.13</v>
      </c>
      <c r="F9" s="3">
        <f>SUMIFS($J$29:$J$528,$E$29:$E$528,$D9,$I$29:$I$528,"Income")</f>
        <v>0</v>
      </c>
      <c r="G9" s="3">
        <f>SUMIFS($J$29:$J$528,$E$29:$E$528,$D9,$I$29:$I$528,"Opening Balance")</f>
        <v>0</v>
      </c>
      <c r="H9" s="5" t="inlineStr">
        <is>
          <t>Week 4</t>
        </is>
      </c>
      <c r="I9" s="3">
        <f>SUMIFS($J$29:$J$528,$B$29:$B$528,4,$I$29:$I$528,"Expense",$F$29:$F$528,"&lt;&gt;Rent")</f>
        <v>396.47</v>
      </c>
      <c r="J9" s="3">
        <f>SUMIFS($J$29:$J$528,$B$29:$B$528,4,$I$29:$I$528,"Income")</f>
        <v>0</v>
      </c>
      <c r="K9" s="3">
        <f>J9-I9</f>
        <v>-396.47</v>
      </c>
    </row>
    <row r="10">
      <c r="A10" s="5" t="inlineStr">
        <is>
          <t>Current Balance</t>
        </is>
      </c>
      <c r="B10" s="3">
        <v>9127.06</v>
      </c>
      <c r="D10" s="5" t="inlineStr">
        <is>
          <t>Transportation</t>
        </is>
      </c>
      <c r="E10" s="3">
        <f>SUMIFS($J$29:$J$528,$E$29:$E$528,$D10,$I$29:$I$528,"Expense")</f>
        <v>152.65</v>
      </c>
      <c r="F10" s="3">
        <f>SUMIFS($J$29:$J$528,$E$29:$E$528,$D10,$I$29:$I$528,"Income")</f>
        <v>0</v>
      </c>
      <c r="G10" s="3">
        <f>SUMIFS($J$29:$J$528,$E$29:$E$528,$D10,$I$29:$I$528,"Opening Balance")</f>
        <v>0</v>
      </c>
      <c r="H10" s="5" t="inlineStr">
        <is>
          <t>Week 5</t>
        </is>
      </c>
      <c r="I10" s="3">
        <f>SUMIFS($J$29:$J$528,$B$29:$B$528,5,$I$29:$I$528,"Expense",$F$29:$F$528,"&lt;&gt;Rent")</f>
        <v>308.97</v>
      </c>
      <c r="J10" s="3">
        <f>SUMIFS($J$29:$J$528,$B$29:$B$528,5,$I$29:$I$528,"Income")</f>
        <v>1548.00</v>
      </c>
      <c r="K10" s="3">
        <f>J10-I10</f>
        <v>1239.03</v>
      </c>
    </row>
    <row r="11">
      <c r="D11" s="5" t="inlineStr">
        <is>
          <t>Health &amp; Medical</t>
        </is>
      </c>
      <c r="E11" s="3">
        <f>SUMIFS($J$29:$J$528,$E$29:$E$528,$D11,$I$29:$I$528,"Expense")</f>
        <v>0</v>
      </c>
      <c r="F11" s="3">
        <f>SUMIFS($J$29:$J$528,$E$29:$E$528,$D11,$I$29:$I$528,"Income")</f>
        <v>0</v>
      </c>
      <c r="G11" s="3">
        <f>SUMIFS($J$29:$J$528,$E$29:$E$528,$D11,$I$29:$I$528,"Opening Balance")</f>
        <v>0</v>
      </c>
      <c r="H11" s="5" t="inlineStr">
        <is>
          <t>Monthly Net</t>
        </is>
      </c>
      <c r="I11" s="3">
        <f>B6</f>
        <v>2841.18</v>
      </c>
      <c r="J11" s="3">
        <f>B5</f>
        <v>3126.00</v>
      </c>
      <c r="K11" s="3">
        <f>J11-I11</f>
        <v>284.82</v>
      </c>
    </row>
    <row r="12">
      <c r="D12" s="5" t="inlineStr">
        <is>
          <t>Insurance</t>
        </is>
      </c>
      <c r="E12" s="3">
        <f>SUMIFS($J$29:$J$528,$E$29:$E$528,$D12,$I$29:$I$528,"Expense")</f>
        <v>0</v>
      </c>
      <c r="F12" s="3">
        <f>SUMIFS($J$29:$J$528,$E$29:$E$528,$D12,$I$29:$I$528,"Income")</f>
        <v>0</v>
      </c>
      <c r="G12" s="3">
        <f>SUMIFS($J$29:$J$528,$E$29:$E$528,$D12,$I$29:$I$528,"Opening Balance")</f>
        <v>0</v>
      </c>
      <c r="H12" s="5" t="inlineStr">
        <is>
          <t>Includes rent</t>
        </is>
      </c>
    </row>
    <row r="13">
      <c r="A13" t="inlineStr" s="1">
        <is>
          <t>Venmo/Zelle Alcohol Settlement</t>
        </is>
      </c>
      <c r="D13" s="5" t="inlineStr">
        <is>
          <t>Debt Payments</t>
        </is>
      </c>
      <c r="E13" s="3">
        <f>SUMIFS($J$29:$J$528,$E$29:$E$528,$D13,$I$29:$I$528,"Expense")</f>
        <v>0</v>
      </c>
      <c r="F13" s="3">
        <f>SUMIFS($J$29:$J$528,$E$29:$E$528,$D13,$I$29:$I$528,"Income")</f>
        <v>0</v>
      </c>
      <c r="G13" s="3">
        <f>SUMIFS($J$29:$J$528,$E$29:$E$528,$D13,$I$29:$I$528,"Opening Balance")</f>
        <v>0</v>
      </c>
    </row>
    <row r="14">
      <c r="A14" t="inlineStr">
        <is>
          <t>Paid (+ expense)</t>
        </is>
      </c>
      <c r="B14" s="3">
        <f>SUMIFS($J$29:$J$528,$F$29:$F$528,"Alcohol settlement",$I$29:$I$528,"Expense",$J$29:$J$528,"&gt;0")</f>
        <v>46.36</v>
      </c>
      <c r="D14" s="5" t="inlineStr">
        <is>
          <t>Savings &amp; Investments</t>
        </is>
      </c>
      <c r="E14" s="3">
        <f>SUMIFS($J$29:$J$528,$E$29:$E$528,$D14,$I$29:$I$528,"Expense")</f>
        <v>0</v>
      </c>
      <c r="F14" s="3">
        <f>SUMIFS($J$29:$J$528,$E$29:$E$528,$D14,$I$29:$I$528,"Income")</f>
        <v>0</v>
      </c>
      <c r="G14" s="3">
        <f>SUMIFS($J$29:$J$528,$E$29:$E$528,$D14,$I$29:$I$528,"Opening Balance")</f>
        <v>0</v>
      </c>
    </row>
    <row r="15">
      <c r="A15" t="inlineStr">
        <is>
          <t>Received (- expense)</t>
        </is>
      </c>
      <c r="B15" s="3">
        <f>SUMIFS($J$29:$J$528,$F$29:$F$528,"Alcohol settlement",$I$29:$I$528,"Expense",$J$29:$J$528,"&lt;0")</f>
        <v>-44</v>
      </c>
      <c r="D15" s="5" t="inlineStr">
        <is>
          <t>Personal Care</t>
        </is>
      </c>
      <c r="E15" s="3">
        <f>SUMIFS($J$29:$J$528,$E$29:$E$528,$D15,$I$29:$I$528,"Expense")</f>
        <v>0</v>
      </c>
      <c r="F15" s="3">
        <f>SUMIFS($J$29:$J$528,$E$29:$E$528,$D15,$I$29:$I$528,"Income")</f>
        <v>0</v>
      </c>
      <c r="G15" s="3">
        <f>SUMIFS($J$29:$J$528,$E$29:$E$528,$D15,$I$29:$I$528,"Opening Balance")</f>
        <v>0</v>
      </c>
    </row>
    <row r="16">
      <c r="A16" t="inlineStr">
        <is>
          <t>Net Alcohol Expense</t>
        </is>
      </c>
      <c r="B16" s="3">
        <f>SUM(B14:B15)</f>
        <v>2.36</v>
      </c>
      <c r="D16" s="5" t="inlineStr">
        <is>
          <t>Shopping</t>
        </is>
      </c>
      <c r="E16" s="3">
        <f>SUMIFS($J$29:$J$528,$E$29:$E$528,$D16,$I$29:$I$528,"Expense")</f>
        <v>395.68</v>
      </c>
      <c r="F16" s="3">
        <f>SUMIFS($J$29:$J$528,$E$29:$E$528,$D16,$I$29:$I$528,"Income")</f>
        <v>0</v>
      </c>
      <c r="G16" s="3">
        <f>SUMIFS($J$29:$J$528,$E$29:$E$528,$D16,$I$29:$I$528,"Opening Balance")</f>
        <v>0</v>
      </c>
    </row>
    <row r="17">
      <c r="D17" s="5" t="inlineStr">
        <is>
          <t>Entertainment</t>
        </is>
      </c>
      <c r="E17" s="3">
        <f>SUMIFS($J$29:$J$528,$E$29:$E$528,$D17,$I$29:$I$528,"Expense")</f>
        <v>210.77</v>
      </c>
      <c r="F17" s="3">
        <f>SUMIFS($J$29:$J$528,$E$29:$E$528,$D17,$I$29:$I$528,"Income")</f>
        <v>0</v>
      </c>
      <c r="G17" s="3">
        <f>SUMIFS($J$29:$J$528,$E$29:$E$528,$D17,$I$29:$I$528,"Opening Balance")</f>
        <v>0</v>
      </c>
    </row>
    <row r="18">
      <c r="D18" s="5" t="inlineStr">
        <is>
          <t>Travel</t>
        </is>
      </c>
      <c r="E18" s="3">
        <f>SUMIFS($J$29:$J$528,$E$29:$E$528,$D18,$I$29:$I$528,"Expense")</f>
        <v>0</v>
      </c>
      <c r="F18" s="3">
        <f>SUMIFS($J$29:$J$528,$E$29:$E$528,$D18,$I$29:$I$528,"Income")</f>
        <v>0</v>
      </c>
      <c r="G18" s="3">
        <f>SUMIFS($J$29:$J$528,$E$29:$E$528,$D18,$I$29:$I$528,"Opening Balance")</f>
        <v>0</v>
      </c>
    </row>
    <row r="19">
      <c r="D19" s="5" t="inlineStr">
        <is>
          <t>Education</t>
        </is>
      </c>
      <c r="E19" s="3">
        <f>SUMIFS($J$29:$J$528,$E$29:$E$528,$D19,$I$29:$I$528,"Expense")</f>
        <v>100.01</v>
      </c>
      <c r="F19" s="3">
        <f>SUMIFS($J$29:$J$528,$E$29:$E$528,$D19,$I$29:$I$528,"Income")</f>
        <v>0</v>
      </c>
      <c r="G19" s="3">
        <f>SUMIFS($J$29:$J$528,$E$29:$E$528,$D19,$I$29:$I$528,"Opening Balance")</f>
        <v>0</v>
      </c>
    </row>
    <row r="20">
      <c r="D20" s="5" t="inlineStr">
        <is>
          <t>Gifts &amp; Donations</t>
        </is>
      </c>
      <c r="E20" s="3">
        <f>SUMIFS($J$29:$J$528,$E$29:$E$528,$D20,$I$29:$I$528,"Expense")</f>
        <v>0</v>
      </c>
      <c r="F20" s="3">
        <f>SUMIFS($J$29:$J$528,$E$29:$E$528,$D20,$I$29:$I$528,"Income")</f>
        <v>0</v>
      </c>
      <c r="G20" s="3">
        <f>SUMIFS($J$29:$J$528,$E$29:$E$528,$D20,$I$29:$I$528,"Opening Balance")</f>
        <v>0</v>
      </c>
    </row>
    <row r="21">
      <c r="D21" s="5" t="inlineStr">
        <is>
          <t>Taxes</t>
        </is>
      </c>
      <c r="E21" s="3">
        <f>SUMIFS($J$29:$J$528,$E$29:$E$528,$D21,$I$29:$I$528,"Expense")</f>
        <v>0</v>
      </c>
      <c r="F21" s="3">
        <f>SUMIFS($J$29:$J$528,$E$29:$E$528,$D21,$I$29:$I$528,"Income")</f>
        <v>0</v>
      </c>
      <c r="G21" s="3">
        <f>SUMIFS($J$29:$J$528,$E$29:$E$528,$D21,$I$29:$I$528,"Opening Balance")</f>
        <v>0</v>
      </c>
    </row>
    <row r="22">
      <c r="D22" s="5" t="inlineStr">
        <is>
          <t>Shipping</t>
        </is>
      </c>
      <c r="E22" s="3">
        <f>SUMIFS($J$29:$J$528,$E$29:$E$528,$D22,$I$29:$I$528,"Expense")</f>
        <v>0</v>
      </c>
      <c r="F22" s="3">
        <f>SUMIFS($J$29:$J$528,$E$29:$E$528,$D22,$I$29:$I$528,"Income")</f>
        <v>0</v>
      </c>
      <c r="G22" s="3">
        <f>SUMIFS($J$29:$J$528,$E$29:$E$528,$D22,$I$29:$I$528,"Opening Balance")</f>
        <v>0</v>
      </c>
    </row>
    <row r="23">
      <c r="D23" s="5" t="inlineStr">
        <is>
          <t>Income</t>
        </is>
      </c>
      <c r="E23" s="3">
        <f>SUMIFS($J$29:$J$528,$E$29:$E$528,$D23,$I$29:$I$528,"Expense")</f>
        <v>0</v>
      </c>
      <c r="F23" s="3">
        <f>SUMIFS($J$29:$J$528,$E$29:$E$528,$D23,$I$29:$I$528,"Income")</f>
        <v>3126.00</v>
      </c>
      <c r="G23" s="3">
        <f>SUMIFS($J$29:$J$528,$E$29:$E$528,$D23,$I$29:$I$528,"Opening Balance")</f>
        <v>0</v>
      </c>
    </row>
    <row r="24">
      <c r="D24" s="5" t="inlineStr">
        <is>
          <t>Transfers</t>
        </is>
      </c>
      <c r="E24" s="3">
        <f>SUMIFS($J$29:$J$528,$E$29:$E$528,$D24,$I$29:$I$528,"Expense")</f>
        <v>0.00</v>
      </c>
      <c r="F24" s="3">
        <f>SUMIFS($J$29:$J$528,$E$29:$E$528,$D24,$I$29:$I$528,"Income")</f>
        <v>0</v>
      </c>
      <c r="G24" s="3">
        <f>SUMIFS($J$29:$J$528,$E$29:$E$528,$D24,$I$29:$I$528,"Opening Balance")</f>
        <v>0</v>
      </c>
    </row>
    <row r="25">
      <c r="D25" s="5" t="inlineStr">
        <is>
          <t>Existing Savings</t>
        </is>
      </c>
      <c r="E25" s="3">
        <f>SUMIFS($J$29:$J$528,$E$29:$E$528,$D25,$I$29:$I$528,"Expense")</f>
        <v>0</v>
      </c>
      <c r="F25" s="3">
        <f>SUMIFS($J$29:$J$528,$E$29:$E$528,$D25,$I$29:$I$528,"Income")</f>
        <v>0</v>
      </c>
      <c r="G25" s="3">
        <f>SUMIFS($J$29:$J$528,$E$29:$E$528,$D25,$I$29:$I$528,"Opening Balance")</f>
        <v>0</v>
      </c>
    </row>
    <row r="26">
      <c r="D26" s="5" t="inlineStr">
        <is>
          <t>Essentials</t>
        </is>
      </c>
      <c r="E26" s="3">
        <f>SUMIFS($J$29:$J$528,$E$29:$E$528,$D26,$I$29:$I$528,"Expense")</f>
        <v>0</v>
      </c>
      <c r="F26" s="3">
        <f>SUMIFS($J$29:$J$528,$E$29:$E$528,$D26,$I$29:$I$528,"Income")</f>
        <v>0</v>
      </c>
      <c r="G26" s="3">
        <f>SUMIFS($J$29:$J$528,$E$29:$E$528,$D26,$I$29:$I$528,"Opening Balance")</f>
        <v>0</v>
      </c>
    </row>
    <row r="27">
      <c r="A27" s="1" t="inlineStr">
        <is>
          <t>Transactions</t>
        </is>
      </c>
    </row>
    <row r="28">
      <c r="A28" s="2" t="inlineStr">
        <is>
          <t>Date</t>
        </is>
      </c>
      <c r="B28" s="2" t="inlineStr">
        <is>
          <t>Week</t>
        </is>
      </c>
      <c r="C28" s="2" t="inlineStr">
        <is>
          <t>Description</t>
        </is>
      </c>
      <c r="D28" s="2" t="inlineStr">
        <is>
          <t>Merchant</t>
        </is>
      </c>
      <c r="E28" s="2" t="inlineStr">
        <is>
          <t>Category</t>
        </is>
      </c>
      <c r="F28" s="2" t="inlineStr">
        <is>
          <t>Subcategory</t>
        </is>
      </c>
      <c r="G28" s="2" t="inlineStr">
        <is>
          <t>Account</t>
        </is>
      </c>
      <c r="H28" s="2" t="inlineStr">
        <is>
          <t>Payment Method</t>
        </is>
      </c>
      <c r="I28" s="2" t="inlineStr">
        <is>
          <t>Type</t>
        </is>
      </c>
      <c r="J28" s="2" t="inlineStr">
        <is>
          <t>Amount</t>
        </is>
      </c>
      <c r="K28" s="2" t="inlineStr">
        <is>
          <t>Notes</t>
        </is>
      </c>
    </row>
    <row r="29">
      <c r="A29" s="4" t="n">
        <v>46266</v>
      </c>
      <c r="B29" s="9">
        <f>IF(A29="","",INT(DAY(A29)/7)+1)</f>
        <v>1</v>
      </c>
      <c r="C29" s="9" t="inlineStr">
        <is>
          <t>Zelle payment to Joshua 30637153868</t>
        </is>
      </c>
      <c r="D29" s="9" t="inlineStr">
        <is>
          <t>Joshua</t>
        </is>
      </c>
      <c r="E29" s="9" t="inlineStr">
        <is>
          <t>Housing</t>
        </is>
      </c>
      <c r="F29" s="9" t="inlineStr">
        <is>
          <t>Rent</t>
        </is>
      </c>
      <c r="G29" s="9" t="inlineStr">
        <is>
          <t>Checking</t>
        </is>
      </c>
      <c r="H29" s="9" t="inlineStr">
        <is>
          <t>Zelle debit</t>
        </is>
      </c>
      <c r="I29" s="9" t="inlineStr">
        <is>
          <t>Expense</t>
        </is>
      </c>
      <c r="J29" s="3" t="n">
        <v>500</v>
      </c>
      <c r="K29" s="9" t="inlineStr">
        <is>
          <t>9월 1주차; Chase Secure (...0119); Balance shown: $7,721.00; Rent</t>
        </is>
      </c>
    </row>
    <row r="30">
      <c r="A30" s="4" t="n">
        <v>46266</v>
      </c>
      <c r="B30" s="9">
        <f>IF(A30="","",INT(DAY(A30)/7)+1)</f>
        <v>1</v>
      </c>
      <c r="C30" s="9" t="inlineStr">
        <is>
          <t>MTA*NYCT PAYGO NEW YORK NY 08/31 (...0119)</t>
        </is>
      </c>
      <c r="D30" s="9" t="inlineStr">
        <is>
          <t>MTA NYCT Paygo</t>
        </is>
      </c>
      <c r="E30" s="9" t="inlineStr">
        <is>
          <t>Transportation</t>
        </is>
      </c>
      <c r="F30" s="9" t="inlineStr">
        <is>
          <t>Public transit</t>
        </is>
      </c>
      <c r="G30" s="9" t="inlineStr">
        <is>
          <t>Checking</t>
        </is>
      </c>
      <c r="H30" s="9" t="inlineStr">
        <is>
          <t>Debit Card</t>
        </is>
      </c>
      <c r="I30" s="9" t="inlineStr">
        <is>
          <t>Expense</t>
        </is>
      </c>
      <c r="J30" s="3" t="n">
        <v>3</v>
      </c>
      <c r="K30" s="9" t="inlineStr">
        <is>
          <t>9월 1주차; Chase Secure (...0119); Balance shown: $8,221.00</t>
        </is>
      </c>
    </row>
    <row r="31">
      <c r="A31" s="4" t="n">
        <v>46266</v>
      </c>
      <c r="B31" s="9">
        <f>IF(A31="","",INT(DAY(A31)/7)+1)</f>
        <v>1</v>
      </c>
      <c r="C31" s="9" t="inlineStr">
        <is>
          <t>MCDONALD'S F39704 NEW YORK NY 08/31 (...0119)</t>
        </is>
      </c>
      <c r="D31" s="9" t="inlineStr">
        <is>
          <t>McDonald's</t>
        </is>
      </c>
      <c r="E31" s="9" t="inlineStr">
        <is>
          <t>Dining</t>
        </is>
      </c>
      <c r="F31" s="9" t="inlineStr">
        <is>
          <t>Fast food</t>
        </is>
      </c>
      <c r="G31" s="9" t="inlineStr">
        <is>
          <t>Checking</t>
        </is>
      </c>
      <c r="H31" s="9" t="inlineStr">
        <is>
          <t>Debit Card</t>
        </is>
      </c>
      <c r="I31" s="9" t="inlineStr">
        <is>
          <t>Expense</t>
        </is>
      </c>
      <c r="J31" s="3" t="n">
        <v>7.62</v>
      </c>
      <c r="K31" s="9" t="inlineStr">
        <is>
          <t>9월 1주차; Chase Secure (...0119); Balance shown: $8,224.00</t>
        </is>
      </c>
    </row>
    <row r="32">
      <c r="A32" s="4" t="n">
        <v>46266</v>
      </c>
      <c r="B32" s="9">
        <f>IF(A32="","",INT(DAY(A32)/7)+1)</f>
        <v>1</v>
      </c>
      <c r="C32" s="9" t="inlineStr">
        <is>
          <t>FIVE BELOW 8008 NEW YORK NY 08/31 (...0119)</t>
        </is>
      </c>
      <c r="D32" s="9" t="inlineStr">
        <is>
          <t>Five Below</t>
        </is>
      </c>
      <c r="E32" s="9" t="inlineStr">
        <is>
          <t>Shopping</t>
        </is>
      </c>
      <c r="F32" s="9" t="inlineStr">
        <is>
          <t>Retail</t>
        </is>
      </c>
      <c r="G32" s="9" t="inlineStr">
        <is>
          <t>Checking</t>
        </is>
      </c>
      <c r="H32" s="9" t="inlineStr">
        <is>
          <t>Debit Card</t>
        </is>
      </c>
      <c r="I32" s="9" t="inlineStr">
        <is>
          <t>Expense</t>
        </is>
      </c>
      <c r="J32" s="3" t="n">
        <v>7.62</v>
      </c>
      <c r="K32" s="9" t="inlineStr">
        <is>
          <t>9월 1주차; Chase Secure (...0119); Balance shown: $8,231.62</t>
        </is>
      </c>
    </row>
    <row r="33">
      <c r="A33" s="4" t="n">
        <v>46266</v>
      </c>
      <c r="B33" s="9">
        <f>IF(A33="","",INT(DAY(A33)/7)+1)</f>
        <v>1</v>
      </c>
      <c r="C33" s="9" t="inlineStr">
        <is>
          <t>MTA*NYCT PAYGO NEW YORK NY 08/31 (...0119)</t>
        </is>
      </c>
      <c r="D33" s="9" t="inlineStr">
        <is>
          <t>MTA NYCT Paygo</t>
        </is>
      </c>
      <c r="E33" s="9" t="inlineStr">
        <is>
          <t>Transportation</t>
        </is>
      </c>
      <c r="F33" s="9" t="inlineStr">
        <is>
          <t>Public transit</t>
        </is>
      </c>
      <c r="G33" s="9" t="inlineStr">
        <is>
          <t>Checking</t>
        </is>
      </c>
      <c r="H33" s="9" t="inlineStr">
        <is>
          <t>Debit Card</t>
        </is>
      </c>
      <c r="I33" s="9" t="inlineStr">
        <is>
          <t>Expense</t>
        </is>
      </c>
      <c r="J33" s="3" t="n">
        <v>3</v>
      </c>
      <c r="K33" s="9" t="inlineStr">
        <is>
          <t>9월 1주차; Chase Secure (...0119); Balance shown: $8,239.24</t>
        </is>
      </c>
    </row>
    <row r="34">
      <c r="A34" s="4" t="n">
        <v>46266</v>
      </c>
      <c r="B34" s="9">
        <f>IF(A34="","",INT(DAY(A34)/7)+1)</f>
        <v>1</v>
      </c>
      <c r="C34" s="9" t="inlineStr">
        <is>
          <t>Additional rent paid in cash</t>
        </is>
      </c>
      <c r="D34" s="9" t="inlineStr">
        <is>
          <t>Housing</t>
        </is>
      </c>
      <c r="E34" s="9" t="inlineStr">
        <is>
          <t>Housing</t>
        </is>
      </c>
      <c r="F34" s="9" t="inlineStr">
        <is>
          <t>Rent</t>
        </is>
      </c>
      <c r="G34" s="9" t="inlineStr">
        <is>
          <t>Cash</t>
        </is>
      </c>
      <c r="H34" s="9" t="inlineStr">
        <is>
          <t>Cash</t>
        </is>
      </c>
      <c r="I34" s="9" t="inlineStr">
        <is>
          <t>Expense</t>
        </is>
      </c>
      <c r="J34" s="3" t="n">
        <v>600</v>
      </c>
      <c r="K34" s="9" t="inlineStr">
        <is>
          <t>9월 1주차; Additional rent paid in cash on 2026-09-01</t>
        </is>
      </c>
    </row>
    <row r="35">
      <c r="A35" s="4" t="n">
        <v>46267</v>
      </c>
      <c r="B35" s="9">
        <f>IF(A35="","",INT(DAY(A35)/7)+1)</f>
        <v>1</v>
      </c>
      <c r="C35" s="9" t="inlineStr">
        <is>
          <t>MTA*NYCT PAYGO NEW YORK NY 09/01 (...0119)</t>
        </is>
      </c>
      <c r="D35" s="9" t="inlineStr">
        <is>
          <t>MTA NYCT Paygo</t>
        </is>
      </c>
      <c r="E35" s="9" t="inlineStr">
        <is>
          <t>Transportation</t>
        </is>
      </c>
      <c r="F35" s="9" t="inlineStr">
        <is>
          <t>Public transit</t>
        </is>
      </c>
      <c r="G35" s="9" t="inlineStr">
        <is>
          <t>Checking</t>
        </is>
      </c>
      <c r="H35" s="9" t="inlineStr">
        <is>
          <t>Debit Card</t>
        </is>
      </c>
      <c r="I35" s="9" t="inlineStr">
        <is>
          <t>Expense</t>
        </is>
      </c>
      <c r="J35" s="3" t="n">
        <v>3</v>
      </c>
      <c r="K35" s="9" t="inlineStr">
        <is>
          <t>9월 1주차; Chase Secure (...0119); Balance shown: $7,514.31</t>
        </is>
      </c>
    </row>
    <row r="36">
      <c r="A36" s="4" t="n">
        <v>46267</v>
      </c>
      <c r="B36" s="9">
        <f>IF(A36="","",INT(DAY(A36)/7)+1)</f>
        <v>1</v>
      </c>
      <c r="C36" s="9" t="inlineStr">
        <is>
          <t>SONY ELECTRONICS 800-249-7669 CA 09/02 (...0119)</t>
        </is>
      </c>
      <c r="D36" s="9" t="inlineStr">
        <is>
          <t>Sony Electronics</t>
        </is>
      </c>
      <c r="E36" s="9" t="inlineStr">
        <is>
          <t>Shopping</t>
        </is>
      </c>
      <c r="F36" s="9" t="inlineStr">
        <is>
          <t>Electronics</t>
        </is>
      </c>
      <c r="G36" s="9" t="inlineStr">
        <is>
          <t>Checking</t>
        </is>
      </c>
      <c r="H36" s="9" t="inlineStr">
        <is>
          <t>Debit Card</t>
        </is>
      </c>
      <c r="I36" s="9" t="inlineStr">
        <is>
          <t>Expense</t>
        </is>
      </c>
      <c r="J36" s="3" t="n">
        <v>194.02</v>
      </c>
      <c r="K36" s="9" t="inlineStr">
        <is>
          <t>9월 1주차; Chase Secure (...0119); Balance shown: $7,517.31</t>
        </is>
      </c>
    </row>
    <row r="37">
      <c r="A37" s="4" t="n">
        <v>46267</v>
      </c>
      <c r="B37" s="9">
        <f>IF(A37="","",INT(DAY(A37)/7)+1)</f>
        <v>1</v>
      </c>
      <c r="C37" s="9" t="inlineStr">
        <is>
          <t>MTA*NYCT PAYGO NEW YORK NY 09/01 (...0119)</t>
        </is>
      </c>
      <c r="D37" s="9" t="inlineStr">
        <is>
          <t>MTA NYCT Paygo</t>
        </is>
      </c>
      <c r="E37" s="9" t="inlineStr">
        <is>
          <t>Transportation</t>
        </is>
      </c>
      <c r="F37" s="9" t="inlineStr">
        <is>
          <t>Public transit</t>
        </is>
      </c>
      <c r="G37" s="9" t="inlineStr">
        <is>
          <t>Checking</t>
        </is>
      </c>
      <c r="H37" s="9" t="inlineStr">
        <is>
          <t>Debit Card</t>
        </is>
      </c>
      <c r="I37" s="9" t="inlineStr">
        <is>
          <t>Expense</t>
        </is>
      </c>
      <c r="J37" s="3" t="n">
        <v>3</v>
      </c>
      <c r="K37" s="9" t="inlineStr">
        <is>
          <t>9월 1주차; Chase Secure (...0119); Balance shown: $7,711.33</t>
        </is>
      </c>
    </row>
    <row r="38">
      <c r="A38" s="4" t="n">
        <v>46267</v>
      </c>
      <c r="B38" s="9">
        <f>IF(A38="","",INT(DAY(A38)/7)+1)</f>
        <v>1</v>
      </c>
      <c r="C38" s="9" t="inlineStr">
        <is>
          <t>SQ *SUPREME NY PIZZA I BROOKLYN NY 09/01 (...0119)</t>
        </is>
      </c>
      <c r="D38" s="9" t="inlineStr">
        <is>
          <t>Supreme NY Pizza</t>
        </is>
      </c>
      <c r="E38" s="9" t="inlineStr">
        <is>
          <t>Dining</t>
        </is>
      </c>
      <c r="F38" s="9" t="inlineStr">
        <is>
          <t>Restaurant/Pizza</t>
        </is>
      </c>
      <c r="G38" s="9" t="inlineStr">
        <is>
          <t>Checking</t>
        </is>
      </c>
      <c r="H38" s="9" t="inlineStr">
        <is>
          <t>Debit Card</t>
        </is>
      </c>
      <c r="I38" s="9" t="inlineStr">
        <is>
          <t>Expense</t>
        </is>
      </c>
      <c r="J38" s="3" t="n">
        <v>3.67</v>
      </c>
      <c r="K38" s="9" t="inlineStr">
        <is>
          <t>9월 1주차; Chase Secure (...0119); Balance shown: $7,714.33</t>
        </is>
      </c>
    </row>
    <row r="39">
      <c r="A39" s="4" t="n">
        <v>46267</v>
      </c>
      <c r="B39" s="9">
        <f>IF(A39="","",INT(DAY(A39)/7)+1)</f>
        <v>1</v>
      </c>
      <c r="C39" s="9" t="inlineStr">
        <is>
          <t>MTA*NYCT PAYGO NEW YORK NY 09/01 (...0119)</t>
        </is>
      </c>
      <c r="D39" s="9" t="inlineStr">
        <is>
          <t>MTA NYCT Paygo</t>
        </is>
      </c>
      <c r="E39" s="9" t="inlineStr">
        <is>
          <t>Transportation</t>
        </is>
      </c>
      <c r="F39" s="9" t="inlineStr">
        <is>
          <t>Public transit</t>
        </is>
      </c>
      <c r="G39" s="9" t="inlineStr">
        <is>
          <t>Checking</t>
        </is>
      </c>
      <c r="H39" s="9" t="inlineStr">
        <is>
          <t>Debit Card</t>
        </is>
      </c>
      <c r="I39" s="9" t="inlineStr">
        <is>
          <t>Expense</t>
        </is>
      </c>
      <c r="J39" s="3" t="n">
        <v>3</v>
      </c>
      <c r="K39" s="9" t="inlineStr">
        <is>
          <t>9월 1주차; Chase Secure (...0119); Balance shown: $7,718.00</t>
        </is>
      </c>
    </row>
    <row r="40">
      <c r="A40" s="4" t="n">
        <v>46268</v>
      </c>
      <c r="B40" s="9">
        <f>IF(A40="","",INT(DAY(A40)/7)+1)</f>
        <v>1</v>
      </c>
      <c r="C40" s="9" t="inlineStr">
        <is>
          <t>JACKPOT DEALS BROOKLYN NY 493481 09/03 (...0119)</t>
        </is>
      </c>
      <c r="D40" s="9" t="inlineStr">
        <is>
          <t>Jackpot Deals</t>
        </is>
      </c>
      <c r="E40" s="9" t="inlineStr">
        <is>
          <t>Shopping</t>
        </is>
      </c>
      <c r="F40" s="9" t="inlineStr">
        <is>
          <t>Retail</t>
        </is>
      </c>
      <c r="G40" s="9" t="inlineStr">
        <is>
          <t>Checking</t>
        </is>
      </c>
      <c r="H40" s="9" t="inlineStr">
        <is>
          <t>Debit Card</t>
        </is>
      </c>
      <c r="I40" s="9" t="inlineStr">
        <is>
          <t>Expense</t>
        </is>
      </c>
      <c r="J40" s="3" t="n">
        <v>10.87</v>
      </c>
      <c r="K40" s="9" t="inlineStr">
        <is>
          <t>9월 1주차; Chase Secure (...0119); Balance shown: $7,465.42</t>
        </is>
      </c>
    </row>
    <row r="41">
      <c r="A41" s="4" t="n">
        <v>46268</v>
      </c>
      <c r="B41" s="9">
        <f>IF(A41="","",INT(DAY(A41)/7)+1)</f>
        <v>1</v>
      </c>
      <c r="C41" s="9" t="inlineStr">
        <is>
          <t>MTA*NYCT PAYGO NEW YORK NY 09/02 (...0119)</t>
        </is>
      </c>
      <c r="D41" s="9" t="inlineStr">
        <is>
          <t>MTA NYCT Paygo</t>
        </is>
      </c>
      <c r="E41" s="9" t="inlineStr">
        <is>
          <t>Transportation</t>
        </is>
      </c>
      <c r="F41" s="9" t="inlineStr">
        <is>
          <t>Public transit</t>
        </is>
      </c>
      <c r="G41" s="9" t="inlineStr">
        <is>
          <t>Checking</t>
        </is>
      </c>
      <c r="H41" s="9" t="inlineStr">
        <is>
          <t>Debit Card</t>
        </is>
      </c>
      <c r="I41" s="9" t="inlineStr">
        <is>
          <t>Expense</t>
        </is>
      </c>
      <c r="J41" s="3" t="n">
        <v>3</v>
      </c>
      <c r="K41" s="9" t="inlineStr">
        <is>
          <t>9월 1주차; Chase Secure (...0119); Balance shown: $7,476.29</t>
        </is>
      </c>
    </row>
    <row r="42">
      <c r="A42" s="4" t="n">
        <v>46268</v>
      </c>
      <c r="B42" s="9">
        <f>IF(A42="","",INT(DAY(A42)/7)+1)</f>
        <v>1</v>
      </c>
      <c r="C42" s="9" t="inlineStr">
        <is>
          <t>TST* CHA CHA MATCHA - M NEW YORK NY 09/03 (...0119)</t>
        </is>
      </c>
      <c r="D42" s="9" t="inlineStr">
        <is>
          <t>Cha Cha Matcha</t>
        </is>
      </c>
      <c r="E42" s="9" t="inlineStr">
        <is>
          <t>Dining</t>
        </is>
      </c>
      <c r="F42" s="9" t="inlineStr">
        <is>
          <t>Cafe</t>
        </is>
      </c>
      <c r="G42" s="9" t="inlineStr">
        <is>
          <t>Checking</t>
        </is>
      </c>
      <c r="H42" s="9" t="inlineStr">
        <is>
          <t>Debit Card</t>
        </is>
      </c>
      <c r="I42" s="9" t="inlineStr">
        <is>
          <t>Expense</t>
        </is>
      </c>
      <c r="J42" s="3" t="n">
        <v>7.63</v>
      </c>
      <c r="K42" s="9" t="inlineStr">
        <is>
          <t>9월 1주차; Chase Secure (...0119); Balance shown: $7,479.29</t>
        </is>
      </c>
    </row>
    <row r="43">
      <c r="A43" s="4" t="n">
        <v>46268</v>
      </c>
      <c r="B43" s="9">
        <f>IF(A43="","",INT(DAY(A43)/7)+1)</f>
        <v>1</v>
      </c>
      <c r="C43" s="9" t="inlineStr">
        <is>
          <t>ERY Vessel, LLC New York NY 09/02 (...0119)</t>
        </is>
      </c>
      <c r="D43" s="9" t="inlineStr">
        <is>
          <t>Vessel</t>
        </is>
      </c>
      <c r="E43" s="9" t="inlineStr">
        <is>
          <t>Entertainment</t>
        </is>
      </c>
      <c r="F43" s="9" t="inlineStr">
        <is>
          <t>Attraction</t>
        </is>
      </c>
      <c r="G43" s="9" t="inlineStr">
        <is>
          <t>Checking</t>
        </is>
      </c>
      <c r="H43" s="9" t="inlineStr">
        <is>
          <t>Debit Card</t>
        </is>
      </c>
      <c r="I43" s="9" t="inlineStr">
        <is>
          <t>Expense</t>
        </is>
      </c>
      <c r="J43" s="3" t="n">
        <v>15.24</v>
      </c>
      <c r="K43" s="9" t="inlineStr">
        <is>
          <t>9월 1주차; Chase Secure (...0119); Balance shown: $7,486.92</t>
        </is>
      </c>
    </row>
    <row r="44">
      <c r="A44" s="4" t="n">
        <v>46268</v>
      </c>
      <c r="B44" s="9">
        <f>IF(A44="","",INT(DAY(A44)/7)+1)</f>
        <v>1</v>
      </c>
      <c r="C44" s="9" t="inlineStr">
        <is>
          <t>TST*LOS TACOS NO. 1 HUD New York NY 09/02 (...0119)</t>
        </is>
      </c>
      <c r="D44" s="9" t="inlineStr">
        <is>
          <t>Los Tacos No. 1</t>
        </is>
      </c>
      <c r="E44" s="9" t="inlineStr">
        <is>
          <t>Dining</t>
        </is>
      </c>
      <c r="F44" s="9" t="inlineStr">
        <is>
          <t>Restaurant</t>
        </is>
      </c>
      <c r="G44" s="9" t="inlineStr">
        <is>
          <t>Checking</t>
        </is>
      </c>
      <c r="H44" s="9" t="inlineStr">
        <is>
          <t>Debit Card</t>
        </is>
      </c>
      <c r="I44" s="9" t="inlineStr">
        <is>
          <t>Expense</t>
        </is>
      </c>
      <c r="J44" s="3" t="n">
        <v>6.15</v>
      </c>
      <c r="K44" s="9" t="inlineStr">
        <is>
          <t>9월 1주차; Chase Secure (...0119); Balance shown: $7,502.16</t>
        </is>
      </c>
    </row>
    <row r="45">
      <c r="A45" s="4" t="n">
        <v>46268</v>
      </c>
      <c r="B45" s="9">
        <f>IF(A45="","",INT(DAY(A45)/7)+1)</f>
        <v>1</v>
      </c>
      <c r="C45" s="9" t="inlineStr">
        <is>
          <t>MTA*NYCT PAYGO NEW YORK NY 09/02 (...0119)</t>
        </is>
      </c>
      <c r="D45" s="9" t="inlineStr">
        <is>
          <t>MTA NYCT Paygo</t>
        </is>
      </c>
      <c r="E45" s="9" t="inlineStr">
        <is>
          <t>Transportation</t>
        </is>
      </c>
      <c r="F45" s="9" t="inlineStr">
        <is>
          <t>Public transit</t>
        </is>
      </c>
      <c r="G45" s="9" t="inlineStr">
        <is>
          <t>Checking</t>
        </is>
      </c>
      <c r="H45" s="9" t="inlineStr">
        <is>
          <t>Debit Card</t>
        </is>
      </c>
      <c r="I45" s="9" t="inlineStr">
        <is>
          <t>Expense</t>
        </is>
      </c>
      <c r="J45" s="3" t="n">
        <v>3</v>
      </c>
      <c r="K45" s="9" t="inlineStr">
        <is>
          <t>9월 1주차; Chase Secure (...0119); Balance shown: $7,508.31</t>
        </is>
      </c>
    </row>
    <row r="46">
      <c r="A46" s="4" t="n">
        <v>46268</v>
      </c>
      <c r="B46" s="9">
        <f>IF(A46="","",INT(DAY(A46)/7)+1)</f>
        <v>1</v>
      </c>
      <c r="C46" s="9" t="inlineStr">
        <is>
          <t>MTA*NYCT PAYGO NEW YORK NY 09/02 (...0119)</t>
        </is>
      </c>
      <c r="D46" s="9" t="inlineStr">
        <is>
          <t>MTA NYCT Paygo</t>
        </is>
      </c>
      <c r="E46" s="9" t="inlineStr">
        <is>
          <t>Transportation</t>
        </is>
      </c>
      <c r="F46" s="9" t="inlineStr">
        <is>
          <t>Public transit</t>
        </is>
      </c>
      <c r="G46" s="9" t="inlineStr">
        <is>
          <t>Checking</t>
        </is>
      </c>
      <c r="H46" s="9" t="inlineStr">
        <is>
          <t>Debit Card</t>
        </is>
      </c>
      <c r="I46" s="9" t="inlineStr">
        <is>
          <t>Expense</t>
        </is>
      </c>
      <c r="J46" s="3" t="n">
        <v>3</v>
      </c>
      <c r="K46" s="9" t="inlineStr">
        <is>
          <t>9월 1주차; Chase Secure (...0119); Balance shown: $7,511.31</t>
        </is>
      </c>
    </row>
    <row r="47">
      <c r="A47" s="4">
        <v>46269</v>
      </c>
      <c r="B47" s="9">
        <f>IF(A47="","",INT(DAY(A47)/7)+1)</f>
        <v>1</v>
      </c>
      <c r="C47" s="9" t="inlineStr">
        <is>
          <t>TRADER JOE S #54 445 G NEW YORK NY 054905 09/04 (...0119)</t>
        </is>
      </c>
      <c r="D47" s="9" t="inlineStr">
        <is>
          <t>Trader Joe's</t>
        </is>
      </c>
      <c r="E47" s="9" t="inlineStr">
        <is>
          <t>Groceries</t>
        </is>
      </c>
      <c r="F47" s="9" t="inlineStr">
        <is>
          <t>Groceries</t>
        </is>
      </c>
      <c r="G47" s="9" t="inlineStr">
        <is>
          <t>Checking</t>
        </is>
      </c>
      <c r="H47" s="9" t="inlineStr">
        <is>
          <t>Debit Card</t>
        </is>
      </c>
      <c r="I47" s="9" t="inlineStr">
        <is>
          <t>Expense</t>
        </is>
      </c>
      <c r="J47" s="3">
        <v>27.56</v>
      </c>
      <c r="K47" s="9" t="inlineStr">
        <is>
          <t>9월 1주차; Chase Secure (...0119); Balance shown: $7,431.86</t>
        </is>
      </c>
    </row>
    <row r="48">
      <c r="A48" s="4">
        <v>46269</v>
      </c>
      <c r="B48" s="9">
        <f>IF(A48="","",INT(DAY(A48)/7)+1)</f>
        <v>1</v>
      </c>
      <c r="C48" s="9" t="inlineStr">
        <is>
          <t>MTA*NYCT PAYGO NEW YORK NY 09/03 (...0119)</t>
        </is>
      </c>
      <c r="D48" s="9" t="inlineStr">
        <is>
          <t>MTA NYCT Paygo</t>
        </is>
      </c>
      <c r="E48" s="9" t="inlineStr">
        <is>
          <t>Transportation</t>
        </is>
      </c>
      <c r="F48" s="9" t="inlineStr">
        <is>
          <t>Public transit</t>
        </is>
      </c>
      <c r="G48" s="9" t="inlineStr">
        <is>
          <t>Checking</t>
        </is>
      </c>
      <c r="H48" s="9" t="inlineStr">
        <is>
          <t>Debit Card</t>
        </is>
      </c>
      <c r="I48" s="9" t="inlineStr">
        <is>
          <t>Expense</t>
        </is>
      </c>
      <c r="J48" s="3">
        <v>3</v>
      </c>
      <c r="K48" s="9" t="inlineStr">
        <is>
          <t>9월 1주차; Chase Secure (...0119); Balance shown: $7,459.42</t>
        </is>
      </c>
    </row>
    <row r="49">
      <c r="A49" s="4">
        <v>46269</v>
      </c>
      <c r="B49" s="9">
        <f>IF(A49="","",INT(DAY(A49)/7)+1)</f>
        <v>1</v>
      </c>
      <c r="C49" s="9" t="inlineStr">
        <is>
          <t>MTA*NYCT PAYGO NEW YORK NY 09/03 (...0119)</t>
        </is>
      </c>
      <c r="D49" s="9" t="inlineStr">
        <is>
          <t>MTA NYCT Paygo</t>
        </is>
      </c>
      <c r="E49" s="9" t="inlineStr">
        <is>
          <t>Transportation</t>
        </is>
      </c>
      <c r="F49" s="9" t="inlineStr">
        <is>
          <t>Public transit</t>
        </is>
      </c>
      <c r="G49" s="9" t="inlineStr">
        <is>
          <t>Checking</t>
        </is>
      </c>
      <c r="H49" s="9" t="inlineStr">
        <is>
          <t>Debit Card</t>
        </is>
      </c>
      <c r="I49" s="9" t="inlineStr">
        <is>
          <t>Expense</t>
        </is>
      </c>
      <c r="J49" s="3">
        <v>3</v>
      </c>
      <c r="K49" s="9" t="inlineStr">
        <is>
          <t>9월 1주차; Chase Secure (...0119); Balance shown: $7,462.42</t>
        </is>
      </c>
    </row>
    <row r="50">
      <c r="A50" s="4">
        <v>46273</v>
      </c>
      <c r="B50" s="9">
        <f>IF(A50="","",INT(DAY(A50)/7)+1)</f>
        <v>2</v>
      </c>
      <c r="C50" s="9" t="inlineStr">
        <is>
          <t>SEATGEEK TICKETS SEATGEEK.COM NY 09/08 (...0119)</t>
        </is>
      </c>
      <c r="D50" s="9" t="inlineStr">
        <is>
          <t>SeatGeek</t>
        </is>
      </c>
      <c r="E50" s="9" t="inlineStr">
        <is>
          <t>Entertainment</t>
        </is>
      </c>
      <c r="F50" s="9" t="inlineStr">
        <is>
          <t>Tickets</t>
        </is>
      </c>
      <c r="G50" s="9" t="inlineStr">
        <is>
          <t>Checking</t>
        </is>
      </c>
      <c r="H50" s="9" t="inlineStr">
        <is>
          <t>Debit Card</t>
        </is>
      </c>
      <c r="I50" s="9" t="inlineStr">
        <is>
          <t>Expense</t>
        </is>
      </c>
      <c r="J50" s="3">
        <v>52.64</v>
      </c>
      <c r="K50" s="9" t="inlineStr">
        <is>
          <t>9월 2주차; Chase Secure (...0119); Balance shown: $7,204.77; Actual card charge $158.64 for 3 tickets, $106 reimbursed via Venmo; amount entered as own share for summaries</t>
        </is>
      </c>
    </row>
    <row r="51">
      <c r="A51" s="4">
        <v>46272</v>
      </c>
      <c r="B51" s="9">
        <f>IF(A51="","",INT(DAY(A51)/7)+1)</f>
        <v>2</v>
      </c>
      <c r="C51" s="9" t="inlineStr">
        <is>
          <t>H MART NEW YORK NY 09/07 (...0119)</t>
        </is>
      </c>
      <c r="D51" s="9" t="inlineStr">
        <is>
          <t>H Mart</t>
        </is>
      </c>
      <c r="E51" s="9" t="inlineStr">
        <is>
          <t>Groceries</t>
        </is>
      </c>
      <c r="F51" s="9" t="inlineStr">
        <is>
          <t>Groceries</t>
        </is>
      </c>
      <c r="G51" s="9" t="inlineStr">
        <is>
          <t>Checking</t>
        </is>
      </c>
      <c r="H51" s="9" t="inlineStr">
        <is>
          <t>Debit Card</t>
        </is>
      </c>
      <c r="I51" s="9" t="inlineStr">
        <is>
          <t>Expense</t>
        </is>
      </c>
      <c r="J51" s="3">
        <v>34.98</v>
      </c>
      <c r="K51" s="9" t="inlineStr">
        <is>
          <t>9월 2주차; Chase Secure (...0119); Posted 2026-09-08; Balance shown: $7,363.41</t>
        </is>
      </c>
    </row>
    <row r="52">
      <c r="A52" s="4">
        <v>46271</v>
      </c>
      <c r="B52" s="9">
        <f>IF(A52="","",INT(DAY(A52)/7)+1)</f>
        <v>1</v>
      </c>
      <c r="C52" s="9" t="inlineStr">
        <is>
          <t>OPENAI *CHATGPT SUBSCR OPENAI.COM CA 09/06 (...0119)</t>
        </is>
      </c>
      <c r="D52" s="9" t="inlineStr">
        <is>
          <t>OpenAI ChatGPT</t>
        </is>
      </c>
      <c r="E52" s="9" t="inlineStr">
        <is>
          <t>Education</t>
        </is>
      </c>
      <c r="F52" s="9" t="inlineStr">
        <is>
          <t>Software subscription</t>
        </is>
      </c>
      <c r="G52" s="9" t="inlineStr">
        <is>
          <t>Checking</t>
        </is>
      </c>
      <c r="H52" s="9" t="inlineStr">
        <is>
          <t>Debit Card</t>
        </is>
      </c>
      <c r="I52" s="9" t="inlineStr">
        <is>
          <t>Expense</t>
        </is>
      </c>
      <c r="J52" s="3">
        <v>100.01</v>
      </c>
      <c r="K52" s="9" t="inlineStr">
        <is>
          <t>9월 1주차; Chase Secure (...0119); Posted 2026-09-08; Balance shown: $7,398.39</t>
        </is>
      </c>
    </row>
    <row r="53">
      <c r="A53" s="4">
        <v>46269</v>
      </c>
      <c r="B53" s="9">
        <f>IF(A53="","",INT(DAY(A53)/7)+1)</f>
        <v>1</v>
      </c>
      <c r="C53" s="9" t="inlineStr">
        <is>
          <t>H MART NEW YORK NY 09/04 (...0119)</t>
        </is>
      </c>
      <c r="D53" s="9" t="inlineStr">
        <is>
          <t>H Mart</t>
        </is>
      </c>
      <c r="E53" s="9" t="inlineStr">
        <is>
          <t>Groceries</t>
        </is>
      </c>
      <c r="F53" s="9" t="inlineStr">
        <is>
          <t>Groceries</t>
        </is>
      </c>
      <c r="G53" s="9" t="inlineStr">
        <is>
          <t>Checking</t>
        </is>
      </c>
      <c r="H53" s="9" t="inlineStr">
        <is>
          <t>Debit Card</t>
        </is>
      </c>
      <c r="I53" s="9" t="inlineStr">
        <is>
          <t>Expense</t>
        </is>
      </c>
      <c r="J53" s="3">
        <v>34.46</v>
      </c>
      <c r="K53" s="9" t="inlineStr">
        <is>
          <t>9월 1주차; Chase Secure (...0119); Posted 2026-09-08; Balance shown: $7,498.40</t>
        </is>
      </c>
    </row>
    <row r="54">
      <c r="A54" s="4">
        <v>46269</v>
      </c>
      <c r="B54" s="9">
        <f>IF(A54="","",INT(DAY(A54)/7)+1)</f>
        <v>1</v>
      </c>
      <c r="C54" s="9" t="inlineStr">
        <is>
          <t>MTA*NYCT PAYGO NEW YORK NY 09/04 (...0119)</t>
        </is>
      </c>
      <c r="D54" s="9" t="inlineStr">
        <is>
          <t>MTA NYCT Paygo</t>
        </is>
      </c>
      <c r="E54" s="9" t="inlineStr">
        <is>
          <t>Transportation</t>
        </is>
      </c>
      <c r="F54" s="9" t="inlineStr">
        <is>
          <t>Public transit</t>
        </is>
      </c>
      <c r="G54" s="9" t="inlineStr">
        <is>
          <t>Checking</t>
        </is>
      </c>
      <c r="H54" s="9" t="inlineStr">
        <is>
          <t>Debit Card</t>
        </is>
      </c>
      <c r="I54" s="9" t="inlineStr">
        <is>
          <t>Expense</t>
        </is>
      </c>
      <c r="J54" s="3">
        <v>2</v>
      </c>
      <c r="K54" s="9" t="inlineStr">
        <is>
          <t>9월 1주차; Chase Secure (...0119); Posted 2026-09-08; Balance shown: $7,532.86</t>
        </is>
      </c>
    </row>
    <row r="55">
      <c r="A55" s="4">
        <v>46269</v>
      </c>
      <c r="B55" s="9">
        <f>IF(A55="","",INT(DAY(A55)/7)+1)</f>
        <v>1</v>
      </c>
      <c r="C55" s="9" t="inlineStr">
        <is>
          <t>MTA*NYCT PAYGO NEW YORK NY 09/04 (...0119)</t>
        </is>
      </c>
      <c r="D55" s="9" t="inlineStr">
        <is>
          <t>MTA NYCT Paygo</t>
        </is>
      </c>
      <c r="E55" s="9" t="inlineStr">
        <is>
          <t>Transportation</t>
        </is>
      </c>
      <c r="F55" s="9" t="inlineStr">
        <is>
          <t>Public transit</t>
        </is>
      </c>
      <c r="G55" s="9" t="inlineStr">
        <is>
          <t>Checking</t>
        </is>
      </c>
      <c r="H55" s="9" t="inlineStr">
        <is>
          <t>Debit Card</t>
        </is>
      </c>
      <c r="I55" s="9" t="inlineStr">
        <is>
          <t>Expense</t>
        </is>
      </c>
      <c r="J55" s="3">
        <v>3</v>
      </c>
      <c r="K55" s="9" t="inlineStr">
        <is>
          <t>9월 1주차; Chase Secure (...0119); Posted 2026-09-08; Balance shown: $7,534.86</t>
        </is>
      </c>
    </row>
    <row r="56">
      <c r="A56" s="4">
        <v>46273</v>
      </c>
      <c r="B56" s="9">
        <f>IF(A56="","",INT(DAY(A56)/7)+1)</f>
        <v>2</v>
      </c>
      <c r="C56" s="9" t="inlineStr">
        <is>
          <t>VENMO CASHOUT PPD ID: 5264681992</t>
        </is>
      </c>
      <c r="D56" s="9" t="inlineStr">
        <is>
          <t>Venmo</t>
        </is>
      </c>
      <c r="E56" s="9" t="inlineStr">
        <is>
          <t>Transfers</t>
        </is>
      </c>
      <c r="F56" s="9" t="inlineStr">
        <is>
          <t>Reimbursement</t>
        </is>
      </c>
      <c r="G56" s="9" t="inlineStr">
        <is>
          <t>Checking</t>
        </is>
      </c>
      <c r="H56" s="9" t="inlineStr">
        <is>
          <t>ACH</t>
        </is>
      </c>
      <c r="I56" s="9" t="inlineStr">
        <is>
          <t>Transfer</t>
        </is>
      </c>
      <c r="J56" s="3">
        <v>106</v>
      </c>
      <c r="K56" s="9" t="inlineStr">
        <is>
          <t>9월 2주차; Chase Secure (...0119); Balance shown: $7,537.86; Reimbursement for 2 of 3 SeatGeek tickets; excluded from income/expense summary</t>
        </is>
      </c>
    </row>
    <row r="57">
      <c r="A57" s="4" t="n">
        <v>46273</v>
      </c>
      <c r="B57" s="9">
        <f>IF(A57="","",INT(DAY(A57)/7)+1)</f>
        <v>2</v>
      </c>
      <c r="C57" s="9" t="inlineStr">
        <is>
          <t>MTA*NYCT PAYGO NEW YORK NY 09/08 (...0119)</t>
        </is>
      </c>
      <c r="D57" s="9" t="inlineStr">
        <is>
          <t>MTA NYCT Paygo</t>
        </is>
      </c>
      <c r="E57" s="9" t="inlineStr">
        <is>
          <t>Transportation</t>
        </is>
      </c>
      <c r="F57" s="9" t="inlineStr">
        <is>
          <t>Public transit</t>
        </is>
      </c>
      <c r="G57" s="9" t="inlineStr">
        <is>
          <t>Checking</t>
        </is>
      </c>
      <c r="H57" s="9" t="inlineStr">
        <is>
          <t>Debit Card</t>
        </is>
      </c>
      <c r="I57" s="9" t="inlineStr">
        <is>
          <t>Expense</t>
        </is>
      </c>
      <c r="J57" s="3" t="n">
        <v>3</v>
      </c>
      <c r="K57" s="9" t="inlineStr">
        <is>
          <t>9월 2주차; Chase Secure (...0119); Posted 2026-09-09; Balance shown: $7,182.48</t>
        </is>
      </c>
    </row>
    <row r="58">
      <c r="A58" s="4" t="n">
        <v>46273</v>
      </c>
      <c r="B58" s="9">
        <f>IF(A58="","",INT(DAY(A58)/7)+1)</f>
        <v>2</v>
      </c>
      <c r="C58" s="9" t="inlineStr">
        <is>
          <t>SQ *SUPREME NY PIZZA I BROOKLYN NY 09/08 (...0119)</t>
        </is>
      </c>
      <c r="D58" s="9" t="inlineStr">
        <is>
          <t>Supreme NY Pizza</t>
        </is>
      </c>
      <c r="E58" s="9" t="inlineStr">
        <is>
          <t>Dining</t>
        </is>
      </c>
      <c r="F58" s="9" t="inlineStr">
        <is>
          <t>Restaurant/Pizza</t>
        </is>
      </c>
      <c r="G58" s="9" t="inlineStr">
        <is>
          <t>Checking</t>
        </is>
      </c>
      <c r="H58" s="9" t="inlineStr">
        <is>
          <t>Debit Card</t>
        </is>
      </c>
      <c r="I58" s="9" t="inlineStr">
        <is>
          <t>Expense</t>
        </is>
      </c>
      <c r="J58" s="3" t="n">
        <v>3.39</v>
      </c>
      <c r="K58" s="9" t="inlineStr">
        <is>
          <t>9월 2주차; Chase Secure (...0119); Posted 2026-09-09; Balance shown: $7,185.48</t>
        </is>
      </c>
    </row>
    <row r="59">
      <c r="A59" s="4" t="n">
        <v>46273</v>
      </c>
      <c r="B59" s="9">
        <f>IF(A59="","",INT(DAY(A59)/7)+1)</f>
        <v>2</v>
      </c>
      <c r="C59" s="9" t="inlineStr">
        <is>
          <t>FIVE GUYS NY 1258 QSR BROOKLYN NY 09/08 (...0119)</t>
        </is>
      </c>
      <c r="D59" s="9" t="inlineStr">
        <is>
          <t>Five Guys</t>
        </is>
      </c>
      <c r="E59" s="9" t="inlineStr">
        <is>
          <t>Dining</t>
        </is>
      </c>
      <c r="F59" s="9" t="inlineStr">
        <is>
          <t>Fast food</t>
        </is>
      </c>
      <c r="G59" s="9" t="inlineStr">
        <is>
          <t>Checking</t>
        </is>
      </c>
      <c r="H59" s="9" t="inlineStr">
        <is>
          <t>Debit Card</t>
        </is>
      </c>
      <c r="I59" s="9" t="inlineStr">
        <is>
          <t>Expense</t>
        </is>
      </c>
      <c r="J59" s="3" t="n">
        <v>12.90</v>
      </c>
      <c r="K59" s="9" t="inlineStr">
        <is>
          <t>9월 2주차; Chase Secure (...0119); Posted 2026-09-09; Balance shown: $7,188.87</t>
        </is>
      </c>
    </row>
    <row r="60">
      <c r="A60" s="4" t="n">
        <v>46273</v>
      </c>
      <c r="B60" s="9">
        <f>IF(A60="","",INT(DAY(A60)/7)+1)</f>
        <v>2</v>
      </c>
      <c r="C60" s="9" t="inlineStr">
        <is>
          <t>MTA*NYCT PAYGO NEW YORK NY 09/08 (...0119)</t>
        </is>
      </c>
      <c r="D60" s="9" t="inlineStr">
        <is>
          <t>MTA NYCT Paygo</t>
        </is>
      </c>
      <c r="E60" s="9" t="inlineStr">
        <is>
          <t>Transportation</t>
        </is>
      </c>
      <c r="F60" s="9" t="inlineStr">
        <is>
          <t>Public transit</t>
        </is>
      </c>
      <c r="G60" s="9" t="inlineStr">
        <is>
          <t>Checking</t>
        </is>
      </c>
      <c r="H60" s="9" t="inlineStr">
        <is>
          <t>Debit Card</t>
        </is>
      </c>
      <c r="I60" s="9" t="inlineStr">
        <is>
          <t>Expense</t>
        </is>
      </c>
      <c r="J60" s="3" t="n">
        <v>3</v>
      </c>
      <c r="K60" s="9" t="inlineStr">
        <is>
          <t>9월 2주차; Chase Secure (...0119); Posted 2026-09-09; Balance shown: $7,201.77</t>
        </is>
      </c>
    </row>
    <row r="61">
      <c r="A61" s="4" t="n">
        <v>46275</v>
      </c>
      <c r="B61" s="9">
        <f>IF(A61="","",INT(DAY(A61)/7)+1)</f>
        <v>2</v>
      </c>
      <c r="C61" s="9" t="inlineStr">
        <is>
          <t>MTA*NYCT PAYGO NEW YORK NY 09/10 (...0119)</t>
        </is>
      </c>
      <c r="D61" s="9" t="inlineStr">
        <is>
          <t>MTA NYCT Paygo</t>
        </is>
      </c>
      <c r="E61" s="9" t="inlineStr">
        <is>
          <t>Transportation</t>
        </is>
      </c>
      <c r="F61" s="9" t="inlineStr">
        <is>
          <t>Public transit</t>
        </is>
      </c>
      <c r="G61" s="9" t="inlineStr">
        <is>
          <t>Checking</t>
        </is>
      </c>
      <c r="H61" s="9" t="inlineStr">
        <is>
          <t>Debit Card</t>
        </is>
      </c>
      <c r="I61" s="9" t="inlineStr">
        <is>
          <t>Expense</t>
        </is>
      </c>
      <c r="J61" s="3" t="n">
        <v>3</v>
      </c>
      <c r="K61" s="9" t="inlineStr">
        <is>
          <t>9월 2주차; Chase Secure (...0119); Posted 2026-09-11; Balance shown: $8,560.07</t>
        </is>
      </c>
    </row>
    <row r="62">
      <c r="A62" s="4" t="n">
        <v>46275</v>
      </c>
      <c r="B62" s="9">
        <f>IF(A62="","",INT(DAY(A62)/7)+1)</f>
        <v>2</v>
      </c>
      <c r="C62" s="9" t="inlineStr">
        <is>
          <t>JD 1193 BROOKLYN NY 09/10 (...0119)</t>
        </is>
      </c>
      <c r="D62" s="9" t="inlineStr">
        <is>
          <t>JD 1193</t>
        </is>
      </c>
      <c r="E62" s="9" t="inlineStr">
        <is>
          <t>Shopping</t>
        </is>
      </c>
      <c r="F62" s="9" t="inlineStr">
        <is>
          <t>Retail</t>
        </is>
      </c>
      <c r="G62" s="9" t="inlineStr">
        <is>
          <t>Checking</t>
        </is>
      </c>
      <c r="H62" s="9" t="inlineStr">
        <is>
          <t>Debit Card</t>
        </is>
      </c>
      <c r="I62" s="9" t="inlineStr">
        <is>
          <t>Expense</t>
        </is>
      </c>
      <c r="J62" s="3" t="n">
        <v>65</v>
      </c>
      <c r="K62" s="9" t="inlineStr">
        <is>
          <t>9월 2주차; Chase Secure (...0119); Posted 2026-09-11; Balance shown: $8,563.07</t>
        </is>
      </c>
    </row>
    <row r="63">
      <c r="A63" s="4" t="n">
        <v>46275</v>
      </c>
      <c r="B63" s="9">
        <f>IF(A63="","",INT(DAY(A63)/7)+1)</f>
        <v>2</v>
      </c>
      <c r="C63" s="9" t="inlineStr">
        <is>
          <t>MTA*NYCT PAYGO NEW YORK NY 09/10 (...0119)</t>
        </is>
      </c>
      <c r="D63" s="9" t="inlineStr">
        <is>
          <t>MTA NYCT Paygo</t>
        </is>
      </c>
      <c r="E63" s="9" t="inlineStr">
        <is>
          <t>Transportation</t>
        </is>
      </c>
      <c r="F63" s="9" t="inlineStr">
        <is>
          <t>Public transit</t>
        </is>
      </c>
      <c r="G63" s="9" t="inlineStr">
        <is>
          <t>Checking</t>
        </is>
      </c>
      <c r="H63" s="9" t="inlineStr">
        <is>
          <t>Debit Card</t>
        </is>
      </c>
      <c r="I63" s="9" t="inlineStr">
        <is>
          <t>Expense</t>
        </is>
      </c>
      <c r="J63" s="3" t="n">
        <v>3</v>
      </c>
      <c r="K63" s="9" t="inlineStr">
        <is>
          <t>9월 2주차; Chase Secure (...0119); Posted 2026-09-11; Balance shown: $8,628.07</t>
        </is>
      </c>
    </row>
    <row r="64">
      <c r="A64" s="4" t="n">
        <v>46276</v>
      </c>
      <c r="B64" s="9">
        <f>IF(A64="","",INT(DAY(A64)/7)+1)</f>
        <v>2</v>
      </c>
      <c r="C64" s="9" t="inlineStr">
        <is>
          <t>NEW YORK UNIVERS DIRECT DEP PPD ID: 5135562308</t>
        </is>
      </c>
      <c r="D64" s="9" t="inlineStr">
        <is>
          <t>New York University</t>
        </is>
      </c>
      <c r="E64" s="9" t="inlineStr">
        <is>
          <t>Income</t>
        </is>
      </c>
      <c r="F64" s="9" t="inlineStr">
        <is>
          <t>Direct deposit</t>
        </is>
      </c>
      <c r="G64" s="9" t="inlineStr">
        <is>
          <t>Checking</t>
        </is>
      </c>
      <c r="H64" s="9" t="inlineStr">
        <is>
          <t>ACH credit</t>
        </is>
      </c>
      <c r="I64" s="9" t="inlineStr">
        <is>
          <t>Income</t>
        </is>
      </c>
      <c r="J64" s="3" t="n">
        <v>1548</v>
      </c>
      <c r="K64" s="9" t="inlineStr">
        <is>
          <t>9월 2주차; Posted 2026-09-11; Balance shown: $8,631.07</t>
        </is>
      </c>
    </row>
    <row r="65">
      <c r="A65" s="4" t="n">
        <v>46275</v>
      </c>
      <c r="B65" s="9">
        <f>IF(A65="","",INT(DAY(A65)/7)+1)</f>
        <v>2</v>
      </c>
      <c r="C65" s="9" t="inlineStr">
        <is>
          <t>TRADER JOE S #54 445 G NEW YORK NY 439864 09/10 (...0119)</t>
        </is>
      </c>
      <c r="D65" s="9" t="inlineStr">
        <is>
          <t>Trader Joe's</t>
        </is>
      </c>
      <c r="E65" s="9" t="inlineStr">
        <is>
          <t>Groceries</t>
        </is>
      </c>
      <c r="F65" s="9" t="inlineStr">
        <is>
          <t>Groceries</t>
        </is>
      </c>
      <c r="G65" s="9" t="inlineStr">
        <is>
          <t>Checking</t>
        </is>
      </c>
      <c r="H65" s="9" t="inlineStr">
        <is>
          <t>Debit Card</t>
        </is>
      </c>
      <c r="I65" s="9" t="inlineStr">
        <is>
          <t>Expense</t>
        </is>
      </c>
      <c r="J65" s="3" t="n">
        <v>41.06</v>
      </c>
      <c r="K65" s="9" t="inlineStr">
        <is>
          <t>9월 2주차; Chase Secure (...0119); Posted 2026-09-10; Balance shown: $7,083.07</t>
        </is>
      </c>
    </row>
    <row r="66">
      <c r="A66" s="4" t="n">
        <v>46275</v>
      </c>
      <c r="B66" s="9">
        <f>IF(A66="","",INT(DAY(A66)/7)+1)</f>
        <v>2</v>
      </c>
      <c r="C66" s="9" t="inlineStr">
        <is>
          <t>JACKPOT DEALS BROOKLYN NY 432849 09/10 (...0119)</t>
        </is>
      </c>
      <c r="D66" s="9" t="inlineStr">
        <is>
          <t>Jackpot Deals</t>
        </is>
      </c>
      <c r="E66" s="9" t="inlineStr">
        <is>
          <t>Shopping</t>
        </is>
      </c>
      <c r="F66" s="9" t="inlineStr">
        <is>
          <t>Retail</t>
        </is>
      </c>
      <c r="G66" s="9" t="inlineStr">
        <is>
          <t>Checking</t>
        </is>
      </c>
      <c r="H66" s="9" t="inlineStr">
        <is>
          <t>Debit Card</t>
        </is>
      </c>
      <c r="I66" s="9" t="inlineStr">
        <is>
          <t>Expense</t>
        </is>
      </c>
      <c r="J66" s="3" t="n">
        <v>4.59</v>
      </c>
      <c r="K66" s="9" t="inlineStr">
        <is>
          <t>9월 2주차; Chase Secure (...0119); Posted 2026-09-10; Balance shown: $7,124.13</t>
        </is>
      </c>
    </row>
    <row r="67">
      <c r="A67" s="4" t="n">
        <v>46274</v>
      </c>
      <c r="B67" s="9">
        <f>IF(A67="","",INT(DAY(A67)/7)+1)</f>
        <v>2</v>
      </c>
      <c r="C67" s="9" t="inlineStr">
        <is>
          <t>FOOD UNIVERSE # 1908 NEW YORK NY 09/09 (...0119)</t>
        </is>
      </c>
      <c r="D67" s="9" t="inlineStr">
        <is>
          <t>Food Universe</t>
        </is>
      </c>
      <c r="E67" s="9" t="inlineStr">
        <is>
          <t>Groceries</t>
        </is>
      </c>
      <c r="F67" s="9" t="inlineStr">
        <is>
          <t>Groceries</t>
        </is>
      </c>
      <c r="G67" s="9" t="inlineStr">
        <is>
          <t>Checking</t>
        </is>
      </c>
      <c r="H67" s="9" t="inlineStr">
        <is>
          <t>Debit Card</t>
        </is>
      </c>
      <c r="I67" s="9" t="inlineStr">
        <is>
          <t>Expense</t>
        </is>
      </c>
      <c r="J67" s="3" t="n">
        <v>3.57</v>
      </c>
      <c r="K67" s="9" t="inlineStr">
        <is>
          <t>9월 2주차; Chase Secure (...0119); Posted 2026-09-10; Balance shown: $7,128.72</t>
        </is>
      </c>
    </row>
    <row r="68">
      <c r="A68" s="4" t="n">
        <v>46274</v>
      </c>
      <c r="B68" s="9">
        <f>IF(A68="","",INT(DAY(A68)/7)+1)</f>
        <v>2</v>
      </c>
      <c r="C68" s="9" t="inlineStr">
        <is>
          <t>TMOBILE*PREPD AUTOPY 877-778-2106 WA 09/09 (...0119)</t>
        </is>
      </c>
      <c r="D68" s="9" t="inlineStr">
        <is>
          <t>T-Mobile</t>
        </is>
      </c>
      <c r="E68" s="9" t="inlineStr">
        <is>
          <t>Utilities</t>
        </is>
      </c>
      <c r="F68" s="9" t="inlineStr">
        <is>
          <t>Mobile phone</t>
        </is>
      </c>
      <c r="G68" s="9" t="inlineStr">
        <is>
          <t>Checking</t>
        </is>
      </c>
      <c r="H68" s="9" t="inlineStr">
        <is>
          <t>Debit Card</t>
        </is>
      </c>
      <c r="I68" s="9" t="inlineStr">
        <is>
          <t>Expense</t>
        </is>
      </c>
      <c r="J68" s="3" t="n">
        <v>50.19</v>
      </c>
      <c r="K68" s="9" t="inlineStr">
        <is>
          <t>9월 2주차; Chase Secure (...0119); Posted 2026-09-10; Balance shown: $7,132.29</t>
        </is>
      </c>
    </row>
    <row r="69">
      <c r="A69" s="4">
        <v>46278</v>
      </c>
      <c r="B69" s="9">
        <f>IF(A69="","",INT(DAY(A69)/7)+1)</f>
        <v>2</v>
      </c>
      <c r="C69" s="9" t="inlineStr">
        <is>
          <t>MTA*NYCT PAYGO NEW YORK NY 09/13 (...0119)</t>
        </is>
      </c>
      <c r="D69" s="9" t="inlineStr">
        <is>
          <t>MTA NYCT Paygo</t>
        </is>
      </c>
      <c r="E69" s="9" t="inlineStr">
        <is>
          <t>Transportation</t>
        </is>
      </c>
      <c r="F69" s="9" t="inlineStr">
        <is>
          <t>Public transit</t>
        </is>
      </c>
      <c r="G69" s="9" t="inlineStr">
        <is>
          <t>Checking</t>
        </is>
      </c>
      <c r="H69" s="9" t="inlineStr">
        <is>
          <t>Debit Card</t>
        </is>
      </c>
      <c r="I69" s="9" t="inlineStr">
        <is>
          <t>Expense</t>
        </is>
      </c>
      <c r="J69" s="3">
        <v>3.00</v>
      </c>
      <c r="K69" s="9" t="inlineStr">
        <is>
          <t>9월 2주차; Chase Secure (...0119); Posted 2026-09-14; Balance shown: $8,407.49</t>
        </is>
      </c>
    </row>
    <row r="70">
      <c r="A70" s="4">
        <v>46278</v>
      </c>
      <c r="B70" s="9">
        <f>IF(A70="","",INT(DAY(A70)/7)+1)</f>
        <v>2</v>
      </c>
      <c r="C70" s="9" t="inlineStr">
        <is>
          <t>H MART NEW YORK NY 09/13 (...0119)</t>
        </is>
      </c>
      <c r="D70" s="9" t="inlineStr">
        <is>
          <t>H Mart</t>
        </is>
      </c>
      <c r="E70" s="9" t="inlineStr">
        <is>
          <t>Groceries</t>
        </is>
      </c>
      <c r="F70" s="9" t="inlineStr">
        <is>
          <t>Groceries</t>
        </is>
      </c>
      <c r="G70" s="9" t="inlineStr">
        <is>
          <t>Checking</t>
        </is>
      </c>
      <c r="H70" s="9" t="inlineStr">
        <is>
          <t>Debit Card</t>
        </is>
      </c>
      <c r="I70" s="9" t="inlineStr">
        <is>
          <t>Expense</t>
        </is>
      </c>
      <c r="J70" s="3">
        <v>21.59</v>
      </c>
      <c r="K70" s="9" t="inlineStr">
        <is>
          <t>9월 2주차; Chase Secure (...0119); Posted 2026-09-14; Balance shown: $8,410.49</t>
        </is>
      </c>
    </row>
    <row r="71">
      <c r="A71" s="4">
        <v>46278</v>
      </c>
      <c r="B71" s="9">
        <f>IF(A71="","",INT(DAY(A71)/7)+1)</f>
        <v>2</v>
      </c>
      <c r="C71" s="9" t="inlineStr">
        <is>
          <t>MTA*NYCT PAYGO NEW YORK NY 09/13 (...0119)</t>
        </is>
      </c>
      <c r="D71" s="9" t="inlineStr">
        <is>
          <t>MTA NYCT Paygo</t>
        </is>
      </c>
      <c r="E71" s="9" t="inlineStr">
        <is>
          <t>Transportation</t>
        </is>
      </c>
      <c r="F71" s="9" t="inlineStr">
        <is>
          <t>Public transit</t>
        </is>
      </c>
      <c r="G71" s="9" t="inlineStr">
        <is>
          <t>Checking</t>
        </is>
      </c>
      <c r="H71" s="9" t="inlineStr">
        <is>
          <t>Debit Card</t>
        </is>
      </c>
      <c r="I71" s="9" t="inlineStr">
        <is>
          <t>Expense</t>
        </is>
      </c>
      <c r="J71" s="3">
        <v>3.00</v>
      </c>
      <c r="K71" s="9" t="inlineStr">
        <is>
          <t>9월 2주차; Chase Secure (...0119); Posted 2026-09-14; Balance shown: $8,432.08</t>
        </is>
      </c>
    </row>
    <row r="72">
      <c r="A72" s="4">
        <v>46278</v>
      </c>
      <c r="B72" s="9">
        <f>IF(A72="","",INT(DAY(A72)/7)+1)</f>
        <v>2</v>
      </c>
      <c r="C72" s="9" t="inlineStr">
        <is>
          <t>MTA*NYCT PAYGO NEW YORK NY 09/13 (...0119)</t>
        </is>
      </c>
      <c r="D72" s="9" t="inlineStr">
        <is>
          <t>MTA NYCT Paygo</t>
        </is>
      </c>
      <c r="E72" s="9" t="inlineStr">
        <is>
          <t>Transportation</t>
        </is>
      </c>
      <c r="F72" s="9" t="inlineStr">
        <is>
          <t>Public transit</t>
        </is>
      </c>
      <c r="G72" s="9" t="inlineStr">
        <is>
          <t>Checking</t>
        </is>
      </c>
      <c r="H72" s="9" t="inlineStr">
        <is>
          <t>Debit Card</t>
        </is>
      </c>
      <c r="I72" s="9" t="inlineStr">
        <is>
          <t>Expense</t>
        </is>
      </c>
      <c r="J72" s="3">
        <v>3.00</v>
      </c>
      <c r="K72" s="9" t="inlineStr">
        <is>
          <t>9월 2주차; Chase Secure (...0119); Posted 2026-09-14; Balance shown: $8,435.08</t>
        </is>
      </c>
    </row>
    <row r="73">
      <c r="A73" s="4">
        <v>46277</v>
      </c>
      <c r="B73" s="9">
        <f>IF(A73="","",INT(DAY(A73)/7)+1)</f>
        <v>2</v>
      </c>
      <c r="C73" s="9" t="inlineStr">
        <is>
          <t>MTA*NYCT PAYGO NEW YORK NY 09/12 (...0119)</t>
        </is>
      </c>
      <c r="D73" s="9" t="inlineStr">
        <is>
          <t>MTA NYCT Paygo</t>
        </is>
      </c>
      <c r="E73" s="9" t="inlineStr">
        <is>
          <t>Transportation</t>
        </is>
      </c>
      <c r="F73" s="9" t="inlineStr">
        <is>
          <t>Public transit</t>
        </is>
      </c>
      <c r="G73" s="9" t="inlineStr">
        <is>
          <t>Checking</t>
        </is>
      </c>
      <c r="H73" s="9" t="inlineStr">
        <is>
          <t>Debit Card</t>
        </is>
      </c>
      <c r="I73" s="9" t="inlineStr">
        <is>
          <t>Expense</t>
        </is>
      </c>
      <c r="J73" s="3">
        <v>3.00</v>
      </c>
      <c r="K73" s="9" t="inlineStr">
        <is>
          <t>9월 2주차; Chase Secure (...0119); Posted 2026-09-14; Balance shown: $8,438.08</t>
        </is>
      </c>
    </row>
    <row r="74">
      <c r="A74" s="4">
        <v>46277</v>
      </c>
      <c r="B74" s="9">
        <f>IF(A74="","",INT(DAY(A74)/7)+1)</f>
        <v>2</v>
      </c>
      <c r="C74" s="9" t="inlineStr">
        <is>
          <t>MTA*NYCT PAYGO NEW YORK NY 09/12 (...0119)</t>
        </is>
      </c>
      <c r="D74" s="9" t="inlineStr">
        <is>
          <t>MTA NYCT Paygo</t>
        </is>
      </c>
      <c r="E74" s="9" t="inlineStr">
        <is>
          <t>Transportation</t>
        </is>
      </c>
      <c r="F74" s="9" t="inlineStr">
        <is>
          <t>Public transit</t>
        </is>
      </c>
      <c r="G74" s="9" t="inlineStr">
        <is>
          <t>Checking</t>
        </is>
      </c>
      <c r="H74" s="9" t="inlineStr">
        <is>
          <t>Debit Card</t>
        </is>
      </c>
      <c r="I74" s="9" t="inlineStr">
        <is>
          <t>Expense</t>
        </is>
      </c>
      <c r="J74" s="3">
        <v>3.00</v>
      </c>
      <c r="K74" s="9" t="inlineStr">
        <is>
          <t>9월 2주차; Chase Secure (...0119); Posted 2026-09-14; Balance shown: $8,441.08</t>
        </is>
      </c>
    </row>
    <row r="75">
      <c r="A75" s="4">
        <v>46276</v>
      </c>
      <c r="B75" s="9">
        <f>IF(A75="","",INT(DAY(A75)/7)+1)</f>
        <v>2</v>
      </c>
      <c r="C75" s="9" t="inlineStr">
        <is>
          <t>FOOD UNIVERSE # 1908 NEW YORK NY 09/11 (...0119)</t>
        </is>
      </c>
      <c r="D75" s="9" t="inlineStr">
        <is>
          <t>Food Universe</t>
        </is>
      </c>
      <c r="E75" s="9" t="inlineStr">
        <is>
          <t>Groceries</t>
        </is>
      </c>
      <c r="F75" s="9" t="inlineStr">
        <is>
          <t>Groceries</t>
        </is>
      </c>
      <c r="G75" s="9" t="inlineStr">
        <is>
          <t>Checking</t>
        </is>
      </c>
      <c r="H75" s="9" t="inlineStr">
        <is>
          <t>Debit Card</t>
        </is>
      </c>
      <c r="I75" s="9" t="inlineStr">
        <is>
          <t>Expense</t>
        </is>
      </c>
      <c r="J75" s="3">
        <v>4.11</v>
      </c>
      <c r="K75" s="9" t="inlineStr">
        <is>
          <t>9월 2주차; Chase Secure (...0119); Posted 2026-09-14; Balance shown: $8,444.08</t>
        </is>
      </c>
    </row>
    <row r="76">
      <c r="A76" s="4">
        <v>46277</v>
      </c>
      <c r="B76" s="9">
        <f>IF(A76="","",INT(DAY(A76)/7)+1)</f>
        <v>2</v>
      </c>
      <c r="C76" s="9" t="inlineStr">
        <is>
          <t>APPLE.COM/BILL 866-712-7753 CA 09/12 (...0119)</t>
        </is>
      </c>
      <c r="D76" s="9" t="inlineStr">
        <is>
          <t>Apple</t>
        </is>
      </c>
      <c r="E76" s="9" t="inlineStr">
        <is>
          <t>Shopping</t>
        </is>
      </c>
      <c r="F76" s="9" t="inlineStr">
        <is>
          <t>Digital purchase (unspecified)</t>
        </is>
      </c>
      <c r="G76" s="9" t="inlineStr">
        <is>
          <t>Checking</t>
        </is>
      </c>
      <c r="H76" s="9" t="inlineStr">
        <is>
          <t>Debit Card</t>
        </is>
      </c>
      <c r="I76" s="9" t="inlineStr">
        <is>
          <t>Expense</t>
        </is>
      </c>
      <c r="J76" s="3">
        <v>2.99</v>
      </c>
      <c r="K76" s="9" t="inlineStr">
        <is>
          <t>9월 2주차; Chase Secure (...0119); Posted 2026-09-14; Balance shown: $8,448.19</t>
        </is>
      </c>
    </row>
    <row r="77">
      <c r="A77" s="4">
        <v>46277</v>
      </c>
      <c r="B77" s="9">
        <f>IF(A77="","",INT(DAY(A77)/7)+1)</f>
        <v>2</v>
      </c>
      <c r="C77" s="9" t="inlineStr">
        <is>
          <t>Amazon.com*5L08W22J1 Amzn.com/bill WA 09/12 (...0119)</t>
        </is>
      </c>
      <c r="D77" s="9" t="inlineStr">
        <is>
          <t>Amazon</t>
        </is>
      </c>
      <c r="E77" s="9" t="inlineStr">
        <is>
          <t>Shopping</t>
        </is>
      </c>
      <c r="F77" s="9" t="inlineStr">
        <is>
          <t>Retail</t>
        </is>
      </c>
      <c r="G77" s="9" t="inlineStr">
        <is>
          <t>Checking</t>
        </is>
      </c>
      <c r="H77" s="9" t="inlineStr">
        <is>
          <t>Debit Card</t>
        </is>
      </c>
      <c r="I77" s="9" t="inlineStr">
        <is>
          <t>Expense</t>
        </is>
      </c>
      <c r="J77" s="3">
        <v>5.43</v>
      </c>
      <c r="K77" s="9" t="inlineStr">
        <is>
          <t>9월 2주차; Chase Secure (...0119); Posted 2026-09-14; Balance shown: $8,451.18</t>
        </is>
      </c>
    </row>
    <row r="78">
      <c r="A78" s="4">
        <v>46277</v>
      </c>
      <c r="B78" s="9">
        <f>IF(A78="","",INT(DAY(A78)/7)+1)</f>
        <v>2</v>
      </c>
      <c r="C78" s="9" t="inlineStr">
        <is>
          <t>GREAT ADVENTURE ONLIN 817-607-6121 NJ 09/12 (...0119)</t>
        </is>
      </c>
      <c r="D78" s="9" t="inlineStr">
        <is>
          <t>Great Adventure</t>
        </is>
      </c>
      <c r="E78" s="9" t="inlineStr">
        <is>
          <t>Entertainment</t>
        </is>
      </c>
      <c r="F78" s="9" t="inlineStr">
        <is>
          <t>Tickets</t>
        </is>
      </c>
      <c r="G78" s="9" t="inlineStr">
        <is>
          <t>Checking</t>
        </is>
      </c>
      <c r="H78" s="9" t="inlineStr">
        <is>
          <t>Debit Card</t>
        </is>
      </c>
      <c r="I78" s="9" t="inlineStr">
        <is>
          <t>Expense</t>
        </is>
      </c>
      <c r="J78" s="3">
        <v>104.89</v>
      </c>
      <c r="K78" s="9" t="inlineStr">
        <is>
          <t>9월 2주차; Chase Secure (...0119); Posted 2026-09-14; Balance shown: $8,456.61</t>
        </is>
      </c>
    </row>
    <row r="79">
      <c r="A79" s="4">
        <v>46276</v>
      </c>
      <c r="B79" s="9">
        <f>IF(A79="","",INT(DAY(A79)/7)+1)</f>
        <v>2</v>
      </c>
      <c r="C79" s="9" t="inlineStr">
        <is>
          <t>AMAZON MKTPL*5L66Q93 Amzn.com/bill WA 09/11 (...0119)</t>
        </is>
      </c>
      <c r="D79" s="9" t="inlineStr">
        <is>
          <t>Amazon</t>
        </is>
      </c>
      <c r="E79" s="9" t="inlineStr">
        <is>
          <t>Shopping</t>
        </is>
      </c>
      <c r="F79" s="9" t="inlineStr">
        <is>
          <t>Retail</t>
        </is>
      </c>
      <c r="G79" s="9" t="inlineStr">
        <is>
          <t>Checking</t>
        </is>
      </c>
      <c r="H79" s="9" t="inlineStr">
        <is>
          <t>Debit Card</t>
        </is>
      </c>
      <c r="I79" s="9" t="inlineStr">
        <is>
          <t>Expense</t>
        </is>
      </c>
      <c r="J79" s="3">
        <v>5.92</v>
      </c>
      <c r="K79" s="9" t="inlineStr">
        <is>
          <t>9월 2주차; Chase Secure (...0119); Posted 2026-09-14; Balance shown: $8,561.50</t>
        </is>
      </c>
    </row>
    <row r="80">
      <c r="A80" s="4">
        <v>46275</v>
      </c>
      <c r="B80" s="9">
        <f>IF(A80="","",INT(DAY(A80)/7)+1)</f>
        <v>2</v>
      </c>
      <c r="C80" s="9" t="inlineStr">
        <is>
          <t>GOLDEN DELI CORP NEW YORK NY 09/10 (...0119)</t>
        </is>
      </c>
      <c r="D80" s="9" t="inlineStr">
        <is>
          <t>Golden Deli</t>
        </is>
      </c>
      <c r="E80" s="9" t="inlineStr">
        <is>
          <t>Dining</t>
        </is>
      </c>
      <c r="F80" s="9" t="inlineStr">
        <is>
          <t>Deli</t>
        </is>
      </c>
      <c r="G80" s="9" t="inlineStr">
        <is>
          <t>Checking</t>
        </is>
      </c>
      <c r="H80" s="9" t="inlineStr">
        <is>
          <t>Debit Card</t>
        </is>
      </c>
      <c r="I80" s="9" t="inlineStr">
        <is>
          <t>Expense</t>
        </is>
      </c>
      <c r="J80" s="3">
        <v>22.65</v>
      </c>
      <c r="K80" s="9" t="inlineStr">
        <is>
          <t>9월 2주차; Chase Secure (...0119); Posted 2026-09-14; Balance shown: $8,567.42</t>
        </is>
      </c>
    </row>
    <row r="81">
      <c r="A81" s="4">
        <v>46279</v>
      </c>
      <c r="B81" s="9">
        <f>IF(A81="","",INT(DAY(A81)/7)+1)</f>
        <v>3</v>
      </c>
      <c r="C81" s="9" t="inlineStr">
        <is>
          <t>Zelle payment from GYU-HWAN LEE 30796019703</t>
        </is>
      </c>
      <c r="D81" s="9" t="inlineStr">
        <is>
          <t>GYU-HWAN LEE</t>
        </is>
      </c>
      <c r="E81" s="9" t="inlineStr">
        <is>
          <t>Income</t>
        </is>
      </c>
      <c r="F81" s="9" t="inlineStr">
        <is>
          <t>Volunteer work</t>
        </is>
      </c>
      <c r="G81" s="9" t="inlineStr">
        <is>
          <t>Checking</t>
        </is>
      </c>
      <c r="H81" s="9" t="inlineStr">
        <is>
          <t>Venmo/Zelle/PayPal</t>
        </is>
      </c>
      <c r="I81" s="9" t="inlineStr">
        <is>
          <t>Income</t>
        </is>
      </c>
      <c r="J81" s="3">
        <v>30.00</v>
      </c>
      <c r="K81" s="9" t="inlineStr">
        <is>
          <t>9월 3주차; Chase Secure (...0119); Posted 2026-09-14; Balance shown: $8,590.07; Income for volunteer work</t>
        </is>
      </c>
    </row>
    <row r="82">
      <c r="A82" s="4" t="n">
        <v>46281</v>
      </c>
      <c r="B82" s="9">
        <f>IF(A82="","",INT(DAY(A82)/7)+1)</f>
        <v>3</v>
      </c>
      <c r="C82" s="9" t="inlineStr">
        <is>
          <t>TRADER JOE S #54 445 G NEW YORK NY 401072 09/16 (...0119)</t>
        </is>
      </c>
      <c r="D82" s="9" t="inlineStr">
        <is>
          <t>Trader Joe's</t>
        </is>
      </c>
      <c r="E82" s="9" t="inlineStr">
        <is>
          <t>Groceries</t>
        </is>
      </c>
      <c r="F82" s="9" t="inlineStr">
        <is>
          <t>Groceries</t>
        </is>
      </c>
      <c r="G82" s="9" t="inlineStr">
        <is>
          <t>Checking</t>
        </is>
      </c>
      <c r="H82" s="9" t="inlineStr">
        <is>
          <t>Debit Card</t>
        </is>
      </c>
      <c r="I82" s="9" t="inlineStr">
        <is>
          <t>Expense</t>
        </is>
      </c>
      <c r="J82" s="3" t="n">
        <v>42.36</v>
      </c>
      <c r="K82" s="9" t="inlineStr">
        <is>
          <t>9월 3주차; Chase Secure (...0119); Posted 2026-09-16; Balance shown: $8,302.71</t>
        </is>
      </c>
    </row>
    <row r="83">
      <c r="A83" s="4" t="n">
        <v>46281</v>
      </c>
      <c r="B83" s="9">
        <f>IF(A83="","",INT(DAY(A83)/7)+1)</f>
        <v>3</v>
      </c>
      <c r="C83" s="9" t="inlineStr">
        <is>
          <t>JACKPOT DEALS BROOKLYN NY 523449 09/16 (...0119)</t>
        </is>
      </c>
      <c r="D83" s="9" t="inlineStr">
        <is>
          <t>Jackpot Deals</t>
        </is>
      </c>
      <c r="E83" s="9" t="inlineStr">
        <is>
          <t>Shopping</t>
        </is>
      </c>
      <c r="F83" s="9" t="inlineStr">
        <is>
          <t>Retail</t>
        </is>
      </c>
      <c r="G83" s="9" t="inlineStr">
        <is>
          <t>Checking</t>
        </is>
      </c>
      <c r="H83" s="9" t="inlineStr">
        <is>
          <t>Debit Card</t>
        </is>
      </c>
      <c r="I83" s="9" t="inlineStr">
        <is>
          <t>Expense</t>
        </is>
      </c>
      <c r="J83" s="3" t="n">
        <v>5.43</v>
      </c>
      <c r="K83" s="9" t="inlineStr">
        <is>
          <t>9월 3주차; Chase Secure (...0119); Posted 2026-09-16; Balance shown: $8,345.07</t>
        </is>
      </c>
    </row>
    <row r="84">
      <c r="A84" s="4" t="n">
        <v>46281</v>
      </c>
      <c r="B84" s="9">
        <f>IF(A84="","",INT(DAY(A84)/7)+1)</f>
        <v>3</v>
      </c>
      <c r="C84" s="9" t="inlineStr">
        <is>
          <t>H MART NEW YORK NY 09/15 (...0119)</t>
        </is>
      </c>
      <c r="D84" s="9" t="inlineStr">
        <is>
          <t>H Mart</t>
        </is>
      </c>
      <c r="E84" s="9" t="inlineStr">
        <is>
          <t>Groceries</t>
        </is>
      </c>
      <c r="F84" s="9" t="inlineStr">
        <is>
          <t>Groceries</t>
        </is>
      </c>
      <c r="G84" s="9" t="inlineStr">
        <is>
          <t>Checking</t>
        </is>
      </c>
      <c r="H84" s="9" t="inlineStr">
        <is>
          <t>Debit Card</t>
        </is>
      </c>
      <c r="I84" s="9" t="inlineStr">
        <is>
          <t>Expense</t>
        </is>
      </c>
      <c r="J84" s="3" t="n">
        <v>12.95</v>
      </c>
      <c r="K84" s="9" t="inlineStr">
        <is>
          <t>9월 3주차; Chase Secure (...0119); Posted 2026-09-16; Balance shown: $8,350.50</t>
        </is>
      </c>
    </row>
    <row r="85">
      <c r="A85" s="4" t="n">
        <v>46281</v>
      </c>
      <c r="B85" s="9">
        <f>IF(A85="","",INT(DAY(A85)/7)+1)</f>
        <v>3</v>
      </c>
      <c r="C85" s="9" t="inlineStr">
        <is>
          <t>MTA*NYCT PAYGO NEW YORK NY 09/15 (...0119)</t>
        </is>
      </c>
      <c r="D85" s="9" t="inlineStr">
        <is>
          <t>MTA NYCT Paygo</t>
        </is>
      </c>
      <c r="E85" s="9" t="inlineStr">
        <is>
          <t>Transportation</t>
        </is>
      </c>
      <c r="F85" s="9" t="inlineStr">
        <is>
          <t>Public transit</t>
        </is>
      </c>
      <c r="G85" s="9" t="inlineStr">
        <is>
          <t>Checking</t>
        </is>
      </c>
      <c r="H85" s="9" t="inlineStr">
        <is>
          <t>Debit Card</t>
        </is>
      </c>
      <c r="I85" s="9" t="inlineStr">
        <is>
          <t>Expense</t>
        </is>
      </c>
      <c r="J85" s="3" t="n">
        <v>3.00</v>
      </c>
      <c r="K85" s="9" t="inlineStr">
        <is>
          <t>9월 3주차; Chase Secure (...0119); Posted 2026-09-16; Balance shown: $8,363.45</t>
        </is>
      </c>
    </row>
    <row r="86">
      <c r="A86" s="4" t="n">
        <v>46281</v>
      </c>
      <c r="B86" s="9">
        <f>IF(A86="","",INT(DAY(A86)/7)+1)</f>
        <v>3</v>
      </c>
      <c r="C86" s="9" t="inlineStr">
        <is>
          <t>TOPIA NEWS STAND BROOKLYN NY 09/15 (...0119)</t>
        </is>
      </c>
      <c r="D86" s="9" t="inlineStr">
        <is>
          <t>Topia News Stand</t>
        </is>
      </c>
      <c r="E86" s="9" t="inlineStr">
        <is>
          <t>Shopping</t>
        </is>
      </c>
      <c r="F86" s="9" t="inlineStr">
        <is>
          <t>Newsstand</t>
        </is>
      </c>
      <c r="G86" s="9" t="inlineStr">
        <is>
          <t>Checking</t>
        </is>
      </c>
      <c r="H86" s="9" t="inlineStr">
        <is>
          <t>Debit Card</t>
        </is>
      </c>
      <c r="I86" s="9" t="inlineStr">
        <is>
          <t>Expense</t>
        </is>
      </c>
      <c r="J86" s="3" t="n">
        <v>22.86</v>
      </c>
      <c r="K86" s="9" t="inlineStr">
        <is>
          <t>9월 3주차; Chase Secure (...0119); Posted 2026-09-16; Balance shown: $8,366.45; Category inferred from merchant</t>
        </is>
      </c>
    </row>
    <row r="87">
      <c r="A87" s="4" t="n">
        <v>46281</v>
      </c>
      <c r="B87" s="9">
        <f>IF(A87="","",INT(DAY(A87)/7)+1)</f>
        <v>3</v>
      </c>
      <c r="C87" s="9" t="inlineStr">
        <is>
          <t>FIVE GUYS NY 1258 QSR BROOKLYN NY 09/15 (...0119)</t>
        </is>
      </c>
      <c r="D87" s="9" t="inlineStr">
        <is>
          <t>Five Guys</t>
        </is>
      </c>
      <c r="E87" s="9" t="inlineStr">
        <is>
          <t>Dining</t>
        </is>
      </c>
      <c r="F87" s="9" t="inlineStr">
        <is>
          <t>Fast food</t>
        </is>
      </c>
      <c r="G87" s="9" t="inlineStr">
        <is>
          <t>Checking</t>
        </is>
      </c>
      <c r="H87" s="9" t="inlineStr">
        <is>
          <t>Debit Card</t>
        </is>
      </c>
      <c r="I87" s="9" t="inlineStr">
        <is>
          <t>Expense</t>
        </is>
      </c>
      <c r="J87" s="3" t="n">
        <v>15.18</v>
      </c>
      <c r="K87" s="9" t="inlineStr">
        <is>
          <t>9월 3주차; Chase Secure (...0119); Posted 2026-09-16; Balance shown: $8,389.31</t>
        </is>
      </c>
    </row>
    <row r="88">
      <c r="A88" s="4" t="n">
        <v>46281</v>
      </c>
      <c r="B88" s="9">
        <f>IF(A88="","",INT(DAY(A88)/7)+1)</f>
        <v>3</v>
      </c>
      <c r="C88" s="9" t="inlineStr">
        <is>
          <t>MTA*NYCT PAYGO NEW YORK NY 09/15 (...0119)</t>
        </is>
      </c>
      <c r="D88" s="9" t="inlineStr">
        <is>
          <t>MTA NYCT Paygo</t>
        </is>
      </c>
      <c r="E88" s="9" t="inlineStr">
        <is>
          <t>Transportation</t>
        </is>
      </c>
      <c r="F88" s="9" t="inlineStr">
        <is>
          <t>Public transit</t>
        </is>
      </c>
      <c r="G88" s="9" t="inlineStr">
        <is>
          <t>Checking</t>
        </is>
      </c>
      <c r="H88" s="9" t="inlineStr">
        <is>
          <t>Debit Card</t>
        </is>
      </c>
      <c r="I88" s="9" t="inlineStr">
        <is>
          <t>Expense</t>
        </is>
      </c>
      <c r="J88" s="3" t="n">
        <v>3.00</v>
      </c>
      <c r="K88" s="9" t="inlineStr">
        <is>
          <t>9월 3주차; Chase Secure (...0119); Posted 2026-09-16; Balance shown: $8,404.49</t>
        </is>
      </c>
    </row>
    <row r="89">
      <c r="A89" s="4">
        <v>46282</v>
      </c>
      <c r="B89" s="9">
        <f>IF(A89="","",INT(DAY(A89)/7)+1)</f>
        <v>3</v>
      </c>
      <c r="C89" s="9" t="inlineStr">
        <is>
          <t>MTA*NYCT PAYGO NEW YORK NY 09/16 (...0119)</t>
        </is>
      </c>
      <c r="D89" s="9" t="inlineStr">
        <is>
          <t>MTA NYCT Paygo</t>
        </is>
      </c>
      <c r="E89" s="9" t="inlineStr">
        <is>
          <t>Transportation</t>
        </is>
      </c>
      <c r="F89" s="9" t="inlineStr">
        <is>
          <t>Public transit</t>
        </is>
      </c>
      <c r="G89" s="9" t="inlineStr">
        <is>
          <t>Checking</t>
        </is>
      </c>
      <c r="H89" s="9" t="inlineStr">
        <is>
          <t>Debit Card</t>
        </is>
      </c>
      <c r="I89" s="9" t="inlineStr">
        <is>
          <t>Expense</t>
        </is>
      </c>
      <c r="J89" s="3">
        <v>3.00</v>
      </c>
      <c r="K89" s="9" t="inlineStr">
        <is>
          <t>9월 3주차; Chase Secure (...0119); Posted 2026-09-17; Balance shown: $8,296.71</t>
        </is>
      </c>
    </row>
    <row r="90">
      <c r="A90" s="4">
        <v>46282</v>
      </c>
      <c r="B90" s="9">
        <f>IF(A90="","",INT(DAY(A90)/7)+1)</f>
        <v>3</v>
      </c>
      <c r="C90" s="9" t="inlineStr">
        <is>
          <t>MTA*NYCT PAYGO NEW YORK NY 09/16 (...0119)</t>
        </is>
      </c>
      <c r="D90" s="9" t="inlineStr">
        <is>
          <t>MTA NYCT Paygo</t>
        </is>
      </c>
      <c r="E90" s="9" t="inlineStr">
        <is>
          <t>Transportation</t>
        </is>
      </c>
      <c r="F90" s="9" t="inlineStr">
        <is>
          <t>Public transit</t>
        </is>
      </c>
      <c r="G90" s="9" t="inlineStr">
        <is>
          <t>Checking</t>
        </is>
      </c>
      <c r="H90" s="9" t="inlineStr">
        <is>
          <t>Debit Card</t>
        </is>
      </c>
      <c r="I90" s="9" t="inlineStr">
        <is>
          <t>Expense</t>
        </is>
      </c>
      <c r="J90" s="3">
        <v>3.00</v>
      </c>
      <c r="K90" s="9" t="inlineStr">
        <is>
          <t>9월 3주차; Chase Secure (...0119); Posted 2026-09-17; Balance shown: $8,299.71</t>
        </is>
      </c>
    </row>
    <row r="91">
      <c r="A91" s="4">
        <v>46283</v>
      </c>
      <c r="B91" s="9">
        <f>IF(A91="","",INT(DAY(A91)/7)+1)</f>
        <v>3</v>
      </c>
      <c r="C91" s="9" t="inlineStr">
        <is>
          <t>MTA*NYCT PAYGO NEW YORK NY 09/17 (...0119)</t>
        </is>
      </c>
      <c r="D91" s="9" t="inlineStr">
        <is>
          <t>MTA NYCT Paygo</t>
        </is>
      </c>
      <c r="E91" s="9" t="inlineStr">
        <is>
          <t>Transportation</t>
        </is>
      </c>
      <c r="F91" s="9" t="inlineStr">
        <is>
          <t>Public transit</t>
        </is>
      </c>
      <c r="G91" s="9" t="inlineStr">
        <is>
          <t>Checking</t>
        </is>
      </c>
      <c r="H91" s="9" t="inlineStr">
        <is>
          <t>Debit Card</t>
        </is>
      </c>
      <c r="I91" s="9" t="inlineStr">
        <is>
          <t>Expense</t>
        </is>
      </c>
      <c r="J91" s="3">
        <v>3.00</v>
      </c>
      <c r="K91" s="9" t="inlineStr">
        <is>
          <t>9월 3주차; Chase Secure (...0119); Posted 2026-09-18; Balance shown: $8,284.50</t>
        </is>
      </c>
    </row>
    <row r="92">
      <c r="A92" s="4">
        <v>46283</v>
      </c>
      <c r="B92" s="9">
        <f>IF(A92="","",INT(DAY(A92)/7)+1)</f>
        <v>3</v>
      </c>
      <c r="C92" s="9" t="inlineStr">
        <is>
          <t>MTA*NYCT PAYGO NEW YORK NY 09/17 (...0119)</t>
        </is>
      </c>
      <c r="D92" s="9" t="inlineStr">
        <is>
          <t>MTA NYCT Paygo</t>
        </is>
      </c>
      <c r="E92" s="9" t="inlineStr">
        <is>
          <t>Transportation</t>
        </is>
      </c>
      <c r="F92" s="9" t="inlineStr">
        <is>
          <t>Public transit</t>
        </is>
      </c>
      <c r="G92" s="9" t="inlineStr">
        <is>
          <t>Checking</t>
        </is>
      </c>
      <c r="H92" s="9" t="inlineStr">
        <is>
          <t>Debit Card</t>
        </is>
      </c>
      <c r="I92" s="9" t="inlineStr">
        <is>
          <t>Expense</t>
        </is>
      </c>
      <c r="J92" s="3">
        <v>3.00</v>
      </c>
      <c r="K92" s="9" t="inlineStr">
        <is>
          <t>9월 3주차; Chase Secure (...0119); Posted 2026-09-18; Balance shown: $8,287.50</t>
        </is>
      </c>
    </row>
    <row r="93">
      <c r="A93" s="4">
        <v>46283</v>
      </c>
      <c r="B93" s="9">
        <f>IF(A93="","",INT(DAY(A93)/7)+1)</f>
        <v>3</v>
      </c>
      <c r="C93" s="9" t="inlineStr">
        <is>
          <t>99 CENT SUPREME PIZZA BROOKLYN NY 09/16 (...0119)</t>
        </is>
      </c>
      <c r="D93" s="9" t="inlineStr">
        <is>
          <t>99 Cent Supreme Pizza</t>
        </is>
      </c>
      <c r="E93" s="9" t="inlineStr">
        <is>
          <t>Dining</t>
        </is>
      </c>
      <c r="F93" s="9" t="inlineStr">
        <is>
          <t>Restaurant/Pizza</t>
        </is>
      </c>
      <c r="G93" s="9" t="inlineStr">
        <is>
          <t>Checking</t>
        </is>
      </c>
      <c r="H93" s="9" t="inlineStr">
        <is>
          <t>Debit Card</t>
        </is>
      </c>
      <c r="I93" s="9" t="inlineStr">
        <is>
          <t>Expense</t>
        </is>
      </c>
      <c r="J93" s="3">
        <v>6.21</v>
      </c>
      <c r="K93" s="9" t="inlineStr">
        <is>
          <t>9월 3주차; Chase Secure (...0119); Posted 2026-09-18; Balance shown: $8,290.50</t>
        </is>
      </c>
    </row>
    <row r="94">
      <c r="A94" s="4">
        <v>46286</v>
      </c>
      <c r="B94" s="9">
        <f>IF(A94="","",INT(DAY(A94)/7)+1)</f>
        <v>4</v>
      </c>
      <c r="C94" s="9" t="inlineStr">
        <is>
          <t>Zelle payment to chefp095 30897691612</t>
        </is>
      </c>
      <c r="D94" s="9" t="inlineStr">
        <is>
          <t>chefp095</t>
        </is>
      </c>
      <c r="E94" s="9" t="inlineStr">
        <is>
          <t>Dining</t>
        </is>
      </c>
      <c r="F94" s="9" t="inlineStr">
        <is>
          <t>Alcohol settlement</t>
        </is>
      </c>
      <c r="G94" s="9" t="inlineStr">
        <is>
          <t>Checking</t>
        </is>
      </c>
      <c r="H94" s="9" t="inlineStr">
        <is>
          <t>Venmo/Zelle/PayPal</t>
        </is>
      </c>
      <c r="I94" s="9" t="inlineStr">
        <is>
          <t>Expense</t>
        </is>
      </c>
      <c r="J94" s="3">
        <v>18.68</v>
      </c>
      <c r="K94" s="9" t="inlineStr">
        <is>
          <t>9월 4주차; Chase Secure (...0119); Posted 2026-09-21; Balance shown: $8,039.59; 술값 정산; Alcohol expense</t>
        </is>
      </c>
    </row>
    <row r="95">
      <c r="A95" s="4">
        <v>46286</v>
      </c>
      <c r="B95" s="9">
        <f>IF(A95="","",INT(DAY(A95)/7)+1)</f>
        <v>4</v>
      </c>
      <c r="C95" s="9" t="inlineStr">
        <is>
          <t>KENKA RESTAURANT 212-2546363 NY 09/20 (...0119)</t>
        </is>
      </c>
      <c r="D95" s="9" t="inlineStr">
        <is>
          <t>KENKA RESTAURANT 212-2546363 NY 09/20 (...0119)</t>
        </is>
      </c>
      <c r="E95" s="9" t="inlineStr">
        <is>
          <t>Dining</t>
        </is>
      </c>
      <c r="F95" s="9" t="inlineStr">
        <is>
          <t>Restaurant</t>
        </is>
      </c>
      <c r="G95" s="9" t="inlineStr">
        <is>
          <t>Checking</t>
        </is>
      </c>
      <c r="H95" s="9" t="inlineStr">
        <is>
          <t>Debit Card</t>
        </is>
      </c>
      <c r="I95" s="9" t="inlineStr">
        <is>
          <t>Expense</t>
        </is>
      </c>
      <c r="J95" s="3">
        <v>50.00</v>
      </c>
      <c r="K95" s="9" t="inlineStr">
        <is>
          <t>9월 4주차; Chase Secure (...0119); Posted 2026-09-21; Balance shown: $8,058.27</t>
        </is>
      </c>
    </row>
    <row r="96">
      <c r="A96" s="4">
        <v>46286</v>
      </c>
      <c r="B96" s="9">
        <f>IF(A96="","",INT(DAY(A96)/7)+1)</f>
        <v>4</v>
      </c>
      <c r="C96" s="9" t="inlineStr">
        <is>
          <t>Zelle payment to ROCKWON SEO JPM99cx86i2u</t>
        </is>
      </c>
      <c r="D96" s="9" t="inlineStr">
        <is>
          <t>ROCKWON SEO</t>
        </is>
      </c>
      <c r="E96" s="9" t="inlineStr">
        <is>
          <t>Dining</t>
        </is>
      </c>
      <c r="F96" s="9" t="inlineStr">
        <is>
          <t>Alcohol settlement</t>
        </is>
      </c>
      <c r="G96" s="9" t="inlineStr">
        <is>
          <t>Checking</t>
        </is>
      </c>
      <c r="H96" s="9" t="inlineStr">
        <is>
          <t>Venmo/Zelle/PayPal</t>
        </is>
      </c>
      <c r="I96" s="9" t="inlineStr">
        <is>
          <t>Expense</t>
        </is>
      </c>
      <c r="J96" s="3">
        <v>23.22</v>
      </c>
      <c r="K96" s="9" t="inlineStr">
        <is>
          <t>9월 4주차; Chase Secure (...0119); Posted 2026-09-21; Balance shown: $8,108.27; 술값 정산; Alcohol expense</t>
        </is>
      </c>
    </row>
    <row r="97">
      <c r="A97" s="4">
        <v>46286</v>
      </c>
      <c r="B97" s="9">
        <f>IF(A97="","",INT(DAY(A97)/7)+1)</f>
        <v>4</v>
      </c>
      <c r="C97" s="9" t="inlineStr">
        <is>
          <t>Zelle payment to JI HOON PARK JPM99cx86a98</t>
        </is>
      </c>
      <c r="D97" s="9" t="inlineStr">
        <is>
          <t>JI HOON PARK</t>
        </is>
      </c>
      <c r="E97" s="9" t="inlineStr">
        <is>
          <t>Dining</t>
        </is>
      </c>
      <c r="F97" s="9" t="inlineStr">
        <is>
          <t>Alcohol settlement</t>
        </is>
      </c>
      <c r="G97" s="9" t="inlineStr">
        <is>
          <t>Checking</t>
        </is>
      </c>
      <c r="H97" s="9" t="inlineStr">
        <is>
          <t>Venmo/Zelle/PayPal</t>
        </is>
      </c>
      <c r="I97" s="9" t="inlineStr">
        <is>
          <t>Expense</t>
        </is>
      </c>
      <c r="J97" s="3">
        <v>4.46</v>
      </c>
      <c r="K97" s="9" t="inlineStr">
        <is>
          <t>9월 4주차; Chase Secure (...0119); Posted 2026-09-21; Balance shown: $8,131.49; 술값 정산; Alcohol expense</t>
        </is>
      </c>
    </row>
    <row r="98">
      <c r="A98" s="4">
        <v>46286</v>
      </c>
      <c r="B98" s="9">
        <f>IF(A98="","",INT(DAY(A98)/7)+1)</f>
        <v>4</v>
      </c>
      <c r="C98" s="9" t="inlineStr">
        <is>
          <t>ON THE RUN FOOD TRUCK NORTH BERGEN NJ 09/20 (...0119)</t>
        </is>
      </c>
      <c r="D98" s="9" t="inlineStr">
        <is>
          <t>ON THE RUN FOOD TRUCK NORTH BERGEN NJ 09/20 (...0119)</t>
        </is>
      </c>
      <c r="E98" s="9" t="inlineStr">
        <is>
          <t>Dining</t>
        </is>
      </c>
      <c r="F98" s="9" t="inlineStr">
        <is>
          <t>Restaurant</t>
        </is>
      </c>
      <c r="G98" s="9" t="inlineStr">
        <is>
          <t>Checking</t>
        </is>
      </c>
      <c r="H98" s="9" t="inlineStr">
        <is>
          <t>Debit Card</t>
        </is>
      </c>
      <c r="I98" s="9" t="inlineStr">
        <is>
          <t>Expense</t>
        </is>
      </c>
      <c r="J98" s="3">
        <v>3.27</v>
      </c>
      <c r="K98" s="9" t="inlineStr">
        <is>
          <t>9월 4주차; Chase Secure (...0119); Posted 2026-09-21; Balance shown: $8,135.95</t>
        </is>
      </c>
    </row>
    <row r="99">
      <c r="A99" s="4">
        <v>46286</v>
      </c>
      <c r="B99" s="9">
        <f>IF(A99="","",INT(DAY(A99)/7)+1)</f>
        <v>4</v>
      </c>
      <c r="C99" s="9" t="inlineStr">
        <is>
          <t>TST* 7TH STREET BURGER NEW YORK NY 09/21 (...0119)</t>
        </is>
      </c>
      <c r="D99" s="9" t="inlineStr">
        <is>
          <t>TST* 7TH STREET BURGER</t>
        </is>
      </c>
      <c r="E99" s="9" t="inlineStr">
        <is>
          <t>Dining</t>
        </is>
      </c>
      <c r="F99" s="9" t="inlineStr">
        <is>
          <t>Restaurant</t>
        </is>
      </c>
      <c r="G99" s="9" t="inlineStr">
        <is>
          <t>Checking</t>
        </is>
      </c>
      <c r="H99" s="9" t="inlineStr">
        <is>
          <t>Debit Card</t>
        </is>
      </c>
      <c r="I99" s="9" t="inlineStr">
        <is>
          <t>Expense</t>
        </is>
      </c>
      <c r="J99" s="3">
        <v>28.86</v>
      </c>
      <c r="K99" s="9" t="inlineStr">
        <is>
          <t>9월 4주차; Chase Secure (...0119); Posted 2026-09-21; Balance shown: $8,139.22</t>
        </is>
      </c>
    </row>
    <row r="100">
      <c r="A100" s="4">
        <v>46286</v>
      </c>
      <c r="B100" s="9">
        <f>IF(A100="","",INT(DAY(A100)/7)+1)</f>
        <v>4</v>
      </c>
      <c r="C100" s="9" t="inlineStr">
        <is>
          <t>MTA*NYCT PAYGO NEW YORK NY 09/20 (...0119)</t>
        </is>
      </c>
      <c r="D100" s="9" t="inlineStr">
        <is>
          <t>MTA NYCT Paygo</t>
        </is>
      </c>
      <c r="E100" s="9" t="inlineStr">
        <is>
          <t>Transportation</t>
        </is>
      </c>
      <c r="F100" s="9" t="inlineStr">
        <is>
          <t>Public transit</t>
        </is>
      </c>
      <c r="G100" s="9" t="inlineStr">
        <is>
          <t>Checking</t>
        </is>
      </c>
      <c r="H100" s="9" t="inlineStr">
        <is>
          <t>Debit Card</t>
        </is>
      </c>
      <c r="I100" s="9" t="inlineStr">
        <is>
          <t>Expense</t>
        </is>
      </c>
      <c r="J100" s="3">
        <v>2.00</v>
      </c>
      <c r="K100" s="9" t="inlineStr">
        <is>
          <t>9월 4주차; Chase Secure (...0119); Posted 2026-09-21; Balance shown: $8,168.08</t>
        </is>
      </c>
    </row>
    <row r="101">
      <c r="A101" s="4">
        <v>46286</v>
      </c>
      <c r="B101" s="9">
        <f>IF(A101="","",INT(DAY(A101)/7)+1)</f>
        <v>4</v>
      </c>
      <c r="C101" s="9" t="inlineStr">
        <is>
          <t>MTA*NYCT PAYGO NEW YORK NY 09/19 (...0119)</t>
        </is>
      </c>
      <c r="D101" s="9" t="inlineStr">
        <is>
          <t>MTA NYCT Paygo</t>
        </is>
      </c>
      <c r="E101" s="9" t="inlineStr">
        <is>
          <t>Transportation</t>
        </is>
      </c>
      <c r="F101" s="9" t="inlineStr">
        <is>
          <t>Public transit</t>
        </is>
      </c>
      <c r="G101" s="9" t="inlineStr">
        <is>
          <t>Checking</t>
        </is>
      </c>
      <c r="H101" s="9" t="inlineStr">
        <is>
          <t>Debit Card</t>
        </is>
      </c>
      <c r="I101" s="9" t="inlineStr">
        <is>
          <t>Expense</t>
        </is>
      </c>
      <c r="J101" s="3">
        <v>3.00</v>
      </c>
      <c r="K101" s="9" t="inlineStr">
        <is>
          <t>9월 4주차; Chase Secure (...0119); Posted 2026-09-21; Balance shown: $8,170.08</t>
        </is>
      </c>
    </row>
    <row r="102">
      <c r="A102" s="4">
        <v>46286</v>
      </c>
      <c r="B102" s="9">
        <f>IF(A102="","",INT(DAY(A102)/7)+1)</f>
        <v>4</v>
      </c>
      <c r="C102" s="9" t="inlineStr">
        <is>
          <t>MTA*NYCT PAYGO NEW YORK NY 09/19 (...0119)</t>
        </is>
      </c>
      <c r="D102" s="9" t="inlineStr">
        <is>
          <t>MTA NYCT Paygo</t>
        </is>
      </c>
      <c r="E102" s="9" t="inlineStr">
        <is>
          <t>Transportation</t>
        </is>
      </c>
      <c r="F102" s="9" t="inlineStr">
        <is>
          <t>Public transit</t>
        </is>
      </c>
      <c r="G102" s="9" t="inlineStr">
        <is>
          <t>Checking</t>
        </is>
      </c>
      <c r="H102" s="9" t="inlineStr">
        <is>
          <t>Debit Card</t>
        </is>
      </c>
      <c r="I102" s="9" t="inlineStr">
        <is>
          <t>Expense</t>
        </is>
      </c>
      <c r="J102" s="3">
        <v>3.00</v>
      </c>
      <c r="K102" s="9" t="inlineStr">
        <is>
          <t>9월 4주차; Chase Secure (...0119); Posted 2026-09-21; Balance shown: $8,173.08</t>
        </is>
      </c>
    </row>
    <row r="103">
      <c r="A103" s="4">
        <v>46286</v>
      </c>
      <c r="B103" s="9">
        <f>IF(A103="","",INT(DAY(A103)/7)+1)</f>
        <v>4</v>
      </c>
      <c r="C103" s="9" t="inlineStr">
        <is>
          <t>CUTE GIFTS &amp; CONVENIENC NEW YORK NY 09/19 (...0119)</t>
        </is>
      </c>
      <c r="D103" s="9" t="inlineStr">
        <is>
          <t>CUTE GIFTS &amp; CONVENIENC</t>
        </is>
      </c>
      <c r="E103" s="9" t="inlineStr">
        <is>
          <t>Shopping</t>
        </is>
      </c>
      <c r="F103" s="9" t="inlineStr">
        <is>
          <t>Convenience store</t>
        </is>
      </c>
      <c r="G103" s="9" t="inlineStr">
        <is>
          <t>Checking</t>
        </is>
      </c>
      <c r="H103" s="9" t="inlineStr">
        <is>
          <t>Debit Card</t>
        </is>
      </c>
      <c r="I103" s="9" t="inlineStr">
        <is>
          <t>Expense</t>
        </is>
      </c>
      <c r="J103" s="3">
        <v>5.20</v>
      </c>
      <c r="K103" s="9" t="inlineStr">
        <is>
          <t>9월 4주차; Chase Secure (...0119); Posted 2026-09-21; Balance shown: $8,176.08; Category inferred from merchant</t>
        </is>
      </c>
    </row>
    <row r="104">
      <c r="A104" s="4">
        <v>46286</v>
      </c>
      <c r="B104" s="9">
        <f>IF(A104="","",INT(DAY(A104)/7)+1)</f>
        <v>4</v>
      </c>
      <c r="C104" s="9" t="inlineStr">
        <is>
          <t>MTA*NYCT PAYGO NEW YORK NY 09/19 (...0119)</t>
        </is>
      </c>
      <c r="D104" s="9" t="inlineStr">
        <is>
          <t>MTA NYCT Paygo</t>
        </is>
      </c>
      <c r="E104" s="9" t="inlineStr">
        <is>
          <t>Transportation</t>
        </is>
      </c>
      <c r="F104" s="9" t="inlineStr">
        <is>
          <t>Public transit</t>
        </is>
      </c>
      <c r="G104" s="9" t="inlineStr">
        <is>
          <t>Checking</t>
        </is>
      </c>
      <c r="H104" s="9" t="inlineStr">
        <is>
          <t>Debit Card</t>
        </is>
      </c>
      <c r="I104" s="9" t="inlineStr">
        <is>
          <t>Expense</t>
        </is>
      </c>
      <c r="J104" s="3">
        <v>3.00</v>
      </c>
      <c r="K104" s="9" t="inlineStr">
        <is>
          <t>9월 4주차; Chase Secure (...0119); Posted 2026-09-21; Balance shown: $8,181.28</t>
        </is>
      </c>
    </row>
    <row r="105">
      <c r="A105" s="4">
        <v>46286</v>
      </c>
      <c r="B105" s="9">
        <f>IF(A105="","",INT(DAY(A105)/7)+1)</f>
        <v>4</v>
      </c>
      <c r="C105" s="9" t="inlineStr">
        <is>
          <t>KODACHAYA 1ST FLOOR 131-27305592 NY 09/19 (...0119)</t>
        </is>
      </c>
      <c r="D105" s="9" t="inlineStr">
        <is>
          <t>KODACHAYA 1ST FLOOR 131-27305592 NY 09/19 (...0119)</t>
        </is>
      </c>
      <c r="E105" s="9" t="inlineStr">
        <is>
          <t>Dining</t>
        </is>
      </c>
      <c r="F105" s="9" t="inlineStr">
        <is>
          <t>Restaurant</t>
        </is>
      </c>
      <c r="G105" s="9" t="inlineStr">
        <is>
          <t>Checking</t>
        </is>
      </c>
      <c r="H105" s="9" t="inlineStr">
        <is>
          <t>Debit Card</t>
        </is>
      </c>
      <c r="I105" s="9" t="inlineStr">
        <is>
          <t>Expense</t>
        </is>
      </c>
      <c r="J105" s="3">
        <v>42.47</v>
      </c>
      <c r="K105" s="9" t="inlineStr">
        <is>
          <t>9월 4주차; Chase Secure (...0119); Posted 2026-09-21; Balance shown: $8,184.28</t>
        </is>
      </c>
    </row>
    <row r="106">
      <c r="A106" s="4">
        <v>46286</v>
      </c>
      <c r="B106" s="9">
        <f>IF(A106="","",INT(DAY(A106)/7)+1)</f>
        <v>4</v>
      </c>
      <c r="C106" s="9" t="inlineStr">
        <is>
          <t>KODACHAYA 1ST FLOOR POS.CHOWBUS.C NY 09/19 (...0119)</t>
        </is>
      </c>
      <c r="D106" s="9" t="inlineStr">
        <is>
          <t>KODACHAYA 1ST FLOOR POS.CHOWBUS.C NY 09/19 (...0119)</t>
        </is>
      </c>
      <c r="E106" s="9" t="inlineStr">
        <is>
          <t>Dining</t>
        </is>
      </c>
      <c r="F106" s="9" t="inlineStr">
        <is>
          <t>Restaurant</t>
        </is>
      </c>
      <c r="G106" s="9" t="inlineStr">
        <is>
          <t>Checking</t>
        </is>
      </c>
      <c r="H106" s="9" t="inlineStr">
        <is>
          <t>Debit Card</t>
        </is>
      </c>
      <c r="I106" s="9" t="inlineStr">
        <is>
          <t>Expense</t>
        </is>
      </c>
      <c r="J106" s="3">
        <v>26.20</v>
      </c>
      <c r="K106" s="9" t="inlineStr">
        <is>
          <t>9월 4주차; Chase Secure (...0119); Posted 2026-09-21; Balance shown: $8,226.75</t>
        </is>
      </c>
    </row>
    <row r="107">
      <c r="A107" s="4">
        <v>46286</v>
      </c>
      <c r="B107" s="9">
        <f>IF(A107="","",INT(DAY(A107)/7)+1)</f>
        <v>4</v>
      </c>
      <c r="C107" s="9" t="inlineStr">
        <is>
          <t>MTA*NYCT PAYGO NEW YORK NY 09/18 (...0119)</t>
        </is>
      </c>
      <c r="D107" s="9" t="inlineStr">
        <is>
          <t>MTA NYCT Paygo</t>
        </is>
      </c>
      <c r="E107" s="9" t="inlineStr">
        <is>
          <t>Transportation</t>
        </is>
      </c>
      <c r="F107" s="9" t="inlineStr">
        <is>
          <t>Public transit</t>
        </is>
      </c>
      <c r="G107" s="9" t="inlineStr">
        <is>
          <t>Checking</t>
        </is>
      </c>
      <c r="H107" s="9" t="inlineStr">
        <is>
          <t>Debit Card</t>
        </is>
      </c>
      <c r="I107" s="9" t="inlineStr">
        <is>
          <t>Expense</t>
        </is>
      </c>
      <c r="J107" s="3">
        <v>3.00</v>
      </c>
      <c r="K107" s="9" t="inlineStr">
        <is>
          <t>9월 4주차; Chase Secure (...0119); Posted 2026-09-21; Balance shown: $8,252.95</t>
        </is>
      </c>
    </row>
    <row r="108">
      <c r="A108" s="4">
        <v>46286</v>
      </c>
      <c r="B108" s="9">
        <f>IF(A108="","",INT(DAY(A108)/7)+1)</f>
        <v>4</v>
      </c>
      <c r="C108" s="9" t="inlineStr">
        <is>
          <t>TOPIA NEWS STAND BROOKLYN NY 09/18 (...0119)</t>
        </is>
      </c>
      <c r="D108" s="9" t="inlineStr">
        <is>
          <t>Topia News Stand</t>
        </is>
      </c>
      <c r="E108" s="9" t="inlineStr">
        <is>
          <t>Shopping</t>
        </is>
      </c>
      <c r="F108" s="9" t="inlineStr">
        <is>
          <t>Newsstand</t>
        </is>
      </c>
      <c r="G108" s="9" t="inlineStr">
        <is>
          <t>Checking</t>
        </is>
      </c>
      <c r="H108" s="9" t="inlineStr">
        <is>
          <t>Debit Card</t>
        </is>
      </c>
      <c r="I108" s="9" t="inlineStr">
        <is>
          <t>Expense</t>
        </is>
      </c>
      <c r="J108" s="3">
        <v>30.49</v>
      </c>
      <c r="K108" s="9" t="inlineStr">
        <is>
          <t>9월 4주차; Chase Secure (...0119); Posted 2026-09-21; Balance shown: $8,255.95; Category inferred from merchant</t>
        </is>
      </c>
    </row>
    <row r="109">
      <c r="A109" s="4">
        <v>46286</v>
      </c>
      <c r="B109" s="9">
        <f>IF(A109="","",INT(DAY(A109)/7)+1)</f>
        <v>4</v>
      </c>
      <c r="C109" s="9" t="inlineStr">
        <is>
          <t>99 CENT SUPREME PIZZA BROOKLYN NY 09/18 (...0119)</t>
        </is>
      </c>
      <c r="D109" s="9" t="inlineStr">
        <is>
          <t>99 Cent Supreme Pizza</t>
        </is>
      </c>
      <c r="E109" s="9" t="inlineStr">
        <is>
          <t>Dining</t>
        </is>
      </c>
      <c r="F109" s="9" t="inlineStr">
        <is>
          <t>Restaurant/Pizza</t>
        </is>
      </c>
      <c r="G109" s="9" t="inlineStr">
        <is>
          <t>Checking</t>
        </is>
      </c>
      <c r="H109" s="9" t="inlineStr">
        <is>
          <t>Debit Card</t>
        </is>
      </c>
      <c r="I109" s="9" t="inlineStr">
        <is>
          <t>Expense</t>
        </is>
      </c>
      <c r="J109" s="3">
        <v>3.67</v>
      </c>
      <c r="K109" s="9" t="inlineStr">
        <is>
          <t>9월 4주차; Chase Secure (...0119); Posted 2026-09-21; Balance shown: $8,286.44</t>
        </is>
      </c>
    </row>
    <row r="110">
      <c r="A110" s="4">
        <v>46286</v>
      </c>
      <c r="B110" s="9">
        <f>IF(A110="","",INT(DAY(A110)/7)+1)</f>
        <v>4</v>
      </c>
      <c r="C110" s="9" t="inlineStr">
        <is>
          <t>MTA*NYCT PAYGO NEW YORK NY 09/18 (...0119)</t>
        </is>
      </c>
      <c r="D110" s="9" t="inlineStr">
        <is>
          <t>MTA NYCT Paygo</t>
        </is>
      </c>
      <c r="E110" s="9" t="inlineStr">
        <is>
          <t>Transportation</t>
        </is>
      </c>
      <c r="F110" s="9" t="inlineStr">
        <is>
          <t>Public transit</t>
        </is>
      </c>
      <c r="G110" s="9" t="inlineStr">
        <is>
          <t>Checking</t>
        </is>
      </c>
      <c r="H110" s="9" t="inlineStr">
        <is>
          <t>Debit Card</t>
        </is>
      </c>
      <c r="I110" s="9" t="inlineStr">
        <is>
          <t>Expense</t>
        </is>
      </c>
      <c r="J110" s="3">
        <v>3.00</v>
      </c>
      <c r="K110" s="9" t="inlineStr">
        <is>
          <t>9월 4주차; Chase Secure (...0119); Posted 2026-09-21; Balance shown: $8,290.11</t>
        </is>
      </c>
    </row>
    <row r="111">
      <c r="A111" s="4">
        <v>46286</v>
      </c>
      <c r="B111" s="9">
        <f>IF(A111="","",INT(DAY(A111)/7)+1)</f>
        <v>4</v>
      </c>
      <c r="C111" s="9" t="inlineStr">
        <is>
          <t>KAMSA KAMSAUS.ORG NY 09/18 (...0119)</t>
        </is>
      </c>
      <c r="D111" s="9" t="inlineStr">
        <is>
          <t>KAMSA</t>
        </is>
      </c>
      <c r="E111" s="9" t="inlineStr">
        <is>
          <t>Entertainment</t>
        </is>
      </c>
      <c r="F111" s="9" t="inlineStr">
        <is>
          <t>Social event</t>
        </is>
      </c>
      <c r="G111" s="9" t="inlineStr">
        <is>
          <t>Checking</t>
        </is>
      </c>
      <c r="H111" s="9" t="inlineStr">
        <is>
          <t>Debit Card</t>
        </is>
      </c>
      <c r="I111" s="9" t="inlineStr">
        <is>
          <t>Expense</t>
        </is>
      </c>
      <c r="J111" s="3">
        <v>10.00</v>
      </c>
      <c r="K111" s="9" t="inlineStr">
        <is>
          <t>9월 4주차; Chase Secure (...0119); Posted 2026-09-21; Balance shown: $8,293.11; Social event attendance (user confirmed)</t>
        </is>
      </c>
    </row>
    <row r="112">
      <c r="A112" s="4">
        <v>46286</v>
      </c>
      <c r="B112" s="9">
        <f>IF(A112="","",INT(DAY(A112)/7)+1)</f>
        <v>4</v>
      </c>
      <c r="C112" s="9" t="inlineStr">
        <is>
          <t>99 CENT SUPREME PIZZA BROOKLYN NY 09/17 (...0119)</t>
        </is>
      </c>
      <c r="D112" s="9" t="inlineStr">
        <is>
          <t>99 Cent Supreme Pizza</t>
        </is>
      </c>
      <c r="E112" s="9" t="inlineStr">
        <is>
          <t>Dining</t>
        </is>
      </c>
      <c r="F112" s="9" t="inlineStr">
        <is>
          <t>Restaurant/Pizza</t>
        </is>
      </c>
      <c r="G112" s="9" t="inlineStr">
        <is>
          <t>Checking</t>
        </is>
      </c>
      <c r="H112" s="9" t="inlineStr">
        <is>
          <t>Debit Card</t>
        </is>
      </c>
      <c r="I112" s="9" t="inlineStr">
        <is>
          <t>Expense</t>
        </is>
      </c>
      <c r="J112" s="3">
        <v>3.39</v>
      </c>
      <c r="K112" s="9" t="inlineStr">
        <is>
          <t>9월 4주차; Chase Secure (...0119); Posted 2026-09-21; Balance shown: $8,303.11</t>
        </is>
      </c>
    </row>
    <row r="113">
      <c r="A113" s="4">
        <v>46286</v>
      </c>
      <c r="B113" s="9">
        <f>IF(A113="","",INT(DAY(A113)/7)+1)</f>
        <v>4</v>
      </c>
      <c r="C113" s="9" t="inlineStr">
        <is>
          <t>Zelle payment from EUN YEOB YEO 30882320902</t>
        </is>
      </c>
      <c r="D113" s="9" t="inlineStr">
        <is>
          <t>EUN YEOB YEO</t>
        </is>
      </c>
      <c r="E113" s="9" t="inlineStr">
        <is>
          <t>Dining</t>
        </is>
      </c>
      <c r="F113" s="9" t="inlineStr">
        <is>
          <t>Alcohol settlement</t>
        </is>
      </c>
      <c r="G113" s="9" t="inlineStr">
        <is>
          <t>Checking</t>
        </is>
      </c>
      <c r="H113" s="9" t="inlineStr">
        <is>
          <t>Venmo/Zelle/PayPal</t>
        </is>
      </c>
      <c r="I113" s="9" t="inlineStr">
        <is>
          <t>Expense</t>
        </is>
      </c>
      <c r="J113" s="3">
        <v>-22.00</v>
      </c>
      <c r="K113" s="9" t="inlineStr">
        <is>
          <t>9월 4주차; Chase Secure (...0119); Posted 2026-09-21; Balance shown: $8,306.50; 술값 정산; Reimbursement reduces alcohol expenses; not income</t>
        </is>
      </c>
    </row>
    <row r="114">
      <c r="A114" s="4" t="n">
        <v>46287</v>
      </c>
      <c r="B114" s="9">
        <f>IF(A114="","",INT(DAY(A114)/7)+1)</f>
        <v>4</v>
      </c>
      <c r="C114" s="9" t="inlineStr">
        <is>
          <t>SQ *ADAM79ST NEW YORK NY 09/21 (...0119)</t>
        </is>
      </c>
      <c r="D114" s="9" t="inlineStr">
        <is>
          <t>ADAM79ST</t>
        </is>
      </c>
      <c r="E114" s="9" t="inlineStr">
        <is>
          <t>Dining</t>
        </is>
      </c>
      <c r="F114" s="9" t="inlineStr">
        <is>
          <t>Unspecified</t>
        </is>
      </c>
      <c r="G114" s="9" t="inlineStr">
        <is>
          <t>Checking</t>
        </is>
      </c>
      <c r="H114" s="9" t="inlineStr">
        <is>
          <t>Debit Card</t>
        </is>
      </c>
      <c r="I114" s="9" t="inlineStr">
        <is>
          <t>Expense</t>
        </is>
      </c>
      <c r="J114" s="3" t="n">
        <v>4.60</v>
      </c>
      <c r="K114" s="9" t="inlineStr">
        <is>
          <t>9월 4주차; Chase Secure (...0119); Posted 2026-09-22; Balance shown: $8,056.99; Category inferred from merchant; purpose unconfirmed</t>
        </is>
      </c>
    </row>
    <row r="115">
      <c r="A115" s="4" t="n">
        <v>46287</v>
      </c>
      <c r="B115" s="9">
        <f>IF(A115="","",INT(DAY(A115)/7)+1)</f>
        <v>4</v>
      </c>
      <c r="C115" s="9" t="inlineStr">
        <is>
          <t>VENMO CASHOUT PPD ID: 5264681992</t>
        </is>
      </c>
      <c r="D115" s="9" t="inlineStr">
        <is>
          <t>Venmo</t>
        </is>
      </c>
      <c r="E115" s="9" t="inlineStr">
        <is>
          <t>Dining</t>
        </is>
      </c>
      <c r="F115" s="9" t="inlineStr">
        <is>
          <t>Alcohol settlement</t>
        </is>
      </c>
      <c r="G115" s="9" t="inlineStr">
        <is>
          <t>Checking</t>
        </is>
      </c>
      <c r="H115" s="9" t="inlineStr">
        <is>
          <t>ACH</t>
        </is>
      </c>
      <c r="I115" s="9" t="inlineStr">
        <is>
          <t>Expense</t>
        </is>
      </c>
      <c r="J115" s="3" t="n">
        <v>-22.00</v>
      </c>
      <c r="K115" s="9" t="inlineStr">
        <is>
          <t>9월 4주차; Chase Secure (...0119); Posted 2026-09-22; Balance shown: $8,061.59; User confirmed alcohol payment purpose; bank entry is a $22.00 credit. Recorded as alcohol reimbursement reducing Dining expense, not income.</t>
        </is>
      </c>
    </row>
    <row r="116">
      <c r="A116" s="4" t="n">
        <v>46288</v>
      </c>
      <c r="B116" s="9">
        <f>IF(A116="","",INT(DAY(A116)/7)+1)</f>
        <v>4</v>
      </c>
      <c r="C116" s="9" t="inlineStr">
        <is>
          <t>MTA*NYCT PAYGO NEW YORK NY 09/22 (...0119)</t>
        </is>
      </c>
      <c r="D116" s="9" t="inlineStr">
        <is>
          <t>MTA NYCT Paygo</t>
        </is>
      </c>
      <c r="E116" s="9" t="inlineStr">
        <is>
          <t>Transportation</t>
        </is>
      </c>
      <c r="F116" s="9" t="inlineStr">
        <is>
          <t>Public transit</t>
        </is>
      </c>
      <c r="G116" s="9" t="inlineStr">
        <is>
          <t>Checking</t>
        </is>
      </c>
      <c r="H116" s="9" t="inlineStr">
        <is>
          <t>Debit Card</t>
        </is>
      </c>
      <c r="I116" s="9" t="inlineStr">
        <is>
          <t>Expense</t>
        </is>
      </c>
      <c r="J116" s="3" t="n">
        <v>3.00</v>
      </c>
      <c r="K116" s="9" t="inlineStr">
        <is>
          <t>9월 4주차; Chase Secure (...0119); Posted 2026-09-23; Balance shown: $7,979.02</t>
        </is>
      </c>
    </row>
    <row r="117">
      <c r="A117" s="4" t="n">
        <v>46288</v>
      </c>
      <c r="B117" s="9">
        <f>IF(A117="","",INT(DAY(A117)/7)+1)</f>
        <v>4</v>
      </c>
      <c r="C117" s="9" t="inlineStr">
        <is>
          <t>TST*SAPERAVI - SMB POS New York NY 09/22 (...0119)</t>
        </is>
      </c>
      <c r="D117" s="9" t="inlineStr">
        <is>
          <t>Saperavi</t>
        </is>
      </c>
      <c r="E117" s="9" t="inlineStr">
        <is>
          <t>Dining</t>
        </is>
      </c>
      <c r="F117" s="9" t="inlineStr">
        <is>
          <t>Shared meal</t>
        </is>
      </c>
      <c r="G117" s="9" t="inlineStr">
        <is>
          <t>Checking</t>
        </is>
      </c>
      <c r="H117" s="9" t="inlineStr">
        <is>
          <t>Debit Card</t>
        </is>
      </c>
      <c r="I117" s="9" t="inlineStr">
        <is>
          <t>Expense</t>
        </is>
      </c>
      <c r="J117" s="3" t="n">
        <v>108.44</v>
      </c>
      <c r="K117" s="9" t="inlineStr">
        <is>
          <t>9월 4주차; Chase Secure (...0119); Posted 2026-09-23; Balance shown: $7,982.02; Paid $108.44 for 2 people on 2026-09-22; $46.00 reimbursed by SUNG HEE JUNG via Zelle BACo2fokowb5 on 2026-09-23; own share $62.44. Reimbursement recorded separately as negative Dining expense.</t>
        </is>
      </c>
    </row>
    <row r="118">
      <c r="A118" s="4" t="n">
        <v>46288</v>
      </c>
      <c r="B118" s="9">
        <f>IF(A118="","",INT(DAY(A118)/7)+1)</f>
        <v>4</v>
      </c>
      <c r="C118" s="9" t="inlineStr">
        <is>
          <t>MTA*NYCT PAYGO NEW YORK NY 09/22 (...0119)</t>
        </is>
      </c>
      <c r="D118" s="9" t="inlineStr">
        <is>
          <t>MTA NYCT Paygo</t>
        </is>
      </c>
      <c r="E118" s="9" t="inlineStr">
        <is>
          <t>Transportation</t>
        </is>
      </c>
      <c r="F118" s="9" t="inlineStr">
        <is>
          <t>Public transit</t>
        </is>
      </c>
      <c r="G118" s="9" t="inlineStr">
        <is>
          <t>Checking</t>
        </is>
      </c>
      <c r="H118" s="9" t="inlineStr">
        <is>
          <t>Debit Card</t>
        </is>
      </c>
      <c r="I118" s="9" t="inlineStr">
        <is>
          <t>Expense</t>
        </is>
      </c>
      <c r="J118" s="3" t="n">
        <v>3.00</v>
      </c>
      <c r="K118" s="9" t="inlineStr">
        <is>
          <t>9월 4주차; Chase Secure (...0119); Posted 2026-09-23; Balance shown: $8,090.46</t>
        </is>
      </c>
    </row>
    <row r="119">
      <c r="A119" s="4" t="n">
        <v>46288</v>
      </c>
      <c r="B119" s="9">
        <f>IF(A119="","",INT(DAY(A119)/7)+1)</f>
        <v>4</v>
      </c>
      <c r="C119" s="9" t="inlineStr">
        <is>
          <t>TEA MAKERS BROOKLYN BROOKLYN NY 09/22 (...0119)</t>
        </is>
      </c>
      <c r="D119" s="9" t="inlineStr">
        <is>
          <t>Tea Makers Brooklyn</t>
        </is>
      </c>
      <c r="E119" s="9" t="inlineStr">
        <is>
          <t>Dining</t>
        </is>
      </c>
      <c r="F119" s="9" t="inlineStr">
        <is>
          <t>Cafe</t>
        </is>
      </c>
      <c r="G119" s="9" t="inlineStr">
        <is>
          <t>Checking</t>
        </is>
      </c>
      <c r="H119" s="9" t="inlineStr">
        <is>
          <t>Debit Card</t>
        </is>
      </c>
      <c r="I119" s="9" t="inlineStr">
        <is>
          <t>Expense</t>
        </is>
      </c>
      <c r="J119" s="3" t="n">
        <v>6.53</v>
      </c>
      <c r="K119" s="9" t="inlineStr">
        <is>
          <t>9월 4주차; Chase Secure (...0119); Posted 2026-09-23; Balance shown: $8,093.46</t>
        </is>
      </c>
    </row>
    <row r="120">
      <c r="A120" s="4" t="n">
        <v>46288</v>
      </c>
      <c r="B120" s="9">
        <f>IF(A120="","",INT(DAY(A120)/7)+1)</f>
        <v>4</v>
      </c>
      <c r="C120" s="9" t="inlineStr">
        <is>
          <t>MTA*NYCT PAYGO NEW YORK NY 09/22 (...0119)</t>
        </is>
      </c>
      <c r="D120" s="9" t="inlineStr">
        <is>
          <t>MTA NYCT Paygo</t>
        </is>
      </c>
      <c r="E120" s="9" t="inlineStr">
        <is>
          <t>Transportation</t>
        </is>
      </c>
      <c r="F120" s="9" t="inlineStr">
        <is>
          <t>Public transit</t>
        </is>
      </c>
      <c r="G120" s="9" t="inlineStr">
        <is>
          <t>Checking</t>
        </is>
      </c>
      <c r="H120" s="9" t="inlineStr">
        <is>
          <t>Debit Card</t>
        </is>
      </c>
      <c r="I120" s="9" t="inlineStr">
        <is>
          <t>Expense</t>
        </is>
      </c>
      <c r="J120" s="3" t="n">
        <v>3.00</v>
      </c>
      <c r="K120" s="9" t="inlineStr">
        <is>
          <t>9월 4주차; Chase Secure (...0119); Posted 2026-09-23; Balance shown: $8,099.99</t>
        </is>
      </c>
    </row>
    <row r="121">
      <c r="A121" s="4" t="n">
        <v>46288</v>
      </c>
      <c r="B121" s="9">
        <f>IF(A121="","",INT(DAY(A121)/7)+1)</f>
        <v>4</v>
      </c>
      <c r="C121" s="9" t="inlineStr">
        <is>
          <t>Zelle payment from SUNG HEE JUNG BACo2fokowb5</t>
        </is>
      </c>
      <c r="D121" s="9" t="inlineStr">
        <is>
          <t>SUNG HEE JUNG</t>
        </is>
      </c>
      <c r="E121" s="9" t="inlineStr">
        <is>
          <t>Dining</t>
        </is>
      </c>
      <c r="F121" s="9" t="inlineStr">
        <is>
          <t>Shared meal reimbursement</t>
        </is>
      </c>
      <c r="G121" s="9" t="inlineStr">
        <is>
          <t>Checking</t>
        </is>
      </c>
      <c r="H121" s="9" t="inlineStr">
        <is>
          <t>Venmo/Zelle/PayPal</t>
        </is>
      </c>
      <c r="I121" s="9" t="inlineStr">
        <is>
          <t>Expense</t>
        </is>
      </c>
      <c r="J121" s="3" t="n">
        <v>-46.00</v>
      </c>
      <c r="K121" s="9" t="inlineStr">
        <is>
          <t>9월 4주차; Chase Secure (...0119); Posted 2026-09-23; Balance shown: $8,102.99; Reimbursement for TST*SAPERAVI meal on 2026-09-22 (posted 2026-09-23): paid $108.44 for 2 people, received $46.00, own share $62.44; reduces Dining expenses, not income.</t>
        </is>
      </c>
    </row>
    <row r="122">
      <c r="A122" s="4" t="n">
        <v>46289</v>
      </c>
      <c r="B122" s="9">
        <f>IF(A122="","",INT(DAY(A122)/7)+1)</f>
        <v>4</v>
      </c>
      <c r="C122" s="9" t="inlineStr">
        <is>
          <t>TRADER JOE S #54 445 G NEW YORK NY 262586 09/24 (...0119)</t>
        </is>
      </c>
      <c r="D122" s="9" t="inlineStr">
        <is>
          <t>Trader Joe's</t>
        </is>
      </c>
      <c r="E122" s="9" t="inlineStr">
        <is>
          <t>Groceries</t>
        </is>
      </c>
      <c r="F122" s="9" t="inlineStr">
        <is>
          <t>Groceries</t>
        </is>
      </c>
      <c r="G122" s="9" t="inlineStr">
        <is>
          <t>Checking</t>
        </is>
      </c>
      <c r="H122" s="9" t="inlineStr">
        <is>
          <t>Debit Card</t>
        </is>
      </c>
      <c r="I122" s="9" t="inlineStr">
        <is>
          <t>Expense</t>
        </is>
      </c>
      <c r="J122" s="3" t="n">
        <v>25.64</v>
      </c>
      <c r="K122" s="9" t="inlineStr">
        <is>
          <t>9월 4주차; Chase Secure (...0119); Posted 2026-09-24; Balance shown: $7,927.11</t>
        </is>
      </c>
    </row>
    <row r="123">
      <c r="A123" s="4" t="n">
        <v>46289</v>
      </c>
      <c r="B123" s="9">
        <f>IF(A123="","",INT(DAY(A123)/7)+1)</f>
        <v>4</v>
      </c>
      <c r="C123" s="9" t="inlineStr">
        <is>
          <t>MTA*NYCT PAYGO NEW YORK NY 09/23 (...0119)</t>
        </is>
      </c>
      <c r="D123" s="9" t="inlineStr">
        <is>
          <t>MTA NYCT Paygo</t>
        </is>
      </c>
      <c r="E123" s="9" t="inlineStr">
        <is>
          <t>Transportation</t>
        </is>
      </c>
      <c r="F123" s="9" t="inlineStr">
        <is>
          <t>Public transit</t>
        </is>
      </c>
      <c r="G123" s="9" t="inlineStr">
        <is>
          <t>Checking</t>
        </is>
      </c>
      <c r="H123" s="9" t="inlineStr">
        <is>
          <t>Debit Card</t>
        </is>
      </c>
      <c r="I123" s="9" t="inlineStr">
        <is>
          <t>Expense</t>
        </is>
      </c>
      <c r="J123" s="3" t="n">
        <v>3.00</v>
      </c>
      <c r="K123" s="9" t="inlineStr">
        <is>
          <t>9월 4주차; Chase Secure (...0119); Posted 2026-09-24; Balance shown: $7,952.75</t>
        </is>
      </c>
    </row>
    <row r="124">
      <c r="A124" s="4" t="n">
        <v>46289</v>
      </c>
      <c r="B124" s="9">
        <f>IF(A124="","",INT(DAY(A124)/7)+1)</f>
        <v>4</v>
      </c>
      <c r="C124" s="9" t="inlineStr">
        <is>
          <t>LEGENDS@YANKEE STDM-RE BRONX NY 09/23 (...0119)</t>
        </is>
      </c>
      <c r="D124" s="9" t="inlineStr">
        <is>
          <t>Legends at Yankee Stadium</t>
        </is>
      </c>
      <c r="E124" s="9" t="inlineStr">
        <is>
          <t>Dining</t>
        </is>
      </c>
      <c r="F124" s="9" t="inlineStr">
        <is>
          <t>Stadium concessions</t>
        </is>
      </c>
      <c r="G124" s="9" t="inlineStr">
        <is>
          <t>Checking</t>
        </is>
      </c>
      <c r="H124" s="9" t="inlineStr">
        <is>
          <t>Debit Card</t>
        </is>
      </c>
      <c r="I124" s="9" t="inlineStr">
        <is>
          <t>Expense</t>
        </is>
      </c>
      <c r="J124" s="3" t="n">
        <v>10.88</v>
      </c>
      <c r="K124" s="9" t="inlineStr">
        <is>
          <t>9월 4주차; Chase Secure (...0119); Posted 2026-09-24; Balance shown: $7,955.75; Category inferred from merchant</t>
        </is>
      </c>
    </row>
    <row r="125">
      <c r="A125" s="4" t="n">
        <v>46289</v>
      </c>
      <c r="B125" s="9">
        <f>IF(A125="","",INT(DAY(A125)/7)+1)</f>
        <v>4</v>
      </c>
      <c r="C125" s="9" t="inlineStr">
        <is>
          <t>MTA*NYCT PAYGO NEW YORK NY 09/23 (...0119)</t>
        </is>
      </c>
      <c r="D125" s="9" t="inlineStr">
        <is>
          <t>MTA NYCT Paygo</t>
        </is>
      </c>
      <c r="E125" s="9" t="inlineStr">
        <is>
          <t>Transportation</t>
        </is>
      </c>
      <c r="F125" s="9" t="inlineStr">
        <is>
          <t>Public transit</t>
        </is>
      </c>
      <c r="G125" s="9" t="inlineStr">
        <is>
          <t>Checking</t>
        </is>
      </c>
      <c r="H125" s="9" t="inlineStr">
        <is>
          <t>Debit Card</t>
        </is>
      </c>
      <c r="I125" s="9" t="inlineStr">
        <is>
          <t>Expense</t>
        </is>
      </c>
      <c r="J125" s="3" t="n">
        <v>3.00</v>
      </c>
      <c r="K125" s="9" t="inlineStr">
        <is>
          <t>9월 4주차; Chase Secure (...0119); Posted 2026-09-24; Balance shown: $7,966.63</t>
        </is>
      </c>
    </row>
    <row r="126">
      <c r="A126" s="4" t="n">
        <v>46289</v>
      </c>
      <c r="B126" s="9">
        <f>IF(A126="","",INT(DAY(A126)/7)+1)</f>
        <v>4</v>
      </c>
      <c r="C126" s="9" t="inlineStr">
        <is>
          <t>MTA*NYCT PAYGO NEW YORK NY 09/23 (...0119)</t>
        </is>
      </c>
      <c r="D126" s="9" t="inlineStr">
        <is>
          <t>MTA NYCT Paygo</t>
        </is>
      </c>
      <c r="E126" s="9" t="inlineStr">
        <is>
          <t>Transportation</t>
        </is>
      </c>
      <c r="F126" s="9" t="inlineStr">
        <is>
          <t>Public transit</t>
        </is>
      </c>
      <c r="G126" s="9" t="inlineStr">
        <is>
          <t>Checking</t>
        </is>
      </c>
      <c r="H126" s="9" t="inlineStr">
        <is>
          <t>Debit Card</t>
        </is>
      </c>
      <c r="I126" s="9" t="inlineStr">
        <is>
          <t>Expense</t>
        </is>
      </c>
      <c r="J126" s="3" t="n">
        <v>3.00</v>
      </c>
      <c r="K126" s="9" t="inlineStr">
        <is>
          <t>9월 4주차; Chase Secure (...0119); Posted 2026-09-24; Balance shown: $7,969.63</t>
        </is>
      </c>
    </row>
    <row r="127">
      <c r="A127" s="4" t="n">
        <v>46289</v>
      </c>
      <c r="B127" s="9">
        <f>IF(A127="","",INT(DAY(A127)/7)+1)</f>
        <v>4</v>
      </c>
      <c r="C127" s="9" t="inlineStr">
        <is>
          <t>MTA*NYCT PAYGO NEW YORK NY 09/23 (...0119)</t>
        </is>
      </c>
      <c r="D127" s="9" t="inlineStr">
        <is>
          <t>MTA NYCT Paygo</t>
        </is>
      </c>
      <c r="E127" s="9" t="inlineStr">
        <is>
          <t>Transportation</t>
        </is>
      </c>
      <c r="F127" s="9" t="inlineStr">
        <is>
          <t>Public transit</t>
        </is>
      </c>
      <c r="G127" s="9" t="inlineStr">
        <is>
          <t>Checking</t>
        </is>
      </c>
      <c r="H127" s="9" t="inlineStr">
        <is>
          <t>Debit Card</t>
        </is>
      </c>
      <c r="I127" s="9" t="inlineStr">
        <is>
          <t>Expense</t>
        </is>
      </c>
      <c r="J127" s="3" t="n">
        <v>3.00</v>
      </c>
      <c r="K127" s="9" t="inlineStr">
        <is>
          <t>9월 4주차; Chase Secure (...0119); Posted 2026-09-24; Balance shown: $7,972.63</t>
        </is>
      </c>
    </row>
    <row r="128">
      <c r="A128" s="4" t="n">
        <v>46289</v>
      </c>
      <c r="B128" s="9">
        <f>IF(A128="","",INT(DAY(A128)/7)+1)</f>
        <v>4</v>
      </c>
      <c r="C128" s="9" t="inlineStr">
        <is>
          <t>99 CENT SUPREME PIZZA BROOKLYN NY 09/22 (...0119)</t>
        </is>
      </c>
      <c r="D128" s="9" t="inlineStr">
        <is>
          <t>99 Cent Supreme Pizza</t>
        </is>
      </c>
      <c r="E128" s="9" t="inlineStr">
        <is>
          <t>Dining</t>
        </is>
      </c>
      <c r="F128" s="9" t="inlineStr">
        <is>
          <t>Restaurant/Pizza</t>
        </is>
      </c>
      <c r="G128" s="9" t="inlineStr">
        <is>
          <t>Checking</t>
        </is>
      </c>
      <c r="H128" s="9" t="inlineStr">
        <is>
          <t>Debit Card</t>
        </is>
      </c>
      <c r="I128" s="9" t="inlineStr">
        <is>
          <t>Expense</t>
        </is>
      </c>
      <c r="J128" s="3" t="n">
        <v>3.39</v>
      </c>
      <c r="K128" s="9" t="inlineStr">
        <is>
          <t>9월 4주차; Chase Secure (...0119); Posted 2026-09-24; Balance shown: $7,975.63</t>
        </is>
      </c>
    </row>
    <row r="129">
      <c r="A129" s="4" t="n">
        <v>46290</v>
      </c>
      <c r="B129" s="9">
        <f>IF(A129="","",INT(DAY(A129)/7)+1)</f>
        <v>4</v>
      </c>
      <c r="C129" s="9" t="inlineStr">
        <is>
          <t>VENMO PAYMENT 1053282556410 WEB ID: 3264681992</t>
        </is>
      </c>
      <c r="D129" s="9" t="inlineStr">
        <is>
          <t>Venmo</t>
        </is>
      </c>
      <c r="E129" s="9" t="inlineStr">
        <is>
          <t>Entertainment</t>
        </is>
      </c>
      <c r="F129" s="9" t="inlineStr">
        <is>
          <t>Yankee Stadium visit</t>
        </is>
      </c>
      <c r="G129" s="9" t="inlineStr">
        <is>
          <t>Checking</t>
        </is>
      </c>
      <c r="H129" s="9" t="inlineStr">
        <is>
          <t>ACH</t>
        </is>
      </c>
      <c r="I129" s="9" t="inlineStr">
        <is>
          <t>Expense</t>
        </is>
      </c>
      <c r="J129" s="3" t="n">
        <v>28.00</v>
      </c>
      <c r="K129" s="9" t="inlineStr">
        <is>
          <t>9월 4주차; Chase Secure (...0119); Posted 2026-09-25; Balance shown: $7,888.03; User confirmed spending during Yankee Stadium visit; Entertainment expense paid via Venmo.</t>
        </is>
      </c>
    </row>
    <row r="130">
      <c r="A130" s="4" t="n">
        <v>46290</v>
      </c>
      <c r="B130" s="9">
        <f>IF(A130="","",INT(DAY(A130)/7)+1)</f>
        <v>4</v>
      </c>
      <c r="C130" s="9" t="inlineStr">
        <is>
          <t>MTA*NYCT PAYGO NEW YORK NY 09/24 (...0119)</t>
        </is>
      </c>
      <c r="D130" s="9" t="inlineStr">
        <is>
          <t>MTA NYCT Paygo</t>
        </is>
      </c>
      <c r="E130" s="9" t="inlineStr">
        <is>
          <t>Transportation</t>
        </is>
      </c>
      <c r="F130" s="9" t="inlineStr">
        <is>
          <t>Public transit</t>
        </is>
      </c>
      <c r="G130" s="9" t="inlineStr">
        <is>
          <t>Checking</t>
        </is>
      </c>
      <c r="H130" s="9" t="inlineStr">
        <is>
          <t>Debit Card</t>
        </is>
      </c>
      <c r="I130" s="9" t="inlineStr">
        <is>
          <t>Expense</t>
        </is>
      </c>
      <c r="J130" s="3" t="n">
        <v>3.00</v>
      </c>
      <c r="K130" s="9" t="inlineStr">
        <is>
          <t>9월 4주차; Chase Secure (...0119); Posted 2026-09-25; Balance shown: $7,916.03</t>
        </is>
      </c>
    </row>
    <row r="131">
      <c r="A131" s="4" t="n">
        <v>46290</v>
      </c>
      <c r="B131" s="9">
        <f>IF(A131="","",INT(DAY(A131)/7)+1)</f>
        <v>4</v>
      </c>
      <c r="C131" s="9" t="inlineStr">
        <is>
          <t>MTA*NYCT PAYGO NEW YORK NY 09/24 (...0119)</t>
        </is>
      </c>
      <c r="D131" s="9" t="inlineStr">
        <is>
          <t>MTA NYCT Paygo</t>
        </is>
      </c>
      <c r="E131" s="9" t="inlineStr">
        <is>
          <t>Transportation</t>
        </is>
      </c>
      <c r="F131" s="9" t="inlineStr">
        <is>
          <t>Public transit</t>
        </is>
      </c>
      <c r="G131" s="9" t="inlineStr">
        <is>
          <t>Checking</t>
        </is>
      </c>
      <c r="H131" s="9" t="inlineStr">
        <is>
          <t>Debit Card</t>
        </is>
      </c>
      <c r="I131" s="9" t="inlineStr">
        <is>
          <t>Expense</t>
        </is>
      </c>
      <c r="J131" s="3" t="n">
        <v>3.00</v>
      </c>
      <c r="K131" s="9" t="inlineStr">
        <is>
          <t>9월 4주차; Chase Secure (...0119); Posted 2026-09-25; Balance shown: $7,919.03</t>
        </is>
      </c>
    </row>
    <row r="132">
      <c r="A132" s="4" t="n">
        <v>46290</v>
      </c>
      <c r="B132" s="9">
        <f>IF(A132="","",INT(DAY(A132)/7)+1)</f>
        <v>4</v>
      </c>
      <c r="C132" s="9" t="inlineStr">
        <is>
          <t>MTA*NYCT PAYGO NEW YORK NY 09/24 (...0119)</t>
        </is>
      </c>
      <c r="D132" s="9" t="inlineStr">
        <is>
          <t>MTA NYCT Paygo</t>
        </is>
      </c>
      <c r="E132" s="9" t="inlineStr">
        <is>
          <t>Transportation</t>
        </is>
      </c>
      <c r="F132" s="9" t="inlineStr">
        <is>
          <t>Public transit</t>
        </is>
      </c>
      <c r="G132" s="9" t="inlineStr">
        <is>
          <t>Checking</t>
        </is>
      </c>
      <c r="H132" s="9" t="inlineStr">
        <is>
          <t>Debit Card</t>
        </is>
      </c>
      <c r="I132" s="9" t="inlineStr">
        <is>
          <t>Expense</t>
        </is>
      </c>
      <c r="J132" s="3" t="n">
        <v>3.00</v>
      </c>
      <c r="K132" s="9" t="inlineStr">
        <is>
          <t>9월 4주차; Chase Secure (...0119); Posted 2026-09-25; Balance shown: $7,922.03</t>
        </is>
      </c>
    </row>
    <row r="133">
      <c r="A133" s="4" t="n">
        <v>46290</v>
      </c>
      <c r="B133" s="9">
        <f>IF(A133="","",INT(DAY(A133)/7)+1)</f>
        <v>4</v>
      </c>
      <c r="C133" s="9" t="inlineStr">
        <is>
          <t>CUTE GIFTS &amp; CONVENIENC NEW YORK NY 09/23 (...0119)</t>
        </is>
      </c>
      <c r="D133" s="9" t="inlineStr">
        <is>
          <t>CUTE GIFTS &amp; CONVENIENC</t>
        </is>
      </c>
      <c r="E133" s="9" t="inlineStr">
        <is>
          <t>Shopping</t>
        </is>
      </c>
      <c r="F133" s="9" t="inlineStr">
        <is>
          <t>Convenience store</t>
        </is>
      </c>
      <c r="G133" s="9" t="inlineStr">
        <is>
          <t>Checking</t>
        </is>
      </c>
      <c r="H133" s="9" t="inlineStr">
        <is>
          <t>Debit Card</t>
        </is>
      </c>
      <c r="I133" s="9" t="inlineStr">
        <is>
          <t>Expense</t>
        </is>
      </c>
      <c r="J133" s="3" t="n">
        <v>2.08</v>
      </c>
      <c r="K133" s="9" t="inlineStr">
        <is>
          <t>9월 4주차; Chase Secure (...0119); Posted 2026-09-25; Balance shown: $7,925.03; Category inferred from merchant</t>
        </is>
      </c>
    </row>
    <row r="134">
      <c r="A134" s="4">
        <v>46293</v>
      </c>
      <c r="B134" s="9">
        <f>IF(A134="","",INT(DAY(A134)/7)+1)</f>
        <v>5</v>
      </c>
      <c r="C134" s="9" t="inlineStr">
        <is>
          <t>CVS/PHARMACY #10826 NEW YORK NY 004791 09/27 (...0119)</t>
        </is>
      </c>
      <c r="D134" s="9" t="inlineStr">
        <is>
          <t>CVS Pharmacy</t>
        </is>
      </c>
      <c r="E134" s="9" t="inlineStr">
        <is>
          <t>Shopping</t>
        </is>
      </c>
      <c r="F134" s="9" t="inlineStr">
        <is>
          <t>Pharmacy retail (unconfirmed)</t>
        </is>
      </c>
      <c r="G134" s="9" t="inlineStr">
        <is>
          <t>Checking</t>
        </is>
      </c>
      <c r="H134" s="9" t="inlineStr">
        <is>
          <t>Debit Card</t>
        </is>
      </c>
      <c r="I134" s="9" t="inlineStr">
        <is>
          <t>Expense</t>
        </is>
      </c>
      <c r="J134" s="3">
        <v>21.76</v>
      </c>
      <c r="K134" s="9" t="inlineStr">
        <is>
          <t>9월 5주차; Chase Secure (...0119); Posted 2026-09-28; Balance shown: $7,719.31; Category inferred from merchant; purchase details unconfirmed</t>
        </is>
      </c>
    </row>
    <row r="135">
      <c r="A135" s="4">
        <v>46293</v>
      </c>
      <c r="B135" s="9">
        <f>IF(A135="","",INT(DAY(A135)/7)+1)</f>
        <v>5</v>
      </c>
      <c r="C135" s="9" t="inlineStr">
        <is>
          <t>TST*RAKU EAST VILLAGE New York NY 09/27 (...0119)</t>
        </is>
      </c>
      <c r="D135" s="9" t="inlineStr">
        <is>
          <t>Raku East Village</t>
        </is>
      </c>
      <c r="E135" s="9" t="inlineStr">
        <is>
          <t>Dining</t>
        </is>
      </c>
      <c r="F135" s="9" t="inlineStr">
        <is>
          <t>Restaurant</t>
        </is>
      </c>
      <c r="G135" s="9" t="inlineStr">
        <is>
          <t>Checking</t>
        </is>
      </c>
      <c r="H135" s="9" t="inlineStr">
        <is>
          <t>Debit Card</t>
        </is>
      </c>
      <c r="I135" s="9" t="inlineStr">
        <is>
          <t>Expense</t>
        </is>
      </c>
      <c r="J135" s="3">
        <v>73.45</v>
      </c>
      <c r="K135" s="9" t="inlineStr">
        <is>
          <t>9월 5주차; Chase Secure (...0119); Posted 2026-09-28; Balance shown: $7,741.07</t>
        </is>
      </c>
    </row>
    <row r="136">
      <c r="A136" s="4">
        <v>46293</v>
      </c>
      <c r="B136" s="9">
        <f>IF(A136="","",INT(DAY(A136)/7)+1)</f>
        <v>5</v>
      </c>
      <c r="C136" s="9" t="inlineStr">
        <is>
          <t>BP#2141158491 ROUTE 4 ENGLEWOOD NJ 097650 09/26 (...0119)</t>
        </is>
      </c>
      <c r="D136" s="9" t="inlineStr">
        <is>
          <t>BP Route 4</t>
        </is>
      </c>
      <c r="E136" s="9" t="inlineStr">
        <is>
          <t>Shopping</t>
        </is>
      </c>
      <c r="F136" s="9" t="inlineStr">
        <is>
          <t>Gas station purchase (unconfirmed)</t>
        </is>
      </c>
      <c r="G136" s="9" t="inlineStr">
        <is>
          <t>Checking</t>
        </is>
      </c>
      <c r="H136" s="9" t="inlineStr">
        <is>
          <t>Debit Card</t>
        </is>
      </c>
      <c r="I136" s="9" t="inlineStr">
        <is>
          <t>Expense</t>
        </is>
      </c>
      <c r="J136" s="3">
        <v>5.44</v>
      </c>
      <c r="K136" s="9" t="inlineStr">
        <is>
          <t>9월 5주차; Chase Secure (...0119); Posted 2026-09-28; Balance shown: $7,814.52; Category inferred from merchant; purchase details unconfirmed</t>
        </is>
      </c>
    </row>
    <row r="137">
      <c r="A137" s="4">
        <v>46293</v>
      </c>
      <c r="B137" s="9">
        <f>IF(A137="","",INT(DAY(A137)/7)+1)</f>
        <v>5</v>
      </c>
      <c r="C137" s="9" t="inlineStr">
        <is>
          <t>7-ELEVEN 11427 COYTESVILLE NJ 09/27 (...0119)</t>
        </is>
      </c>
      <c r="D137" s="9" t="inlineStr">
        <is>
          <t>7-Eleven</t>
        </is>
      </c>
      <c r="E137" s="9" t="inlineStr">
        <is>
          <t>Shopping</t>
        </is>
      </c>
      <c r="F137" s="9" t="inlineStr">
        <is>
          <t>Convenience store</t>
        </is>
      </c>
      <c r="G137" s="9" t="inlineStr">
        <is>
          <t>Checking</t>
        </is>
      </c>
      <c r="H137" s="9" t="inlineStr">
        <is>
          <t>Debit Card</t>
        </is>
      </c>
      <c r="I137" s="9" t="inlineStr">
        <is>
          <t>Expense</t>
        </is>
      </c>
      <c r="J137" s="3">
        <v>2.99</v>
      </c>
      <c r="K137" s="9" t="inlineStr">
        <is>
          <t>9월 5주차; Chase Secure (...0119); Posted 2026-09-28; Balance shown: $7,819.96; Category inferred from merchant; purchase details unconfirmed</t>
        </is>
      </c>
    </row>
    <row r="138">
      <c r="A138" s="4">
        <v>46293</v>
      </c>
      <c r="B138" s="9">
        <f>IF(A138="","",INT(DAY(A138)/7)+1)</f>
        <v>5</v>
      </c>
      <c r="C138" s="9" t="inlineStr">
        <is>
          <t>7-ELEVEN 11427 COYTESVILLE NJ 09/27 (...0119)</t>
        </is>
      </c>
      <c r="D138" s="9" t="inlineStr">
        <is>
          <t>7-Eleven</t>
        </is>
      </c>
      <c r="E138" s="9" t="inlineStr">
        <is>
          <t>Shopping</t>
        </is>
      </c>
      <c r="F138" s="9" t="inlineStr">
        <is>
          <t>Convenience store</t>
        </is>
      </c>
      <c r="G138" s="9" t="inlineStr">
        <is>
          <t>Checking</t>
        </is>
      </c>
      <c r="H138" s="9" t="inlineStr">
        <is>
          <t>Debit Card</t>
        </is>
      </c>
      <c r="I138" s="9" t="inlineStr">
        <is>
          <t>Expense</t>
        </is>
      </c>
      <c r="J138" s="3">
        <v>2.99</v>
      </c>
      <c r="K138" s="9" t="inlineStr">
        <is>
          <t>9월 5주차; Chase Secure (...0119); Posted 2026-09-28; Balance shown: $7,822.95; Category inferred from merchant; purchase details unconfirmed</t>
        </is>
      </c>
    </row>
    <row r="139">
      <c r="A139" s="4">
        <v>46293</v>
      </c>
      <c r="B139" s="9">
        <f>IF(A139="","",INT(DAY(A139)/7)+1)</f>
        <v>5</v>
      </c>
      <c r="C139" s="9" t="inlineStr">
        <is>
          <t>NJT BUS MY-TIX JWAITE@NJTRAN NJ 09/26 (...0119)</t>
        </is>
      </c>
      <c r="D139" s="9" t="inlineStr">
        <is>
          <t>NJ Transit</t>
        </is>
      </c>
      <c r="E139" s="9" t="inlineStr">
        <is>
          <t>Transportation</t>
        </is>
      </c>
      <c r="F139" s="9" t="inlineStr">
        <is>
          <t>Public transit</t>
        </is>
      </c>
      <c r="G139" s="9" t="inlineStr">
        <is>
          <t>Checking</t>
        </is>
      </c>
      <c r="H139" s="9" t="inlineStr">
        <is>
          <t>Debit Card</t>
        </is>
      </c>
      <c r="I139" s="9" t="inlineStr">
        <is>
          <t>Expense</t>
        </is>
      </c>
      <c r="J139" s="3">
        <v>2.20</v>
      </c>
      <c r="K139" s="9" t="inlineStr">
        <is>
          <t>9월 5주차; Chase Secure (...0119); Posted 2026-09-28; Balance shown: $7,825.94</t>
        </is>
      </c>
    </row>
    <row r="140">
      <c r="A140" s="4">
        <v>46293</v>
      </c>
      <c r="B140" s="9">
        <f>IF(A140="","",INT(DAY(A140)/7)+1)</f>
        <v>5</v>
      </c>
      <c r="C140" s="9" t="inlineStr">
        <is>
          <t>SHOPRITE ENGLEWOOD S1 ENGLEWOOD NJ 09/26 (...0119)</t>
        </is>
      </c>
      <c r="D140" s="9" t="inlineStr">
        <is>
          <t>ShopRite</t>
        </is>
      </c>
      <c r="E140" s="9" t="inlineStr">
        <is>
          <t>Groceries</t>
        </is>
      </c>
      <c r="F140" s="9" t="inlineStr">
        <is>
          <t>Groceries</t>
        </is>
      </c>
      <c r="G140" s="9" t="inlineStr">
        <is>
          <t>Checking</t>
        </is>
      </c>
      <c r="H140" s="9" t="inlineStr">
        <is>
          <t>Debit Card</t>
        </is>
      </c>
      <c r="I140" s="9" t="inlineStr">
        <is>
          <t>Expense</t>
        </is>
      </c>
      <c r="J140" s="3">
        <v>16.47</v>
      </c>
      <c r="K140" s="9" t="inlineStr">
        <is>
          <t>9월 5주차; Chase Secure (...0119); Posted 2026-09-28; Balance shown: $7,828.14</t>
        </is>
      </c>
    </row>
    <row r="141">
      <c r="A141" s="4">
        <v>46293</v>
      </c>
      <c r="B141" s="9">
        <f>IF(A141="","",INT(DAY(A141)/7)+1)</f>
        <v>5</v>
      </c>
      <c r="C141" s="9" t="inlineStr">
        <is>
          <t>C &amp; R BEVERAGE ENGLEWOOD NJ 09/25 (...0119)</t>
        </is>
      </c>
      <c r="D141" s="9" t="inlineStr">
        <is>
          <t>C &amp; R Beverage</t>
        </is>
      </c>
      <c r="E141" s="9" t="inlineStr">
        <is>
          <t>Dining</t>
        </is>
      </c>
      <c r="F141" s="9" t="inlineStr">
        <is>
          <t>Alcohol (inferred)</t>
        </is>
      </c>
      <c r="G141" s="9" t="inlineStr">
        <is>
          <t>Checking</t>
        </is>
      </c>
      <c r="H141" s="9" t="inlineStr">
        <is>
          <t>Debit Card</t>
        </is>
      </c>
      <c r="I141" s="9" t="inlineStr">
        <is>
          <t>Expense</t>
        </is>
      </c>
      <c r="J141" s="3">
        <v>27.45</v>
      </c>
      <c r="K141" s="9" t="inlineStr">
        <is>
          <t>9월 5주차; Chase Secure (...0119); Posted 2026-09-28; Balance shown: $7,844.61; Category inferred from merchant; purchase details unconfirmed</t>
        </is>
      </c>
    </row>
    <row r="142">
      <c r="A142" s="4">
        <v>46293</v>
      </c>
      <c r="B142" s="9">
        <f>IF(A142="","",INT(DAY(A142)/7)+1)</f>
        <v>5</v>
      </c>
      <c r="C142" s="9" t="inlineStr">
        <is>
          <t>NJTRANSIT PAYGO MARK PATERSON NJ 09/25 (...0119)</t>
        </is>
      </c>
      <c r="D142" s="9" t="inlineStr">
        <is>
          <t>NJ Transit</t>
        </is>
      </c>
      <c r="E142" s="9" t="inlineStr">
        <is>
          <t>Transportation</t>
        </is>
      </c>
      <c r="F142" s="9" t="inlineStr">
        <is>
          <t>Public transit</t>
        </is>
      </c>
      <c r="G142" s="9" t="inlineStr">
        <is>
          <t>Checking</t>
        </is>
      </c>
      <c r="H142" s="9" t="inlineStr">
        <is>
          <t>Debit Card</t>
        </is>
      </c>
      <c r="I142" s="9" t="inlineStr">
        <is>
          <t>Expense</t>
        </is>
      </c>
      <c r="J142" s="3">
        <v>4.20</v>
      </c>
      <c r="K142" s="9" t="inlineStr">
        <is>
          <t>9월 5주차; Chase Secure (...0119); Posted 2026-09-28; Balance shown: $7,872.06</t>
        </is>
      </c>
    </row>
    <row r="143">
      <c r="A143" s="4">
        <v>46293</v>
      </c>
      <c r="B143" s="9">
        <f>IF(A143="","",INT(DAY(A143)/7)+1)</f>
        <v>5</v>
      </c>
      <c r="C143" s="9" t="inlineStr">
        <is>
          <t>MTA*NYCT PAYGO NEW YORK NY 09/25 (...0119)</t>
        </is>
      </c>
      <c r="D143" s="9" t="inlineStr">
        <is>
          <t>MTA NYCT Paygo</t>
        </is>
      </c>
      <c r="E143" s="9" t="inlineStr">
        <is>
          <t>Transportation</t>
        </is>
      </c>
      <c r="F143" s="9" t="inlineStr">
        <is>
          <t>Public transit</t>
        </is>
      </c>
      <c r="G143" s="9" t="inlineStr">
        <is>
          <t>Checking</t>
        </is>
      </c>
      <c r="H143" s="9" t="inlineStr">
        <is>
          <t>Debit Card</t>
        </is>
      </c>
      <c r="I143" s="9" t="inlineStr">
        <is>
          <t>Expense</t>
        </is>
      </c>
      <c r="J143" s="3">
        <v>2.00</v>
      </c>
      <c r="K143" s="9" t="inlineStr">
        <is>
          <t>9월 5주차; Chase Secure (...0119); Posted 2026-09-28; Balance shown: $7,876.26</t>
        </is>
      </c>
    </row>
    <row r="144">
      <c r="A144" s="4">
        <v>46293</v>
      </c>
      <c r="B144" s="9">
        <f>IF(A144="","",INT(DAY(A144)/7)+1)</f>
        <v>5</v>
      </c>
      <c r="C144" s="9" t="inlineStr">
        <is>
          <t>99 CENT SUPREME PIZZA BROOKLYN NY 09/25 (...0119)</t>
        </is>
      </c>
      <c r="D144" s="9" t="inlineStr">
        <is>
          <t>99 Cent Supreme Pizza</t>
        </is>
      </c>
      <c r="E144" s="9" t="inlineStr">
        <is>
          <t>Dining</t>
        </is>
      </c>
      <c r="F144" s="9" t="inlineStr">
        <is>
          <t>Restaurant/Pizza</t>
        </is>
      </c>
      <c r="G144" s="9" t="inlineStr">
        <is>
          <t>Checking</t>
        </is>
      </c>
      <c r="H144" s="9" t="inlineStr">
        <is>
          <t>Debit Card</t>
        </is>
      </c>
      <c r="I144" s="9" t="inlineStr">
        <is>
          <t>Expense</t>
        </is>
      </c>
      <c r="J144" s="3">
        <v>6.77</v>
      </c>
      <c r="K144" s="9" t="inlineStr">
        <is>
          <t>9월 5주차; Chase Secure (...0119); Posted 2026-09-28; Balance shown: $7,878.26</t>
        </is>
      </c>
    </row>
    <row r="145">
      <c r="A145" s="4">
        <v>46293</v>
      </c>
      <c r="B145" s="9">
        <f>IF(A145="","",INT(DAY(A145)/7)+1)</f>
        <v>5</v>
      </c>
      <c r="C145" s="9" t="inlineStr">
        <is>
          <t>MTA*NYCT PAYGO NEW YORK NY 09/25 (...0119)</t>
        </is>
      </c>
      <c r="D145" s="9" t="inlineStr">
        <is>
          <t>MTA NYCT Paygo</t>
        </is>
      </c>
      <c r="E145" s="9" t="inlineStr">
        <is>
          <t>Transportation</t>
        </is>
      </c>
      <c r="F145" s="9" t="inlineStr">
        <is>
          <t>Public transit</t>
        </is>
      </c>
      <c r="G145" s="9" t="inlineStr">
        <is>
          <t>Checking</t>
        </is>
      </c>
      <c r="H145" s="9" t="inlineStr">
        <is>
          <t>Debit Card</t>
        </is>
      </c>
      <c r="I145" s="9" t="inlineStr">
        <is>
          <t>Expense</t>
        </is>
      </c>
      <c r="J145" s="3">
        <v>3.00</v>
      </c>
      <c r="K145" s="9" t="inlineStr">
        <is>
          <t>9월 5주차; Chase Secure (...0119); Posted 2026-09-28; Balance shown: $7,885.03</t>
        </is>
      </c>
    </row>
    <row r="146">
      <c r="A146" s="4">
        <v>46294</v>
      </c>
      <c r="B146" s="9">
        <f>IF(A146="","",INT(DAY(A146)/7)+1)</f>
        <v>5</v>
      </c>
      <c r="C146" s="9" t="inlineStr">
        <is>
          <t>NEW YORK UNIVERS DIRECT DEP PPD ID: 5135562308</t>
        </is>
      </c>
      <c r="D146" s="9" t="inlineStr">
        <is>
          <t>New York University</t>
        </is>
      </c>
      <c r="E146" s="9" t="inlineStr">
        <is>
          <t>Income</t>
        </is>
      </c>
      <c r="F146" s="9" t="inlineStr">
        <is>
          <t>Direct deposit</t>
        </is>
      </c>
      <c r="G146" s="9" t="inlineStr">
        <is>
          <t>Checking</t>
        </is>
      </c>
      <c r="H146" s="9" t="inlineStr">
        <is>
          <t>ACH</t>
        </is>
      </c>
      <c r="I146" s="9" t="inlineStr">
        <is>
          <t>Income</t>
        </is>
      </c>
      <c r="J146" s="3">
        <v>1548.00</v>
      </c>
      <c r="K146" s="9" t="inlineStr">
        <is>
          <t>9월 5주차; Chase Secure (...0119); Posted 2026-09-29; Balance shown: $9,267.31</t>
        </is>
      </c>
    </row>
    <row r="147">
      <c r="A147" s="4">
        <v>46295</v>
      </c>
      <c r="B147" s="9">
        <f>IF(A147="","",INT(DAY(A147)/7)+1)</f>
        <v>5</v>
      </c>
      <c r="C147" s="9" t="inlineStr">
        <is>
          <t>Zelle payment to wwhy28 31023804151</t>
        </is>
      </c>
      <c r="D147" s="9" t="inlineStr">
        <is>
          <t>wwhy28</t>
        </is>
      </c>
      <c r="E147" s="9" t="inlineStr">
        <is>
          <t>Dining</t>
        </is>
      </c>
      <c r="F147" s="9" t="inlineStr">
        <is>
          <t>Alcohol settlement</t>
        </is>
      </c>
      <c r="G147" s="9" t="inlineStr">
        <is>
          <t>Checking</t>
        </is>
      </c>
      <c r="H147" s="9" t="inlineStr">
        <is>
          <t>Venmo/Zelle/PayPal</t>
        </is>
      </c>
      <c r="I147" s="9" t="inlineStr">
        <is>
          <t>Expense</t>
        </is>
      </c>
      <c r="J147" s="3">
        <v>28.00</v>
      </c>
      <c r="K147" s="9" t="inlineStr">
        <is>
          <t>9월 5주차; Chase Secure (...0119); Posted 2026-09-30; Balance shown: $9,127.06; 술값 정산 (user confirmed)</t>
        </is>
      </c>
    </row>
    <row r="148">
      <c r="A148" s="4">
        <v>46295</v>
      </c>
      <c r="B148" s="9">
        <f>IF(A148="","",INT(DAY(A148)/7)+1)</f>
        <v>5</v>
      </c>
      <c r="C148" s="9" t="inlineStr">
        <is>
          <t>Zelle payment to wwhy28 31011487486</t>
        </is>
      </c>
      <c r="D148" s="9" t="inlineStr">
        <is>
          <t>wwhy28</t>
        </is>
      </c>
      <c r="E148" s="9" t="inlineStr">
        <is>
          <t>Dining</t>
        </is>
      </c>
      <c r="F148" s="9" t="inlineStr">
        <is>
          <t>Alcohol settlement</t>
        </is>
      </c>
      <c r="G148" s="9" t="inlineStr">
        <is>
          <t>Checking</t>
        </is>
      </c>
      <c r="H148" s="9" t="inlineStr">
        <is>
          <t>Venmo/Zelle/PayPal</t>
        </is>
      </c>
      <c r="I148" s="9" t="inlineStr">
        <is>
          <t>Expense</t>
        </is>
      </c>
      <c r="J148" s="3">
        <v>30.00</v>
      </c>
      <c r="K148" s="9" t="inlineStr">
        <is>
          <t>9월 5주차; Chase Secure (...0119); Posted 2026-09-30; Balance shown: $9,155.06; 술값 정산 (user confirmed)</t>
        </is>
      </c>
    </row>
    <row r="149">
      <c r="A149" s="4">
        <v>46295</v>
      </c>
      <c r="B149" s="9">
        <f>IF(A149="","",INT(DAY(A149)/7)+1)</f>
        <v>5</v>
      </c>
      <c r="C149" s="9" t="inlineStr">
        <is>
          <t>Zelle payment to wwhy28 31010693624</t>
        </is>
      </c>
      <c r="D149" s="9" t="inlineStr">
        <is>
          <t>wwhy28</t>
        </is>
      </c>
      <c r="E149" s="9" t="inlineStr">
        <is>
          <t>Dining</t>
        </is>
      </c>
      <c r="F149" s="9" t="inlineStr">
        <is>
          <t>Alcohol settlement</t>
        </is>
      </c>
      <c r="G149" s="9" t="inlineStr">
        <is>
          <t>Checking</t>
        </is>
      </c>
      <c r="H149" s="9" t="inlineStr">
        <is>
          <t>Venmo/Zelle/PayPal</t>
        </is>
      </c>
      <c r="I149" s="9" t="inlineStr">
        <is>
          <t>Expense</t>
        </is>
      </c>
      <c r="J149" s="3">
        <v>68.00</v>
      </c>
      <c r="K149" s="9" t="inlineStr">
        <is>
          <t>9월 5주차; Chase Secure (...0119); Posted 2026-09-30; Balance shown: $9,185.06; 술값 정산 (user confirmed)</t>
        </is>
      </c>
    </row>
    <row r="150">
      <c r="A150" s="4">
        <v>46295</v>
      </c>
      <c r="B150" s="9">
        <f>IF(A150="","",INT(DAY(A150)/7)+1)</f>
        <v>5</v>
      </c>
      <c r="C150" s="9" t="inlineStr">
        <is>
          <t>MTA*LIRR ETIX TICKET 718-217-5477 NY 09/30 (...0119)</t>
        </is>
      </c>
      <c r="D150" s="9" t="inlineStr">
        <is>
          <t>MTA LIRR</t>
        </is>
      </c>
      <c r="E150" s="9" t="inlineStr">
        <is>
          <t>Transportation</t>
        </is>
      </c>
      <c r="F150" s="9" t="inlineStr">
        <is>
          <t>Rail ticket</t>
        </is>
      </c>
      <c r="G150" s="9" t="inlineStr">
        <is>
          <t>Checking</t>
        </is>
      </c>
      <c r="H150" s="9" t="inlineStr">
        <is>
          <t>Debit Card</t>
        </is>
      </c>
      <c r="I150" s="9" t="inlineStr">
        <is>
          <t>Expense</t>
        </is>
      </c>
      <c r="J150" s="3">
        <v>5.25</v>
      </c>
      <c r="K150" s="9" t="inlineStr">
        <is>
          <t>9월 5주차; Chase Secure (...0119); Posted 2026-09-30; Balance shown: $9,253.06</t>
        </is>
      </c>
    </row>
    <row r="151">
      <c r="A151" s="4">
        <v>46295</v>
      </c>
      <c r="B151" s="9">
        <f>IF(A151="","",INT(DAY(A151)/7)+1)</f>
        <v>5</v>
      </c>
      <c r="C151" s="9" t="inlineStr">
        <is>
          <t>MTA*NYCT PAYGO NEW YORK NY 09/29 (...0119)</t>
        </is>
      </c>
      <c r="D151" s="9" t="inlineStr">
        <is>
          <t>MTA NYCT Paygo</t>
        </is>
      </c>
      <c r="E151" s="9" t="inlineStr">
        <is>
          <t>Transportation</t>
        </is>
      </c>
      <c r="F151" s="9" t="inlineStr">
        <is>
          <t>Public transit</t>
        </is>
      </c>
      <c r="G151" s="9" t="inlineStr">
        <is>
          <t>Checking</t>
        </is>
      </c>
      <c r="H151" s="9" t="inlineStr">
        <is>
          <t>Debit Card</t>
        </is>
      </c>
      <c r="I151" s="9" t="inlineStr">
        <is>
          <t>Expense</t>
        </is>
      </c>
      <c r="J151" s="3">
        <v>3.00</v>
      </c>
      <c r="K151" s="9" t="inlineStr">
        <is>
          <t>9월 5주차; Chase Secure (...0119); Posted 2026-09-30; Balance shown: $9,258.31</t>
        </is>
      </c>
    </row>
    <row r="152">
      <c r="A152" s="4">
        <v>46295</v>
      </c>
      <c r="B152" s="9">
        <f>IF(A152="","",INT(DAY(A152)/7)+1)</f>
        <v>5</v>
      </c>
      <c r="C152" s="9" t="inlineStr">
        <is>
          <t>MTA*NYCT PAYGO NEW YORK NY 09/29 (...0119)</t>
        </is>
      </c>
      <c r="D152" s="9" t="inlineStr">
        <is>
          <t>MTA NYCT Paygo</t>
        </is>
      </c>
      <c r="E152" s="9" t="inlineStr">
        <is>
          <t>Transportation</t>
        </is>
      </c>
      <c r="F152" s="9" t="inlineStr">
        <is>
          <t>Public transit</t>
        </is>
      </c>
      <c r="G152" s="9" t="inlineStr">
        <is>
          <t>Checking</t>
        </is>
      </c>
      <c r="H152" s="9" t="inlineStr">
        <is>
          <t>Debit Card</t>
        </is>
      </c>
      <c r="I152" s="9" t="inlineStr">
        <is>
          <t>Expense</t>
        </is>
      </c>
      <c r="J152" s="3">
        <v>3.00</v>
      </c>
      <c r="K152" s="9" t="inlineStr">
        <is>
          <t>9월 5주차; Chase Secure (...0119); Posted 2026-09-30; Balance shown: $9,261.31</t>
        </is>
      </c>
    </row>
    <row r="153">
      <c r="A153" s="4">
        <v>46295</v>
      </c>
      <c r="B153" s="9">
        <f>IF(A153="","",INT(DAY(A153)/7)+1)</f>
        <v>5</v>
      </c>
      <c r="C153" s="9" t="inlineStr">
        <is>
          <t>MTA*NYCT PAYGO NEW YORK NY 09/29 (...0119)</t>
        </is>
      </c>
      <c r="D153" s="9" t="inlineStr">
        <is>
          <t>MTA NYCT Paygo</t>
        </is>
      </c>
      <c r="E153" s="9" t="inlineStr">
        <is>
          <t>Transportation</t>
        </is>
      </c>
      <c r="F153" s="9" t="inlineStr">
        <is>
          <t>Public transit</t>
        </is>
      </c>
      <c r="G153" s="9" t="inlineStr">
        <is>
          <t>Checking</t>
        </is>
      </c>
      <c r="H153" s="9" t="inlineStr">
        <is>
          <t>Debit Card</t>
        </is>
      </c>
      <c r="I153" s="9" t="inlineStr">
        <is>
          <t>Expense</t>
        </is>
      </c>
      <c r="J153" s="3">
        <v>3.00</v>
      </c>
      <c r="K153" s="9" t="inlineStr">
        <is>
          <t>9월 5주차; Chase Secure (...0119); Posted 2026-09-30; Balance shown: $9,264.31</t>
        </is>
      </c>
    </row>
    <row r="154">
      <c r="A154" s="4" t="n"/>
      <c r="B154" s="9">
        <f>IF(A154="","",INT(DAY(A154)/7)+1)</f>
      </c>
      <c r="C154" s="9" t="n"/>
      <c r="D154" s="9" t="n"/>
      <c r="E154" s="9" t="n"/>
      <c r="F154" s="9" t="n"/>
      <c r="G154" s="9" t="n"/>
      <c r="H154" s="9" t="n"/>
      <c r="I154" s="9" t="n"/>
      <c r="J154" s="3" t="n"/>
      <c r="K154" s="9" t="n"/>
    </row>
    <row r="155">
      <c r="A155" s="4" t="n"/>
      <c r="B155" s="9">
        <f>IF(A155="","",INT(DAY(A155)/7)+1)</f>
      </c>
      <c r="C155" s="9" t="n"/>
      <c r="D155" s="9" t="n"/>
      <c r="E155" s="9" t="n"/>
      <c r="F155" s="9" t="n"/>
      <c r="G155" s="9" t="n"/>
      <c r="H155" s="9" t="n"/>
      <c r="I155" s="9" t="n"/>
      <c r="J155" s="3" t="n"/>
      <c r="K155" s="9" t="n"/>
    </row>
    <row r="156">
      <c r="A156" s="4" t="n"/>
      <c r="B156" s="9">
        <f>IF(A156="","",INT(DAY(A156)/7)+1)</f>
      </c>
      <c r="C156" s="9" t="n"/>
      <c r="D156" s="9" t="n"/>
      <c r="E156" s="9" t="n"/>
      <c r="F156" s="9" t="n"/>
      <c r="G156" s="9" t="n"/>
      <c r="H156" s="9" t="n"/>
      <c r="I156" s="9" t="n"/>
      <c r="J156" s="3" t="n"/>
      <c r="K156" s="9" t="n"/>
    </row>
    <row r="157">
      <c r="A157" s="4" t="n"/>
      <c r="B157" s="9">
        <f>IF(A157="","",INT(DAY(A157)/7)+1)</f>
      </c>
      <c r="C157" s="9" t="n"/>
      <c r="D157" s="9" t="n"/>
      <c r="E157" s="9" t="n"/>
      <c r="F157" s="9" t="n"/>
      <c r="G157" s="9" t="n"/>
      <c r="H157" s="9" t="n"/>
      <c r="I157" s="9" t="n"/>
      <c r="J157" s="3" t="n"/>
      <c r="K157" s="9" t="n"/>
    </row>
    <row r="158">
      <c r="A158" s="4" t="n"/>
      <c r="B158" s="9">
        <f>IF(A158="","",INT(DAY(A158)/7)+1)</f>
      </c>
      <c r="C158" s="9" t="n"/>
      <c r="D158" s="9" t="n"/>
      <c r="E158" s="9" t="n"/>
      <c r="F158" s="9" t="n"/>
      <c r="G158" s="9" t="n"/>
      <c r="H158" s="9" t="n"/>
      <c r="I158" s="9" t="n"/>
      <c r="J158" s="3" t="n"/>
      <c r="K158" s="9" t="n"/>
    </row>
    <row r="159">
      <c r="A159" s="4" t="n"/>
      <c r="B159" s="9">
        <f>IF(A159="","",INT(DAY(A159)/7)+1)</f>
      </c>
      <c r="C159" s="9" t="n"/>
      <c r="D159" s="9" t="n"/>
      <c r="E159" s="9" t="n"/>
      <c r="F159" s="9" t="n"/>
      <c r="G159" s="9" t="n"/>
      <c r="H159" s="9" t="n"/>
      <c r="I159" s="9" t="n"/>
      <c r="J159" s="3" t="n"/>
      <c r="K159" s="9" t="n"/>
    </row>
    <row r="160">
      <c r="A160" s="4" t="n"/>
      <c r="B160" s="9">
        <f>IF(A160="","",INT(DAY(A160)/7)+1)</f>
      </c>
      <c r="C160" s="9" t="n"/>
      <c r="D160" s="9" t="n"/>
      <c r="E160" s="9" t="n"/>
      <c r="F160" s="9" t="n"/>
      <c r="G160" s="9" t="n"/>
      <c r="H160" s="9" t="n"/>
      <c r="I160" s="9" t="n"/>
      <c r="J160" s="3" t="n"/>
      <c r="K160" s="9" t="n"/>
    </row>
    <row r="161">
      <c r="A161" s="4" t="n"/>
      <c r="B161" s="9">
        <f>IF(A161="","",INT(DAY(A161)/7)+1)</f>
      </c>
      <c r="C161" s="9" t="n"/>
      <c r="D161" s="9" t="n"/>
      <c r="E161" s="9" t="n"/>
      <c r="F161" s="9" t="n"/>
      <c r="G161" s="9" t="n"/>
      <c r="H161" s="9" t="n"/>
      <c r="I161" s="9" t="n"/>
      <c r="J161" s="3" t="n"/>
      <c r="K161" s="9" t="n"/>
    </row>
    <row r="162">
      <c r="A162" s="4" t="n"/>
      <c r="B162" s="9">
        <f>IF(A162="","",INT(DAY(A162)/7)+1)</f>
      </c>
      <c r="C162" s="9" t="n"/>
      <c r="D162" s="9" t="n"/>
      <c r="E162" s="9" t="n"/>
      <c r="F162" s="9" t="n"/>
      <c r="G162" s="9" t="n"/>
      <c r="H162" s="9" t="n"/>
      <c r="I162" s="9" t="n"/>
      <c r="J162" s="3" t="n"/>
      <c r="K162" s="9" t="n"/>
    </row>
    <row r="163">
      <c r="A163" s="4" t="n"/>
      <c r="B163" s="9">
        <f>IF(A163="","",INT(DAY(A163)/7)+1)</f>
      </c>
      <c r="C163" s="9" t="n"/>
      <c r="D163" s="9" t="n"/>
      <c r="E163" s="9" t="n"/>
      <c r="F163" s="9" t="n"/>
      <c r="G163" s="9" t="n"/>
      <c r="H163" s="9" t="n"/>
      <c r="I163" s="9" t="n"/>
      <c r="J163" s="3" t="n"/>
      <c r="K163" s="9" t="n"/>
    </row>
    <row r="164">
      <c r="A164" s="4" t="n"/>
      <c r="B164" s="9">
        <f>IF(A164="","",INT(DAY(A164)/7)+1)</f>
      </c>
      <c r="C164" s="9" t="n"/>
      <c r="D164" s="9" t="n"/>
      <c r="E164" s="9" t="n"/>
      <c r="F164" s="9" t="n"/>
      <c r="G164" s="9" t="n"/>
      <c r="H164" s="9" t="n"/>
      <c r="I164" s="9" t="n"/>
      <c r="J164" s="3" t="n"/>
      <c r="K164" s="9" t="n"/>
    </row>
    <row r="165">
      <c r="A165" s="4" t="n"/>
      <c r="B165" s="9">
        <f>IF(A165="","",INT(DAY(A165)/7)+1)</f>
      </c>
      <c r="C165" s="9" t="n"/>
      <c r="D165" s="9" t="n"/>
      <c r="E165" s="9" t="n"/>
      <c r="F165" s="9" t="n"/>
      <c r="G165" s="9" t="n"/>
      <c r="H165" s="9" t="n"/>
      <c r="I165" s="9" t="n"/>
      <c r="J165" s="3" t="n"/>
      <c r="K165" s="9" t="n"/>
    </row>
    <row r="166">
      <c r="A166" s="4" t="n"/>
      <c r="B166" s="9">
        <f>IF(A166="","",INT(DAY(A166)/7)+1)</f>
      </c>
      <c r="C166" s="9" t="n"/>
      <c r="D166" s="9" t="n"/>
      <c r="E166" s="9" t="n"/>
      <c r="F166" s="9" t="n"/>
      <c r="G166" s="9" t="n"/>
      <c r="H166" s="9" t="n"/>
      <c r="I166" s="9" t="n"/>
      <c r="J166" s="3" t="n"/>
      <c r="K166" s="9" t="n"/>
    </row>
    <row r="167">
      <c r="A167" s="4" t="n"/>
      <c r="B167" s="9">
        <f>IF(A167="","",INT(DAY(A167)/7)+1)</f>
      </c>
      <c r="C167" s="9" t="n"/>
      <c r="D167" s="9" t="n"/>
      <c r="E167" s="9" t="n"/>
      <c r="F167" s="9" t="n"/>
      <c r="G167" s="9" t="n"/>
      <c r="H167" s="9" t="n"/>
      <c r="I167" s="9" t="n"/>
      <c r="J167" s="3" t="n"/>
      <c r="K167" s="9" t="n"/>
    </row>
    <row r="168">
      <c r="A168" s="4" t="n"/>
      <c r="B168" s="9">
        <f>IF(A168="","",INT(DAY(A168)/7)+1)</f>
      </c>
      <c r="C168" s="9" t="n"/>
      <c r="D168" s="9" t="n"/>
      <c r="E168" s="9" t="n"/>
      <c r="F168" s="9" t="n"/>
      <c r="G168" s="9" t="n"/>
      <c r="H168" s="9" t="n"/>
      <c r="I168" s="9" t="n"/>
      <c r="J168" s="3" t="n"/>
      <c r="K168" s="9" t="n"/>
    </row>
    <row r="169">
      <c r="A169" s="4" t="n"/>
      <c r="B169" s="9">
        <f>IF(A169="","",INT(DAY(A169)/7)+1)</f>
      </c>
      <c r="C169" s="9" t="n"/>
      <c r="D169" s="9" t="n"/>
      <c r="E169" s="9" t="n"/>
      <c r="F169" s="9" t="n"/>
      <c r="G169" s="9" t="n"/>
      <c r="H169" s="9" t="n"/>
      <c r="I169" s="9" t="n"/>
      <c r="J169" s="3" t="n"/>
      <c r="K169" s="9" t="n"/>
    </row>
    <row r="170">
      <c r="A170" s="4" t="n"/>
      <c r="B170" s="9">
        <f>IF(A170="","",INT(DAY(A170)/7)+1)</f>
      </c>
      <c r="C170" s="9" t="n"/>
      <c r="D170" s="9" t="n"/>
      <c r="E170" s="9" t="n"/>
      <c r="F170" s="9" t="n"/>
      <c r="G170" s="9" t="n"/>
      <c r="H170" s="9" t="n"/>
      <c r="I170" s="9" t="n"/>
      <c r="J170" s="3" t="n"/>
      <c r="K170" s="9" t="n"/>
    </row>
    <row r="171">
      <c r="A171" s="4" t="n"/>
      <c r="B171" s="9">
        <f>IF(A171="","",INT(DAY(A171)/7)+1)</f>
      </c>
      <c r="C171" s="9" t="n"/>
      <c r="D171" s="9" t="n"/>
      <c r="E171" s="9" t="n"/>
      <c r="F171" s="9" t="n"/>
      <c r="G171" s="9" t="n"/>
      <c r="H171" s="9" t="n"/>
      <c r="I171" s="9" t="n"/>
      <c r="J171" s="3" t="n"/>
      <c r="K171" s="9" t="n"/>
    </row>
    <row r="172">
      <c r="A172" s="4" t="n"/>
      <c r="B172" s="9">
        <f>IF(A172="","",INT(DAY(A172)/7)+1)</f>
      </c>
      <c r="C172" s="9" t="n"/>
      <c r="D172" s="9" t="n"/>
      <c r="E172" s="9" t="n"/>
      <c r="F172" s="9" t="n"/>
      <c r="G172" s="9" t="n"/>
      <c r="H172" s="9" t="n"/>
      <c r="I172" s="9" t="n"/>
      <c r="J172" s="3" t="n"/>
      <c r="K172" s="9" t="n"/>
    </row>
    <row r="173">
      <c r="A173" s="4" t="n"/>
      <c r="B173" s="9">
        <f>IF(A173="","",INT(DAY(A173)/7)+1)</f>
      </c>
      <c r="C173" s="9" t="n"/>
      <c r="D173" s="9" t="n"/>
      <c r="E173" s="9" t="n"/>
      <c r="F173" s="9" t="n"/>
      <c r="G173" s="9" t="n"/>
      <c r="H173" s="9" t="n"/>
      <c r="I173" s="9" t="n"/>
      <c r="J173" s="3" t="n"/>
      <c r="K173" s="9" t="n"/>
    </row>
    <row r="174">
      <c r="A174" s="4" t="n"/>
      <c r="B174" s="9">
        <f>IF(A174="","",INT(DAY(A174)/7)+1)</f>
      </c>
      <c r="C174" s="9" t="n"/>
      <c r="D174" s="9" t="n"/>
      <c r="E174" s="9" t="n"/>
      <c r="F174" s="9" t="n"/>
      <c r="G174" s="9" t="n"/>
      <c r="H174" s="9" t="n"/>
      <c r="I174" s="9" t="n"/>
      <c r="J174" s="3" t="n"/>
      <c r="K174" s="9" t="n"/>
    </row>
    <row r="175">
      <c r="A175" s="4" t="n"/>
      <c r="B175" s="9">
        <f>IF(A175="","",INT(DAY(A175)/7)+1)</f>
      </c>
      <c r="C175" s="9" t="n"/>
      <c r="D175" s="9" t="n"/>
      <c r="E175" s="9" t="n"/>
      <c r="F175" s="9" t="n"/>
      <c r="G175" s="9" t="n"/>
      <c r="H175" s="9" t="n"/>
      <c r="I175" s="9" t="n"/>
      <c r="J175" s="3" t="n"/>
      <c r="K175" s="9" t="n"/>
    </row>
    <row r="176">
      <c r="A176" s="4" t="n"/>
      <c r="B176" s="9">
        <f>IF(A176="","",INT(DAY(A176)/7)+1)</f>
      </c>
      <c r="C176" s="9" t="n"/>
      <c r="D176" s="9" t="n"/>
      <c r="E176" s="9" t="n"/>
      <c r="F176" s="9" t="n"/>
      <c r="G176" s="9" t="n"/>
      <c r="H176" s="9" t="n"/>
      <c r="I176" s="9" t="n"/>
      <c r="J176" s="3" t="n"/>
      <c r="K176" s="9" t="n"/>
    </row>
    <row r="177">
      <c r="A177" s="4" t="n"/>
      <c r="B177" s="9">
        <f>IF(A177="","",INT(DAY(A177)/7)+1)</f>
      </c>
      <c r="C177" s="9" t="n"/>
      <c r="D177" s="9" t="n"/>
      <c r="E177" s="9" t="n"/>
      <c r="F177" s="9" t="n"/>
      <c r="G177" s="9" t="n"/>
      <c r="H177" s="9" t="n"/>
      <c r="I177" s="9" t="n"/>
      <c r="J177" s="3" t="n"/>
      <c r="K177" s="9" t="n"/>
    </row>
    <row r="178">
      <c r="A178" s="4" t="n"/>
      <c r="B178" s="9">
        <f>IF(A178="","",INT(DAY(A178)/7)+1)</f>
      </c>
      <c r="C178" s="9" t="n"/>
      <c r="D178" s="9" t="n"/>
      <c r="E178" s="9" t="n"/>
      <c r="F178" s="9" t="n"/>
      <c r="G178" s="9" t="n"/>
      <c r="H178" s="9" t="n"/>
      <c r="I178" s="9" t="n"/>
      <c r="J178" s="3" t="n"/>
      <c r="K178" s="9" t="n"/>
    </row>
    <row r="179">
      <c r="A179" s="4" t="n"/>
      <c r="B179" s="9">
        <f>IF(A179="","",INT(DAY(A179)/7)+1)</f>
      </c>
      <c r="C179" s="9" t="n"/>
      <c r="D179" s="9" t="n"/>
      <c r="E179" s="9" t="n"/>
      <c r="F179" s="9" t="n"/>
      <c r="G179" s="9" t="n"/>
      <c r="H179" s="9" t="n"/>
      <c r="I179" s="9" t="n"/>
      <c r="J179" s="3" t="n"/>
      <c r="K179" s="9" t="n"/>
    </row>
    <row r="180">
      <c r="A180" s="4" t="n"/>
      <c r="B180" s="9">
        <f>IF(A180="","",INT(DAY(A180)/7)+1)</f>
      </c>
      <c r="C180" s="9" t="n"/>
      <c r="D180" s="9" t="n"/>
      <c r="E180" s="9" t="n"/>
      <c r="F180" s="9" t="n"/>
      <c r="G180" s="9" t="n"/>
      <c r="H180" s="9" t="n"/>
      <c r="I180" s="9" t="n"/>
      <c r="J180" s="3" t="n"/>
      <c r="K180" s="9" t="n"/>
    </row>
    <row r="181">
      <c r="A181" s="4" t="n"/>
      <c r="B181" s="9">
        <f>IF(A181="","",INT(DAY(A181)/7)+1)</f>
      </c>
      <c r="C181" s="9" t="n"/>
      <c r="D181" s="9" t="n"/>
      <c r="E181" s="9" t="n"/>
      <c r="F181" s="9" t="n"/>
      <c r="G181" s="9" t="n"/>
      <c r="H181" s="9" t="n"/>
      <c r="I181" s="9" t="n"/>
      <c r="J181" s="3" t="n"/>
      <c r="K181" s="9" t="n"/>
    </row>
    <row r="182">
      <c r="A182" s="4" t="n"/>
      <c r="B182" s="9">
        <f>IF(A182="","",INT(DAY(A182)/7)+1)</f>
      </c>
      <c r="C182" s="9" t="n"/>
      <c r="D182" s="9" t="n"/>
      <c r="E182" s="9" t="n"/>
      <c r="F182" s="9" t="n"/>
      <c r="G182" s="9" t="n"/>
      <c r="H182" s="9" t="n"/>
      <c r="I182" s="9" t="n"/>
      <c r="J182" s="3" t="n"/>
      <c r="K182" s="9" t="n"/>
    </row>
    <row r="183">
      <c r="A183" s="4" t="n"/>
      <c r="B183" s="9">
        <f>IF(A183="","",INT(DAY(A183)/7)+1)</f>
      </c>
      <c r="C183" s="9" t="n"/>
      <c r="D183" s="9" t="n"/>
      <c r="E183" s="9" t="n"/>
      <c r="F183" s="9" t="n"/>
      <c r="G183" s="9" t="n"/>
      <c r="H183" s="9" t="n"/>
      <c r="I183" s="9" t="n"/>
      <c r="J183" s="3" t="n"/>
      <c r="K183" s="9" t="n"/>
    </row>
    <row r="184">
      <c r="A184" s="4" t="n"/>
      <c r="B184" s="9">
        <f>IF(A184="","",INT(DAY(A184)/7)+1)</f>
      </c>
      <c r="C184" s="9" t="n"/>
      <c r="D184" s="9" t="n"/>
      <c r="E184" s="9" t="n"/>
      <c r="F184" s="9" t="n"/>
      <c r="G184" s="9" t="n"/>
      <c r="H184" s="9" t="n"/>
      <c r="I184" s="9" t="n"/>
      <c r="J184" s="3" t="n"/>
      <c r="K184" s="9" t="n"/>
    </row>
    <row r="185">
      <c r="A185" s="4" t="n"/>
      <c r="B185" s="9">
        <f>IF(A185="","",INT(DAY(A185)/7)+1)</f>
      </c>
      <c r="C185" s="9" t="n"/>
      <c r="D185" s="9" t="n"/>
      <c r="E185" s="9" t="n"/>
      <c r="F185" s="9" t="n"/>
      <c r="G185" s="9" t="n"/>
      <c r="H185" s="9" t="n"/>
      <c r="I185" s="9" t="n"/>
      <c r="J185" s="3" t="n"/>
      <c r="K185" s="9" t="n"/>
    </row>
    <row r="186">
      <c r="A186" s="4" t="n"/>
      <c r="B186" s="9">
        <f>IF(A186="","",INT(DAY(A186)/7)+1)</f>
      </c>
      <c r="C186" s="9" t="n"/>
      <c r="D186" s="9" t="n"/>
      <c r="E186" s="9" t="n"/>
      <c r="F186" s="9" t="n"/>
      <c r="G186" s="9" t="n"/>
      <c r="H186" s="9" t="n"/>
      <c r="I186" s="9" t="n"/>
      <c r="J186" s="3" t="n"/>
      <c r="K186" s="9" t="n"/>
    </row>
    <row r="187">
      <c r="A187" s="4" t="n"/>
      <c r="B187" s="9">
        <f>IF(A187="","",INT(DAY(A187)/7)+1)</f>
      </c>
      <c r="C187" s="9" t="n"/>
      <c r="D187" s="9" t="n"/>
      <c r="E187" s="9" t="n"/>
      <c r="F187" s="9" t="n"/>
      <c r="G187" s="9" t="n"/>
      <c r="H187" s="9" t="n"/>
      <c r="I187" s="9" t="n"/>
      <c r="J187" s="3" t="n"/>
      <c r="K187" s="9" t="n"/>
    </row>
    <row r="188">
      <c r="A188" s="4" t="n"/>
      <c r="B188" s="9">
        <f>IF(A188="","",INT(DAY(A188)/7)+1)</f>
      </c>
      <c r="C188" s="9" t="n"/>
      <c r="D188" s="9" t="n"/>
      <c r="E188" s="9" t="n"/>
      <c r="F188" s="9" t="n"/>
      <c r="G188" s="9" t="n"/>
      <c r="H188" s="9" t="n"/>
      <c r="I188" s="9" t="n"/>
      <c r="J188" s="3" t="n"/>
      <c r="K188" s="9" t="n"/>
    </row>
    <row r="189">
      <c r="A189" s="4" t="n"/>
      <c r="B189" s="9">
        <f>IF(A189="","",INT(DAY(A189)/7)+1)</f>
      </c>
      <c r="C189" s="9" t="n"/>
      <c r="D189" s="9" t="n"/>
      <c r="E189" s="9" t="n"/>
      <c r="F189" s="9" t="n"/>
      <c r="G189" s="9" t="n"/>
      <c r="H189" s="9" t="n"/>
      <c r="I189" s="9" t="n"/>
      <c r="J189" s="3" t="n"/>
      <c r="K189" s="9" t="n"/>
    </row>
    <row r="190">
      <c r="A190" s="4" t="n"/>
      <c r="B190" s="9">
        <f>IF(A190="","",INT(DAY(A190)/7)+1)</f>
      </c>
      <c r="C190" s="9" t="n"/>
      <c r="D190" s="9" t="n"/>
      <c r="E190" s="9" t="n"/>
      <c r="F190" s="9" t="n"/>
      <c r="G190" s="9" t="n"/>
      <c r="H190" s="9" t="n"/>
      <c r="I190" s="9" t="n"/>
      <c r="J190" s="3" t="n"/>
      <c r="K190" s="9" t="n"/>
    </row>
    <row r="191">
      <c r="A191" s="4" t="n"/>
      <c r="B191" s="9">
        <f>IF(A191="","",INT(DAY(A191)/7)+1)</f>
      </c>
      <c r="C191" s="9" t="n"/>
      <c r="D191" s="9" t="n"/>
      <c r="E191" s="9" t="n"/>
      <c r="F191" s="9" t="n"/>
      <c r="G191" s="9" t="n"/>
      <c r="H191" s="9" t="n"/>
      <c r="I191" s="9" t="n"/>
      <c r="J191" s="3" t="n"/>
      <c r="K191" s="9" t="n"/>
    </row>
    <row r="192">
      <c r="A192" s="4" t="n"/>
      <c r="B192" s="9">
        <f>IF(A192="","",INT(DAY(A192)/7)+1)</f>
      </c>
      <c r="C192" s="9" t="n"/>
      <c r="D192" s="9" t="n"/>
      <c r="E192" s="9" t="n"/>
      <c r="F192" s="9" t="n"/>
      <c r="G192" s="9" t="n"/>
      <c r="H192" s="9" t="n"/>
      <c r="I192" s="9" t="n"/>
      <c r="J192" s="3" t="n"/>
      <c r="K192" s="9" t="n"/>
    </row>
    <row r="193">
      <c r="A193" s="4" t="n"/>
      <c r="B193" s="9">
        <f>IF(A193="","",INT(DAY(A193)/7)+1)</f>
      </c>
      <c r="C193" s="9" t="n"/>
      <c r="D193" s="9" t="n"/>
      <c r="E193" s="9" t="n"/>
      <c r="F193" s="9" t="n"/>
      <c r="G193" s="9" t="n"/>
      <c r="H193" s="9" t="n"/>
      <c r="I193" s="9" t="n"/>
      <c r="J193" s="3" t="n"/>
      <c r="K193" s="9" t="n"/>
    </row>
    <row r="194">
      <c r="A194" s="4" t="n"/>
      <c r="B194" s="9">
        <f>IF(A194="","",INT(DAY(A194)/7)+1)</f>
      </c>
      <c r="C194" s="9" t="n"/>
      <c r="D194" s="9" t="n"/>
      <c r="E194" s="9" t="n"/>
      <c r="F194" s="9" t="n"/>
      <c r="G194" s="9" t="n"/>
      <c r="H194" s="9" t="n"/>
      <c r="I194" s="9" t="n"/>
      <c r="J194" s="3" t="n"/>
      <c r="K194" s="9" t="n"/>
    </row>
    <row r="195">
      <c r="A195" s="4" t="n"/>
      <c r="B195" s="9">
        <f>IF(A195="","",INT(DAY(A195)/7)+1)</f>
      </c>
      <c r="C195" s="9" t="n"/>
      <c r="D195" s="9" t="n"/>
      <c r="E195" s="9" t="n"/>
      <c r="F195" s="9" t="n"/>
      <c r="G195" s="9" t="n"/>
      <c r="H195" s="9" t="n"/>
      <c r="I195" s="9" t="n"/>
      <c r="J195" s="3" t="n"/>
      <c r="K195" s="9" t="n"/>
    </row>
    <row r="196">
      <c r="A196" s="4" t="n"/>
      <c r="B196" s="9">
        <f>IF(A196="","",INT(DAY(A196)/7)+1)</f>
      </c>
      <c r="C196" s="9" t="n"/>
      <c r="D196" s="9" t="n"/>
      <c r="E196" s="9" t="n"/>
      <c r="F196" s="9" t="n"/>
      <c r="G196" s="9" t="n"/>
      <c r="H196" s="9" t="n"/>
      <c r="I196" s="9" t="n"/>
      <c r="J196" s="3" t="n"/>
      <c r="K196" s="9" t="n"/>
    </row>
    <row r="197">
      <c r="A197" s="4" t="n"/>
      <c r="B197" s="9">
        <f>IF(A197="","",INT(DAY(A197)/7)+1)</f>
      </c>
      <c r="C197" s="9" t="n"/>
      <c r="D197" s="9" t="n"/>
      <c r="E197" s="9" t="n"/>
      <c r="F197" s="9" t="n"/>
      <c r="G197" s="9" t="n"/>
      <c r="H197" s="9" t="n"/>
      <c r="I197" s="9" t="n"/>
      <c r="J197" s="3" t="n"/>
      <c r="K197" s="9" t="n"/>
    </row>
    <row r="198">
      <c r="A198" s="4" t="n"/>
      <c r="B198" s="9">
        <f>IF(A198="","",INT(DAY(A198)/7)+1)</f>
      </c>
      <c r="C198" s="9" t="n"/>
      <c r="D198" s="9" t="n"/>
      <c r="E198" s="9" t="n"/>
      <c r="F198" s="9" t="n"/>
      <c r="G198" s="9" t="n"/>
      <c r="H198" s="9" t="n"/>
      <c r="I198" s="9" t="n"/>
      <c r="J198" s="3" t="n"/>
      <c r="K198" s="9" t="n"/>
    </row>
    <row r="199">
      <c r="A199" s="4" t="n"/>
      <c r="B199" s="9">
        <f>IF(A199="","",INT(DAY(A199)/7)+1)</f>
      </c>
      <c r="C199" s="9" t="n"/>
      <c r="D199" s="9" t="n"/>
      <c r="E199" s="9" t="n"/>
      <c r="F199" s="9" t="n"/>
      <c r="G199" s="9" t="n"/>
      <c r="H199" s="9" t="n"/>
      <c r="I199" s="9" t="n"/>
      <c r="J199" s="3" t="n"/>
      <c r="K199" s="9" t="n"/>
    </row>
    <row r="200">
      <c r="A200" s="4" t="n"/>
      <c r="B200" s="9">
        <f>IF(A200="","",INT(DAY(A200)/7)+1)</f>
      </c>
      <c r="C200" s="9" t="n"/>
      <c r="D200" s="9" t="n"/>
      <c r="E200" s="9" t="n"/>
      <c r="F200" s="9" t="n"/>
      <c r="G200" s="9" t="n"/>
      <c r="H200" s="9" t="n"/>
      <c r="I200" s="9" t="n"/>
      <c r="J200" s="3" t="n"/>
      <c r="K200" s="9" t="n"/>
    </row>
    <row r="201">
      <c r="A201" s="4" t="n"/>
      <c r="B201" s="9">
        <f>IF(A201="","",INT(DAY(A201)/7)+1)</f>
      </c>
      <c r="C201" s="9" t="n"/>
      <c r="D201" s="9" t="n"/>
      <c r="E201" s="9" t="n"/>
      <c r="F201" s="9" t="n"/>
      <c r="G201" s="9" t="n"/>
      <c r="H201" s="9" t="n"/>
      <c r="I201" s="9" t="n"/>
      <c r="J201" s="3" t="n"/>
      <c r="K201" s="9" t="n"/>
    </row>
    <row r="202">
      <c r="A202" s="4" t="n"/>
      <c r="B202" s="9">
        <f>IF(A202="","",INT(DAY(A202)/7)+1)</f>
      </c>
      <c r="C202" s="9" t="n"/>
      <c r="D202" s="9" t="n"/>
      <c r="E202" s="9" t="n"/>
      <c r="F202" s="9" t="n"/>
      <c r="G202" s="9" t="n"/>
      <c r="H202" s="9" t="n"/>
      <c r="I202" s="9" t="n"/>
      <c r="J202" s="3" t="n"/>
      <c r="K202" s="9" t="n"/>
    </row>
    <row r="203">
      <c r="A203" s="4" t="n"/>
      <c r="B203" s="9">
        <f>IF(A203="","",INT(DAY(A203)/7)+1)</f>
      </c>
      <c r="C203" s="9" t="n"/>
      <c r="D203" s="9" t="n"/>
      <c r="E203" s="9" t="n"/>
      <c r="F203" s="9" t="n"/>
      <c r="G203" s="9" t="n"/>
      <c r="H203" s="9" t="n"/>
      <c r="I203" s="9" t="n"/>
      <c r="J203" s="3" t="n"/>
      <c r="K203" s="9" t="n"/>
    </row>
    <row r="204">
      <c r="A204" s="4" t="n"/>
      <c r="B204" s="9">
        <f>IF(A204="","",INT(DAY(A204)/7)+1)</f>
      </c>
      <c r="C204" s="9" t="n"/>
      <c r="D204" s="9" t="n"/>
      <c r="E204" s="9" t="n"/>
      <c r="F204" s="9" t="n"/>
      <c r="G204" s="9" t="n"/>
      <c r="H204" s="9" t="n"/>
      <c r="I204" s="9" t="n"/>
      <c r="J204" s="3" t="n"/>
      <c r="K204" s="9" t="n"/>
    </row>
    <row r="205">
      <c r="A205" s="4" t="n"/>
      <c r="B205" s="9">
        <f>IF(A205="","",INT(DAY(A205)/7)+1)</f>
      </c>
      <c r="C205" s="9" t="n"/>
      <c r="D205" s="9" t="n"/>
      <c r="E205" s="9" t="n"/>
      <c r="F205" s="9" t="n"/>
      <c r="G205" s="9" t="n"/>
      <c r="H205" s="9" t="n"/>
      <c r="I205" s="9" t="n"/>
      <c r="J205" s="3" t="n"/>
      <c r="K205" s="9" t="n"/>
    </row>
    <row r="206">
      <c r="A206" s="4" t="n"/>
      <c r="B206" s="9">
        <f>IF(A206="","",INT(DAY(A206)/7)+1)</f>
      </c>
      <c r="C206" s="9" t="n"/>
      <c r="D206" s="9" t="n"/>
      <c r="E206" s="9" t="n"/>
      <c r="F206" s="9" t="n"/>
      <c r="G206" s="9" t="n"/>
      <c r="H206" s="9" t="n"/>
      <c r="I206" s="9" t="n"/>
      <c r="J206" s="3" t="n"/>
      <c r="K206" s="9" t="n"/>
    </row>
    <row r="207">
      <c r="A207" s="4" t="n"/>
      <c r="B207" s="9">
        <f>IF(A207="","",INT(DAY(A207)/7)+1)</f>
      </c>
      <c r="C207" s="9" t="n"/>
      <c r="D207" s="9" t="n"/>
      <c r="E207" s="9" t="n"/>
      <c r="F207" s="9" t="n"/>
      <c r="G207" s="9" t="n"/>
      <c r="H207" s="9" t="n"/>
      <c r="I207" s="9" t="n"/>
      <c r="J207" s="3" t="n"/>
      <c r="K207" s="9" t="n"/>
    </row>
    <row r="208">
      <c r="A208" s="4" t="n"/>
      <c r="B208" s="9">
        <f>IF(A208="","",INT(DAY(A208)/7)+1)</f>
      </c>
      <c r="C208" s="9" t="n"/>
      <c r="D208" s="9" t="n"/>
      <c r="E208" s="9" t="n"/>
      <c r="F208" s="9" t="n"/>
      <c r="G208" s="9" t="n"/>
      <c r="H208" s="9" t="n"/>
      <c r="I208" s="9" t="n"/>
      <c r="J208" s="3" t="n"/>
      <c r="K208" s="9" t="n"/>
    </row>
    <row r="209">
      <c r="A209" s="4" t="n"/>
      <c r="B209" s="9">
        <f>IF(A209="","",INT(DAY(A209)/7)+1)</f>
      </c>
      <c r="C209" s="9" t="n"/>
      <c r="D209" s="9" t="n"/>
      <c r="E209" s="9" t="n"/>
      <c r="F209" s="9" t="n"/>
      <c r="G209" s="9" t="n"/>
      <c r="H209" s="9" t="n"/>
      <c r="I209" s="9" t="n"/>
      <c r="J209" s="3" t="n"/>
      <c r="K209" s="9" t="n"/>
    </row>
    <row r="210">
      <c r="A210" s="4" t="n"/>
      <c r="B210" s="9">
        <f>IF(A210="","",INT(DAY(A210)/7)+1)</f>
      </c>
      <c r="C210" s="9" t="n"/>
      <c r="D210" s="9" t="n"/>
      <c r="E210" s="9" t="n"/>
      <c r="F210" s="9" t="n"/>
      <c r="G210" s="9" t="n"/>
      <c r="H210" s="9" t="n"/>
      <c r="I210" s="9" t="n"/>
      <c r="J210" s="3" t="n"/>
      <c r="K210" s="9" t="n"/>
    </row>
    <row r="211">
      <c r="A211" s="4" t="n"/>
      <c r="B211" s="9">
        <f>IF(A211="","",INT(DAY(A211)/7)+1)</f>
      </c>
      <c r="C211" s="9" t="n"/>
      <c r="D211" s="9" t="n"/>
      <c r="E211" s="9" t="n"/>
      <c r="F211" s="9" t="n"/>
      <c r="G211" s="9" t="n"/>
      <c r="H211" s="9" t="n"/>
      <c r="I211" s="9" t="n"/>
      <c r="J211" s="3" t="n"/>
      <c r="K211" s="9" t="n"/>
    </row>
    <row r="212">
      <c r="A212" s="4" t="n"/>
      <c r="B212" s="9">
        <f>IF(A212="","",INT(DAY(A212)/7)+1)</f>
      </c>
      <c r="C212" s="9" t="n"/>
      <c r="D212" s="9" t="n"/>
      <c r="E212" s="9" t="n"/>
      <c r="F212" s="9" t="n"/>
      <c r="G212" s="9" t="n"/>
      <c r="H212" s="9" t="n"/>
      <c r="I212" s="9" t="n"/>
      <c r="J212" s="3" t="n"/>
      <c r="K212" s="9" t="n"/>
    </row>
    <row r="213">
      <c r="A213" s="4" t="n"/>
      <c r="B213" s="9">
        <f>IF(A213="","",INT(DAY(A213)/7)+1)</f>
      </c>
      <c r="C213" s="9" t="n"/>
      <c r="D213" s="9" t="n"/>
      <c r="E213" s="9" t="n"/>
      <c r="F213" s="9" t="n"/>
      <c r="G213" s="9" t="n"/>
      <c r="H213" s="9" t="n"/>
      <c r="I213" s="9" t="n"/>
      <c r="J213" s="3" t="n"/>
      <c r="K213" s="9" t="n"/>
    </row>
    <row r="214">
      <c r="A214" s="4" t="n"/>
      <c r="B214" s="9">
        <f>IF(A214="","",INT(DAY(A214)/7)+1)</f>
      </c>
      <c r="C214" s="9" t="n"/>
      <c r="D214" s="9" t="n"/>
      <c r="E214" s="9" t="n"/>
      <c r="F214" s="9" t="n"/>
      <c r="G214" s="9" t="n"/>
      <c r="H214" s="9" t="n"/>
      <c r="I214" s="9" t="n"/>
      <c r="J214" s="3" t="n"/>
      <c r="K214" s="9" t="n"/>
    </row>
    <row r="215">
      <c r="A215" s="4" t="n"/>
      <c r="B215" s="9">
        <f>IF(A215="","",INT(DAY(A215)/7)+1)</f>
      </c>
      <c r="C215" s="9" t="n"/>
      <c r="D215" s="9" t="n"/>
      <c r="E215" s="9" t="n"/>
      <c r="F215" s="9" t="n"/>
      <c r="G215" s="9" t="n"/>
      <c r="H215" s="9" t="n"/>
      <c r="I215" s="9" t="n"/>
      <c r="J215" s="3" t="n"/>
      <c r="K215" s="9" t="n"/>
    </row>
    <row r="216">
      <c r="A216" s="4" t="n"/>
      <c r="B216" s="9">
        <f>IF(A216="","",INT(DAY(A216)/7)+1)</f>
      </c>
      <c r="C216" s="9" t="n"/>
      <c r="D216" s="9" t="n"/>
      <c r="E216" s="9" t="n"/>
      <c r="F216" s="9" t="n"/>
      <c r="G216" s="9" t="n"/>
      <c r="H216" s="9" t="n"/>
      <c r="I216" s="9" t="n"/>
      <c r="J216" s="3" t="n"/>
      <c r="K216" s="9" t="n"/>
    </row>
    <row r="217">
      <c r="A217" s="4" t="n"/>
      <c r="B217" s="9">
        <f>IF(A217="","",INT(DAY(A217)/7)+1)</f>
      </c>
      <c r="C217" s="9" t="n"/>
      <c r="D217" s="9" t="n"/>
      <c r="E217" s="9" t="n"/>
      <c r="F217" s="9" t="n"/>
      <c r="G217" s="9" t="n"/>
      <c r="H217" s="9" t="n"/>
      <c r="I217" s="9" t="n"/>
      <c r="J217" s="3" t="n"/>
      <c r="K217" s="9" t="n"/>
    </row>
    <row r="218">
      <c r="A218" s="4" t="n"/>
      <c r="B218" s="9">
        <f>IF(A218="","",INT(DAY(A218)/7)+1)</f>
      </c>
      <c r="C218" s="9" t="n"/>
      <c r="D218" s="9" t="n"/>
      <c r="E218" s="9" t="n"/>
      <c r="F218" s="9" t="n"/>
      <c r="G218" s="9" t="n"/>
      <c r="H218" s="9" t="n"/>
      <c r="I218" s="9" t="n"/>
      <c r="J218" s="3" t="n"/>
      <c r="K218" s="9" t="n"/>
    </row>
    <row r="219">
      <c r="A219" s="4" t="n"/>
      <c r="B219" s="9">
        <f>IF(A219="","",INT(DAY(A219)/7)+1)</f>
      </c>
      <c r="C219" s="9" t="n"/>
      <c r="D219" s="9" t="n"/>
      <c r="E219" s="9" t="n"/>
      <c r="F219" s="9" t="n"/>
      <c r="G219" s="9" t="n"/>
      <c r="H219" s="9" t="n"/>
      <c r="I219" s="9" t="n"/>
      <c r="J219" s="3" t="n"/>
      <c r="K219" s="9" t="n"/>
    </row>
    <row r="220">
      <c r="A220" s="4" t="n"/>
      <c r="B220" s="9">
        <f>IF(A220="","",INT(DAY(A220)/7)+1)</f>
      </c>
      <c r="C220" s="9" t="n"/>
      <c r="D220" s="9" t="n"/>
      <c r="E220" s="9" t="n"/>
      <c r="F220" s="9" t="n"/>
      <c r="G220" s="9" t="n"/>
      <c r="H220" s="9" t="n"/>
      <c r="I220" s="9" t="n"/>
      <c r="J220" s="3" t="n"/>
      <c r="K220" s="9" t="n"/>
    </row>
    <row r="221">
      <c r="A221" s="4" t="n"/>
      <c r="B221" s="9">
        <f>IF(A221="","",INT(DAY(A221)/7)+1)</f>
      </c>
      <c r="C221" s="9" t="n"/>
      <c r="D221" s="9" t="n"/>
      <c r="E221" s="9" t="n"/>
      <c r="F221" s="9" t="n"/>
      <c r="G221" s="9" t="n"/>
      <c r="H221" s="9" t="n"/>
      <c r="I221" s="9" t="n"/>
      <c r="J221" s="3" t="n"/>
      <c r="K221" s="9" t="n"/>
    </row>
    <row r="222">
      <c r="A222" s="4" t="n"/>
      <c r="B222" s="9">
        <f>IF(A222="","",INT(DAY(A222)/7)+1)</f>
      </c>
      <c r="C222" s="9" t="n"/>
      <c r="D222" s="9" t="n"/>
      <c r="E222" s="9" t="n"/>
      <c r="F222" s="9" t="n"/>
      <c r="G222" s="9" t="n"/>
      <c r="H222" s="9" t="n"/>
      <c r="I222" s="9" t="n"/>
      <c r="J222" s="3" t="n"/>
      <c r="K222" s="9" t="n"/>
    </row>
    <row r="223">
      <c r="A223" s="4" t="n"/>
      <c r="B223" s="9">
        <f>IF(A223="","",INT(DAY(A223)/7)+1)</f>
      </c>
      <c r="C223" s="9" t="n"/>
      <c r="D223" s="9" t="n"/>
      <c r="E223" s="9" t="n"/>
      <c r="F223" s="9" t="n"/>
      <c r="G223" s="9" t="n"/>
      <c r="H223" s="9" t="n"/>
      <c r="I223" s="9" t="n"/>
      <c r="J223" s="3" t="n"/>
      <c r="K223" s="9" t="n"/>
    </row>
    <row r="224">
      <c r="A224" s="4" t="n"/>
      <c r="B224" s="9">
        <f>IF(A224="","",INT(DAY(A224)/7)+1)</f>
      </c>
      <c r="C224" s="9" t="n"/>
      <c r="D224" s="9" t="n"/>
      <c r="E224" s="9" t="n"/>
      <c r="F224" s="9" t="n"/>
      <c r="G224" s="9" t="n"/>
      <c r="H224" s="9" t="n"/>
      <c r="I224" s="9" t="n"/>
      <c r="J224" s="3" t="n"/>
      <c r="K224" s="9" t="n"/>
    </row>
    <row r="225">
      <c r="A225" s="4" t="n"/>
      <c r="B225" s="9">
        <f>IF(A225="","",INT(DAY(A225)/7)+1)</f>
      </c>
      <c r="C225" s="9" t="n"/>
      <c r="D225" s="9" t="n"/>
      <c r="E225" s="9" t="n"/>
      <c r="F225" s="9" t="n"/>
      <c r="G225" s="9" t="n"/>
      <c r="H225" s="9" t="n"/>
      <c r="I225" s="9" t="n"/>
      <c r="J225" s="3" t="n"/>
      <c r="K225" s="9" t="n"/>
    </row>
    <row r="226">
      <c r="A226" s="4" t="n"/>
      <c r="B226" s="9">
        <f>IF(A226="","",INT(DAY(A226)/7)+1)</f>
      </c>
      <c r="C226" s="9" t="n"/>
      <c r="D226" s="9" t="n"/>
      <c r="E226" s="9" t="n"/>
      <c r="F226" s="9" t="n"/>
      <c r="G226" s="9" t="n"/>
      <c r="H226" s="9" t="n"/>
      <c r="I226" s="9" t="n"/>
      <c r="J226" s="3" t="n"/>
      <c r="K226" s="9" t="n"/>
    </row>
    <row r="227">
      <c r="A227" s="4" t="n"/>
      <c r="B227" s="9">
        <f>IF(A227="","",INT(DAY(A227)/7)+1)</f>
      </c>
      <c r="C227" s="9" t="n"/>
      <c r="D227" s="9" t="n"/>
      <c r="E227" s="9" t="n"/>
      <c r="F227" s="9" t="n"/>
      <c r="G227" s="9" t="n"/>
      <c r="H227" s="9" t="n"/>
      <c r="I227" s="9" t="n"/>
      <c r="J227" s="3" t="n"/>
      <c r="K227" s="9" t="n"/>
    </row>
    <row r="228">
      <c r="A228" s="4" t="n"/>
      <c r="B228" s="9">
        <f>IF(A228="","",INT(DAY(A228)/7)+1)</f>
      </c>
      <c r="C228" s="9" t="n"/>
      <c r="D228" s="9" t="n"/>
      <c r="E228" s="9" t="n"/>
      <c r="F228" s="9" t="n"/>
      <c r="G228" s="9" t="n"/>
      <c r="H228" s="9" t="n"/>
      <c r="I228" s="9" t="n"/>
      <c r="J228" s="3" t="n"/>
      <c r="K228" s="9" t="n"/>
    </row>
    <row r="229">
      <c r="A229" s="4" t="n"/>
      <c r="B229" s="9">
        <f>IF(A229="","",INT(DAY(A229)/7)+1)</f>
      </c>
      <c r="C229" s="9" t="n"/>
      <c r="D229" s="9" t="n"/>
      <c r="E229" s="9" t="n"/>
      <c r="F229" s="9" t="n"/>
      <c r="G229" s="9" t="n"/>
      <c r="H229" s="9" t="n"/>
      <c r="I229" s="9" t="n"/>
      <c r="J229" s="3" t="n"/>
      <c r="K229" s="9" t="n"/>
    </row>
    <row r="230">
      <c r="A230" s="4" t="n"/>
      <c r="B230" s="9">
        <f>IF(A230="","",INT(DAY(A230)/7)+1)</f>
      </c>
      <c r="C230" s="9" t="n"/>
      <c r="D230" s="9" t="n"/>
      <c r="E230" s="9" t="n"/>
      <c r="F230" s="9" t="n"/>
      <c r="G230" s="9" t="n"/>
      <c r="H230" s="9" t="n"/>
      <c r="I230" s="9" t="n"/>
      <c r="J230" s="3" t="n"/>
      <c r="K230" s="9" t="n"/>
    </row>
    <row r="231">
      <c r="A231" s="4" t="n"/>
      <c r="B231" s="9">
        <f>IF(A231="","",INT(DAY(A231)/7)+1)</f>
      </c>
      <c r="C231" s="9" t="n"/>
      <c r="D231" s="9" t="n"/>
      <c r="E231" s="9" t="n"/>
      <c r="F231" s="9" t="n"/>
      <c r="G231" s="9" t="n"/>
      <c r="H231" s="9" t="n"/>
      <c r="I231" s="9" t="n"/>
      <c r="J231" s="3" t="n"/>
      <c r="K231" s="9" t="n"/>
    </row>
    <row r="232">
      <c r="A232" s="4" t="n"/>
      <c r="B232" s="9">
        <f>IF(A232="","",INT(DAY(A232)/7)+1)</f>
      </c>
      <c r="C232" s="9" t="n"/>
      <c r="D232" s="9" t="n"/>
      <c r="E232" s="9" t="n"/>
      <c r="F232" s="9" t="n"/>
      <c r="G232" s="9" t="n"/>
      <c r="H232" s="9" t="n"/>
      <c r="I232" s="9" t="n"/>
      <c r="J232" s="3" t="n"/>
      <c r="K232" s="9" t="n"/>
    </row>
    <row r="233">
      <c r="A233" s="4" t="n"/>
      <c r="B233" s="9">
        <f>IF(A233="","",INT(DAY(A233)/7)+1)</f>
      </c>
      <c r="C233" s="9" t="n"/>
      <c r="D233" s="9" t="n"/>
      <c r="E233" s="9" t="n"/>
      <c r="F233" s="9" t="n"/>
      <c r="G233" s="9" t="n"/>
      <c r="H233" s="9" t="n"/>
      <c r="I233" s="9" t="n"/>
      <c r="J233" s="3" t="n"/>
      <c r="K233" s="9" t="n"/>
    </row>
    <row r="234">
      <c r="A234" s="4" t="n"/>
      <c r="B234" s="9">
        <f>IF(A234="","",INT(DAY(A234)/7)+1)</f>
      </c>
      <c r="C234" s="9" t="n"/>
      <c r="D234" s="9" t="n"/>
      <c r="E234" s="9" t="n"/>
      <c r="F234" s="9" t="n"/>
      <c r="G234" s="9" t="n"/>
      <c r="H234" s="9" t="n"/>
      <c r="I234" s="9" t="n"/>
      <c r="J234" s="3" t="n"/>
      <c r="K234" s="9" t="n"/>
    </row>
    <row r="235">
      <c r="A235" s="4" t="n"/>
      <c r="B235" s="9">
        <f>IF(A235="","",INT(DAY(A235)/7)+1)</f>
      </c>
      <c r="C235" s="9" t="n"/>
      <c r="D235" s="9" t="n"/>
      <c r="E235" s="9" t="n"/>
      <c r="F235" s="9" t="n"/>
      <c r="G235" s="9" t="n"/>
      <c r="H235" s="9" t="n"/>
      <c r="I235" s="9" t="n"/>
      <c r="J235" s="3" t="n"/>
      <c r="K235" s="9" t="n"/>
    </row>
    <row r="236">
      <c r="A236" s="4" t="n"/>
      <c r="B236" s="9">
        <f>IF(A236="","",INT(DAY(A236)/7)+1)</f>
      </c>
      <c r="C236" s="9" t="n"/>
      <c r="D236" s="9" t="n"/>
      <c r="E236" s="9" t="n"/>
      <c r="F236" s="9" t="n"/>
      <c r="G236" s="9" t="n"/>
      <c r="H236" s="9" t="n"/>
      <c r="I236" s="9" t="n"/>
      <c r="J236" s="3" t="n"/>
      <c r="K236" s="9" t="n"/>
    </row>
    <row r="237">
      <c r="A237" s="4" t="n"/>
      <c r="B237" s="9">
        <f>IF(A237="","",INT(DAY(A237)/7)+1)</f>
      </c>
      <c r="C237" s="9" t="n"/>
      <c r="D237" s="9" t="n"/>
      <c r="E237" s="9" t="n"/>
      <c r="F237" s="9" t="n"/>
      <c r="G237" s="9" t="n"/>
      <c r="H237" s="9" t="n"/>
      <c r="I237" s="9" t="n"/>
      <c r="J237" s="3" t="n"/>
      <c r="K237" s="9" t="n"/>
    </row>
    <row r="238">
      <c r="A238" s="4" t="n"/>
      <c r="B238" s="9">
        <f>IF(A238="","",INT(DAY(A238)/7)+1)</f>
      </c>
      <c r="C238" s="9" t="n"/>
      <c r="D238" s="9" t="n"/>
      <c r="E238" s="9" t="n"/>
      <c r="F238" s="9" t="n"/>
      <c r="G238" s="9" t="n"/>
      <c r="H238" s="9" t="n"/>
      <c r="I238" s="9" t="n"/>
      <c r="J238" s="3" t="n"/>
      <c r="K238" s="9" t="n"/>
    </row>
    <row r="239">
      <c r="A239" s="4" t="n"/>
      <c r="B239" s="9">
        <f>IF(A239="","",INT(DAY(A239)/7)+1)</f>
      </c>
      <c r="C239" s="9" t="n"/>
      <c r="D239" s="9" t="n"/>
      <c r="E239" s="9" t="n"/>
      <c r="F239" s="9" t="n"/>
      <c r="G239" s="9" t="n"/>
      <c r="H239" s="9" t="n"/>
      <c r="I239" s="9" t="n"/>
      <c r="J239" s="3" t="n"/>
      <c r="K239" s="9" t="n"/>
    </row>
    <row r="240">
      <c r="A240" s="4" t="n"/>
      <c r="B240" s="9">
        <f>IF(A240="","",INT(DAY(A240)/7)+1)</f>
      </c>
      <c r="C240" s="9" t="n"/>
      <c r="D240" s="9" t="n"/>
      <c r="E240" s="9" t="n"/>
      <c r="F240" s="9" t="n"/>
      <c r="G240" s="9" t="n"/>
      <c r="H240" s="9" t="n"/>
      <c r="I240" s="9" t="n"/>
      <c r="J240" s="3" t="n"/>
      <c r="K240" s="9" t="n"/>
    </row>
    <row r="241">
      <c r="A241" s="4" t="n"/>
      <c r="B241" s="9">
        <f>IF(A241="","",INT(DAY(A241)/7)+1)</f>
      </c>
      <c r="C241" s="9" t="n"/>
      <c r="D241" s="9" t="n"/>
      <c r="E241" s="9" t="n"/>
      <c r="F241" s="9" t="n"/>
      <c r="G241" s="9" t="n"/>
      <c r="H241" s="9" t="n"/>
      <c r="I241" s="9" t="n"/>
      <c r="J241" s="3" t="n"/>
      <c r="K241" s="9" t="n"/>
    </row>
    <row r="242">
      <c r="A242" s="4" t="n"/>
      <c r="B242" s="9">
        <f>IF(A242="","",INT(DAY(A242)/7)+1)</f>
      </c>
      <c r="C242" s="9" t="n"/>
      <c r="D242" s="9" t="n"/>
      <c r="E242" s="9" t="n"/>
      <c r="F242" s="9" t="n"/>
      <c r="G242" s="9" t="n"/>
      <c r="H242" s="9" t="n"/>
      <c r="I242" s="9" t="n"/>
      <c r="J242" s="3" t="n"/>
      <c r="K242" s="9" t="n"/>
    </row>
    <row r="243">
      <c r="A243" s="4" t="n"/>
      <c r="B243" s="9">
        <f>IF(A243="","",INT(DAY(A243)/7)+1)</f>
      </c>
      <c r="C243" s="9" t="n"/>
      <c r="D243" s="9" t="n"/>
      <c r="E243" s="9" t="n"/>
      <c r="F243" s="9" t="n"/>
      <c r="G243" s="9" t="n"/>
      <c r="H243" s="9" t="n"/>
      <c r="I243" s="9" t="n"/>
      <c r="J243" s="3" t="n"/>
      <c r="K243" s="9" t="n"/>
    </row>
    <row r="244">
      <c r="A244" s="4" t="n"/>
      <c r="B244" s="9">
        <f>IF(A244="","",INT(DAY(A244)/7)+1)</f>
      </c>
      <c r="C244" s="9" t="n"/>
      <c r="D244" s="9" t="n"/>
      <c r="E244" s="9" t="n"/>
      <c r="F244" s="9" t="n"/>
      <c r="G244" s="9" t="n"/>
      <c r="H244" s="9" t="n"/>
      <c r="I244" s="9" t="n"/>
      <c r="J244" s="3" t="n"/>
      <c r="K244" s="9" t="n"/>
    </row>
    <row r="245">
      <c r="A245" s="4" t="n"/>
      <c r="B245" s="9">
        <f>IF(A245="","",INT(DAY(A245)/7)+1)</f>
      </c>
      <c r="C245" s="9" t="n"/>
      <c r="D245" s="9" t="n"/>
      <c r="E245" s="9" t="n"/>
      <c r="F245" s="9" t="n"/>
      <c r="G245" s="9" t="n"/>
      <c r="H245" s="9" t="n"/>
      <c r="I245" s="9" t="n"/>
      <c r="J245" s="3" t="n"/>
      <c r="K245" s="9" t="n"/>
    </row>
    <row r="246">
      <c r="A246" s="4" t="n"/>
      <c r="B246" s="9">
        <f>IF(A246="","",INT(DAY(A246)/7)+1)</f>
      </c>
      <c r="C246" s="9" t="n"/>
      <c r="D246" s="9" t="n"/>
      <c r="E246" s="9" t="n"/>
      <c r="F246" s="9" t="n"/>
      <c r="G246" s="9" t="n"/>
      <c r="H246" s="9" t="n"/>
      <c r="I246" s="9" t="n"/>
      <c r="J246" s="3" t="n"/>
      <c r="K246" s="9" t="n"/>
    </row>
    <row r="247">
      <c r="A247" s="4" t="n"/>
      <c r="B247" s="9">
        <f>IF(A247="","",INT(DAY(A247)/7)+1)</f>
      </c>
      <c r="C247" s="9" t="n"/>
      <c r="D247" s="9" t="n"/>
      <c r="E247" s="9" t="n"/>
      <c r="F247" s="9" t="n"/>
      <c r="G247" s="9" t="n"/>
      <c r="H247" s="9" t="n"/>
      <c r="I247" s="9" t="n"/>
      <c r="J247" s="3" t="n"/>
      <c r="K247" s="9" t="n"/>
    </row>
    <row r="248">
      <c r="A248" s="4" t="n"/>
      <c r="B248" s="9">
        <f>IF(A248="","",INT(DAY(A248)/7)+1)</f>
      </c>
      <c r="C248" s="9" t="n"/>
      <c r="D248" s="9" t="n"/>
      <c r="E248" s="9" t="n"/>
      <c r="F248" s="9" t="n"/>
      <c r="G248" s="9" t="n"/>
      <c r="H248" s="9" t="n"/>
      <c r="I248" s="9" t="n"/>
      <c r="J248" s="3" t="n"/>
      <c r="K248" s="9" t="n"/>
    </row>
    <row r="249">
      <c r="A249" s="4" t="n"/>
      <c r="B249" s="9">
        <f>IF(A249="","",INT(DAY(A249)/7)+1)</f>
      </c>
      <c r="C249" s="9" t="n"/>
      <c r="D249" s="9" t="n"/>
      <c r="E249" s="9" t="n"/>
      <c r="F249" s="9" t="n"/>
      <c r="G249" s="9" t="n"/>
      <c r="H249" s="9" t="n"/>
      <c r="I249" s="9" t="n"/>
      <c r="J249" s="3" t="n"/>
      <c r="K249" s="9" t="n"/>
    </row>
    <row r="250">
      <c r="A250" s="4" t="n"/>
      <c r="B250" s="9">
        <f>IF(A250="","",INT(DAY(A250)/7)+1)</f>
      </c>
      <c r="C250" s="9" t="n"/>
      <c r="D250" s="9" t="n"/>
      <c r="E250" s="9" t="n"/>
      <c r="F250" s="9" t="n"/>
      <c r="G250" s="9" t="n"/>
      <c r="H250" s="9" t="n"/>
      <c r="I250" s="9" t="n"/>
      <c r="J250" s="3" t="n"/>
      <c r="K250" s="9" t="n"/>
    </row>
    <row r="251">
      <c r="A251" s="4" t="n"/>
      <c r="B251" s="9">
        <f>IF(A251="","",INT(DAY(A251)/7)+1)</f>
      </c>
      <c r="C251" s="9" t="n"/>
      <c r="D251" s="9" t="n"/>
      <c r="E251" s="9" t="n"/>
      <c r="F251" s="9" t="n"/>
      <c r="G251" s="9" t="n"/>
      <c r="H251" s="9" t="n"/>
      <c r="I251" s="9" t="n"/>
      <c r="J251" s="3" t="n"/>
      <c r="K251" s="9" t="n"/>
    </row>
    <row r="252">
      <c r="A252" s="4" t="n"/>
      <c r="B252" s="9">
        <f>IF(A252="","",INT(DAY(A252)/7)+1)</f>
      </c>
      <c r="C252" s="9" t="n"/>
      <c r="D252" s="9" t="n"/>
      <c r="E252" s="9" t="n"/>
      <c r="F252" s="9" t="n"/>
      <c r="G252" s="9" t="n"/>
      <c r="H252" s="9" t="n"/>
      <c r="I252" s="9" t="n"/>
      <c r="J252" s="3" t="n"/>
      <c r="K252" s="9" t="n"/>
    </row>
    <row r="253">
      <c r="A253" s="4" t="n"/>
      <c r="B253" s="9">
        <f>IF(A253="","",INT(DAY(A253)/7)+1)</f>
      </c>
      <c r="C253" s="9" t="n"/>
      <c r="D253" s="9" t="n"/>
      <c r="E253" s="9" t="n"/>
      <c r="F253" s="9" t="n"/>
      <c r="G253" s="9" t="n"/>
      <c r="H253" s="9" t="n"/>
      <c r="I253" s="9" t="n"/>
      <c r="J253" s="3" t="n"/>
      <c r="K253" s="9" t="n"/>
    </row>
    <row r="254">
      <c r="A254" s="4" t="n"/>
      <c r="B254" s="9">
        <f>IF(A254="","",INT(DAY(A254)/7)+1)</f>
      </c>
      <c r="C254" s="9" t="n"/>
      <c r="D254" s="9" t="n"/>
      <c r="E254" s="9" t="n"/>
      <c r="F254" s="9" t="n"/>
      <c r="G254" s="9" t="n"/>
      <c r="H254" s="9" t="n"/>
      <c r="I254" s="9" t="n"/>
      <c r="J254" s="3" t="n"/>
      <c r="K254" s="9" t="n"/>
    </row>
    <row r="255">
      <c r="A255" s="4" t="n"/>
      <c r="B255" s="9">
        <f>IF(A255="","",INT(DAY(A255)/7)+1)</f>
      </c>
      <c r="C255" s="9" t="n"/>
      <c r="D255" s="9" t="n"/>
      <c r="E255" s="9" t="n"/>
      <c r="F255" s="9" t="n"/>
      <c r="G255" s="9" t="n"/>
      <c r="H255" s="9" t="n"/>
      <c r="I255" s="9" t="n"/>
      <c r="J255" s="3" t="n"/>
      <c r="K255" s="9" t="n"/>
    </row>
    <row r="256">
      <c r="A256" s="4" t="n"/>
      <c r="B256" s="9">
        <f>IF(A256="","",INT(DAY(A256)/7)+1)</f>
      </c>
      <c r="C256" s="9" t="n"/>
      <c r="D256" s="9" t="n"/>
      <c r="E256" s="9" t="n"/>
      <c r="F256" s="9" t="n"/>
      <c r="G256" s="9" t="n"/>
      <c r="H256" s="9" t="n"/>
      <c r="I256" s="9" t="n"/>
      <c r="J256" s="3" t="n"/>
      <c r="K256" s="9" t="n"/>
    </row>
    <row r="257">
      <c r="A257" s="4" t="n"/>
      <c r="B257" s="9">
        <f>IF(A257="","",INT(DAY(A257)/7)+1)</f>
      </c>
      <c r="C257" s="9" t="n"/>
      <c r="D257" s="9" t="n"/>
      <c r="E257" s="9" t="n"/>
      <c r="F257" s="9" t="n"/>
      <c r="G257" s="9" t="n"/>
      <c r="H257" s="9" t="n"/>
      <c r="I257" s="9" t="n"/>
      <c r="J257" s="3" t="n"/>
      <c r="K257" s="9" t="n"/>
    </row>
    <row r="258">
      <c r="A258" s="4" t="n"/>
      <c r="B258" s="9">
        <f>IF(A258="","",INT(DAY(A258)/7)+1)</f>
      </c>
      <c r="C258" s="9" t="n"/>
      <c r="D258" s="9" t="n"/>
      <c r="E258" s="9" t="n"/>
      <c r="F258" s="9" t="n"/>
      <c r="G258" s="9" t="n"/>
      <c r="H258" s="9" t="n"/>
      <c r="I258" s="9" t="n"/>
      <c r="J258" s="3" t="n"/>
      <c r="K258" s="9" t="n"/>
    </row>
    <row r="259">
      <c r="A259" s="4" t="n"/>
      <c r="B259" s="9">
        <f>IF(A259="","",INT(DAY(A259)/7)+1)</f>
      </c>
      <c r="C259" s="9" t="n"/>
      <c r="D259" s="9" t="n"/>
      <c r="E259" s="9" t="n"/>
      <c r="F259" s="9" t="n"/>
      <c r="G259" s="9" t="n"/>
      <c r="H259" s="9" t="n"/>
      <c r="I259" s="9" t="n"/>
      <c r="J259" s="3" t="n"/>
      <c r="K259" s="9" t="n"/>
    </row>
    <row r="260">
      <c r="A260" s="4" t="n"/>
      <c r="B260" s="9">
        <f>IF(A260="","",INT(DAY(A260)/7)+1)</f>
      </c>
      <c r="C260" s="9" t="n"/>
      <c r="D260" s="9" t="n"/>
      <c r="E260" s="9" t="n"/>
      <c r="F260" s="9" t="n"/>
      <c r="G260" s="9" t="n"/>
      <c r="H260" s="9" t="n"/>
      <c r="I260" s="9" t="n"/>
      <c r="J260" s="3" t="n"/>
      <c r="K260" s="9" t="n"/>
    </row>
    <row r="261">
      <c r="A261" s="4" t="n"/>
      <c r="B261" s="9">
        <f>IF(A261="","",INT(DAY(A261)/7)+1)</f>
      </c>
      <c r="C261" s="9" t="n"/>
      <c r="D261" s="9" t="n"/>
      <c r="E261" s="9" t="n"/>
      <c r="F261" s="9" t="n"/>
      <c r="G261" s="9" t="n"/>
      <c r="H261" s="9" t="n"/>
      <c r="I261" s="9" t="n"/>
      <c r="J261" s="3" t="n"/>
      <c r="K261" s="9" t="n"/>
    </row>
    <row r="262">
      <c r="A262" s="4" t="n"/>
      <c r="B262" s="9">
        <f>IF(A262="","",INT(DAY(A262)/7)+1)</f>
      </c>
      <c r="C262" s="9" t="n"/>
      <c r="D262" s="9" t="n"/>
      <c r="E262" s="9" t="n"/>
      <c r="F262" s="9" t="n"/>
      <c r="G262" s="9" t="n"/>
      <c r="H262" s="9" t="n"/>
      <c r="I262" s="9" t="n"/>
      <c r="J262" s="3" t="n"/>
      <c r="K262" s="9" t="n"/>
    </row>
    <row r="263">
      <c r="A263" s="4" t="n"/>
      <c r="B263" s="9">
        <f>IF(A263="","",INT(DAY(A263)/7)+1)</f>
      </c>
      <c r="C263" s="9" t="n"/>
      <c r="D263" s="9" t="n"/>
      <c r="E263" s="9" t="n"/>
      <c r="F263" s="9" t="n"/>
      <c r="G263" s="9" t="n"/>
      <c r="H263" s="9" t="n"/>
      <c r="I263" s="9" t="n"/>
      <c r="J263" s="3" t="n"/>
      <c r="K263" s="9" t="n"/>
    </row>
    <row r="264">
      <c r="A264" s="4" t="n"/>
      <c r="B264" s="9">
        <f>IF(A264="","",INT(DAY(A264)/7)+1)</f>
      </c>
      <c r="C264" s="9" t="n"/>
      <c r="D264" s="9" t="n"/>
      <c r="E264" s="9" t="n"/>
      <c r="F264" s="9" t="n"/>
      <c r="G264" s="9" t="n"/>
      <c r="H264" s="9" t="n"/>
      <c r="I264" s="9" t="n"/>
      <c r="J264" s="3" t="n"/>
      <c r="K264" s="9" t="n"/>
    </row>
    <row r="265">
      <c r="A265" s="4" t="n"/>
      <c r="B265" s="9">
        <f>IF(A265="","",INT(DAY(A265)/7)+1)</f>
      </c>
      <c r="C265" s="9" t="n"/>
      <c r="D265" s="9" t="n"/>
      <c r="E265" s="9" t="n"/>
      <c r="F265" s="9" t="n"/>
      <c r="G265" s="9" t="n"/>
      <c r="H265" s="9" t="n"/>
      <c r="I265" s="9" t="n"/>
      <c r="J265" s="3" t="n"/>
      <c r="K265" s="9" t="n"/>
    </row>
    <row r="266">
      <c r="A266" s="4" t="n"/>
      <c r="B266" s="9">
        <f>IF(A266="","",INT(DAY(A266)/7)+1)</f>
      </c>
      <c r="C266" s="9" t="n"/>
      <c r="D266" s="9" t="n"/>
      <c r="E266" s="9" t="n"/>
      <c r="F266" s="9" t="n"/>
      <c r="G266" s="9" t="n"/>
      <c r="H266" s="9" t="n"/>
      <c r="I266" s="9" t="n"/>
      <c r="J266" s="3" t="n"/>
      <c r="K266" s="9" t="n"/>
    </row>
    <row r="267">
      <c r="A267" s="4" t="n"/>
      <c r="B267" s="9">
        <f>IF(A267="","",INT(DAY(A267)/7)+1)</f>
      </c>
      <c r="C267" s="9" t="n"/>
      <c r="D267" s="9" t="n"/>
      <c r="E267" s="9" t="n"/>
      <c r="F267" s="9" t="n"/>
      <c r="G267" s="9" t="n"/>
      <c r="H267" s="9" t="n"/>
      <c r="I267" s="9" t="n"/>
      <c r="J267" s="3" t="n"/>
      <c r="K267" s="9" t="n"/>
    </row>
    <row r="268">
      <c r="A268" s="4" t="n"/>
      <c r="B268" s="9">
        <f>IF(A268="","",INT(DAY(A268)/7)+1)</f>
      </c>
      <c r="C268" s="9" t="n"/>
      <c r="D268" s="9" t="n"/>
      <c r="E268" s="9" t="n"/>
      <c r="F268" s="9" t="n"/>
      <c r="G268" s="9" t="n"/>
      <c r="H268" s="9" t="n"/>
      <c r="I268" s="9" t="n"/>
      <c r="J268" s="3" t="n"/>
      <c r="K268" s="9" t="n"/>
    </row>
    <row r="269">
      <c r="A269" s="4" t="n"/>
      <c r="B269" s="9">
        <f>IF(A269="","",INT(DAY(A269)/7)+1)</f>
      </c>
      <c r="C269" s="9" t="n"/>
      <c r="D269" s="9" t="n"/>
      <c r="E269" s="9" t="n"/>
      <c r="F269" s="9" t="n"/>
      <c r="G269" s="9" t="n"/>
      <c r="H269" s="9" t="n"/>
      <c r="I269" s="9" t="n"/>
      <c r="J269" s="3" t="n"/>
      <c r="K269" s="9" t="n"/>
    </row>
    <row r="270">
      <c r="A270" s="4" t="n"/>
      <c r="B270" s="9">
        <f>IF(A270="","",INT(DAY(A270)/7)+1)</f>
      </c>
      <c r="C270" s="9" t="n"/>
      <c r="D270" s="9" t="n"/>
      <c r="E270" s="9" t="n"/>
      <c r="F270" s="9" t="n"/>
      <c r="G270" s="9" t="n"/>
      <c r="H270" s="9" t="n"/>
      <c r="I270" s="9" t="n"/>
      <c r="J270" s="3" t="n"/>
      <c r="K270" s="9" t="n"/>
    </row>
    <row r="271">
      <c r="A271" s="4" t="n"/>
      <c r="B271" s="9">
        <f>IF(A271="","",INT(DAY(A271)/7)+1)</f>
      </c>
      <c r="C271" s="9" t="n"/>
      <c r="D271" s="9" t="n"/>
      <c r="E271" s="9" t="n"/>
      <c r="F271" s="9" t="n"/>
      <c r="G271" s="9" t="n"/>
      <c r="H271" s="9" t="n"/>
      <c r="I271" s="9" t="n"/>
      <c r="J271" s="3" t="n"/>
      <c r="K271" s="9" t="n"/>
    </row>
    <row r="272">
      <c r="A272" s="4" t="n"/>
      <c r="B272" s="9">
        <f>IF(A272="","",INT(DAY(A272)/7)+1)</f>
      </c>
      <c r="C272" s="9" t="n"/>
      <c r="D272" s="9" t="n"/>
      <c r="E272" s="9" t="n"/>
      <c r="F272" s="9" t="n"/>
      <c r="G272" s="9" t="n"/>
      <c r="H272" s="9" t="n"/>
      <c r="I272" s="9" t="n"/>
      <c r="J272" s="3" t="n"/>
      <c r="K272" s="9" t="n"/>
    </row>
    <row r="273">
      <c r="A273" s="4" t="n"/>
      <c r="B273" s="9">
        <f>IF(A273="","",INT(DAY(A273)/7)+1)</f>
      </c>
      <c r="C273" s="9" t="n"/>
      <c r="D273" s="9" t="n"/>
      <c r="E273" s="9" t="n"/>
      <c r="F273" s="9" t="n"/>
      <c r="G273" s="9" t="n"/>
      <c r="H273" s="9" t="n"/>
      <c r="I273" s="9" t="n"/>
      <c r="J273" s="3" t="n"/>
      <c r="K273" s="9" t="n"/>
    </row>
    <row r="274">
      <c r="A274" s="4" t="n"/>
      <c r="B274" s="9">
        <f>IF(A274="","",INT(DAY(A274)/7)+1)</f>
      </c>
      <c r="C274" s="9" t="n"/>
      <c r="D274" s="9" t="n"/>
      <c r="E274" s="9" t="n"/>
      <c r="F274" s="9" t="n"/>
      <c r="G274" s="9" t="n"/>
      <c r="H274" s="9" t="n"/>
      <c r="I274" s="9" t="n"/>
      <c r="J274" s="3" t="n"/>
      <c r="K274" s="9" t="n"/>
    </row>
    <row r="275">
      <c r="A275" s="4" t="n"/>
      <c r="B275" s="9">
        <f>IF(A275="","",INT(DAY(A275)/7)+1)</f>
      </c>
      <c r="C275" s="9" t="n"/>
      <c r="D275" s="9" t="n"/>
      <c r="E275" s="9" t="n"/>
      <c r="F275" s="9" t="n"/>
      <c r="G275" s="9" t="n"/>
      <c r="H275" s="9" t="n"/>
      <c r="I275" s="9" t="n"/>
      <c r="J275" s="3" t="n"/>
      <c r="K275" s="9" t="n"/>
    </row>
    <row r="276">
      <c r="A276" s="4" t="n"/>
      <c r="B276" s="9">
        <f>IF(A276="","",INT(DAY(A276)/7)+1)</f>
      </c>
      <c r="C276" s="9" t="n"/>
      <c r="D276" s="9" t="n"/>
      <c r="E276" s="9" t="n"/>
      <c r="F276" s="9" t="n"/>
      <c r="G276" s="9" t="n"/>
      <c r="H276" s="9" t="n"/>
      <c r="I276" s="9" t="n"/>
      <c r="J276" s="3" t="n"/>
      <c r="K276" s="9" t="n"/>
    </row>
    <row r="277">
      <c r="A277" s="4" t="n"/>
      <c r="B277" s="9">
        <f>IF(A277="","",INT(DAY(A277)/7)+1)</f>
      </c>
      <c r="C277" s="9" t="n"/>
      <c r="D277" s="9" t="n"/>
      <c r="E277" s="9" t="n"/>
      <c r="F277" s="9" t="n"/>
      <c r="G277" s="9" t="n"/>
      <c r="H277" s="9" t="n"/>
      <c r="I277" s="9" t="n"/>
      <c r="J277" s="3" t="n"/>
      <c r="K277" s="9" t="n"/>
    </row>
    <row r="278">
      <c r="A278" s="4" t="n"/>
      <c r="B278" s="9">
        <f>IF(A278="","",INT(DAY(A278)/7)+1)</f>
      </c>
      <c r="C278" s="9" t="n"/>
      <c r="D278" s="9" t="n"/>
      <c r="E278" s="9" t="n"/>
      <c r="F278" s="9" t="n"/>
      <c r="G278" s="9" t="n"/>
      <c r="H278" s="9" t="n"/>
      <c r="I278" s="9" t="n"/>
      <c r="J278" s="3" t="n"/>
      <c r="K278" s="9" t="n"/>
    </row>
    <row r="279">
      <c r="A279" s="4" t="n"/>
      <c r="B279" s="9">
        <f>IF(A279="","",INT(DAY(A279)/7)+1)</f>
      </c>
      <c r="C279" s="9" t="n"/>
      <c r="D279" s="9" t="n"/>
      <c r="E279" s="9" t="n"/>
      <c r="F279" s="9" t="n"/>
      <c r="G279" s="9" t="n"/>
      <c r="H279" s="9" t="n"/>
      <c r="I279" s="9" t="n"/>
      <c r="J279" s="3" t="n"/>
      <c r="K279" s="9" t="n"/>
    </row>
    <row r="280">
      <c r="A280" s="4" t="n"/>
      <c r="B280" s="9">
        <f>IF(A280="","",INT(DAY(A280)/7)+1)</f>
      </c>
      <c r="C280" s="9" t="n"/>
      <c r="D280" s="9" t="n"/>
      <c r="E280" s="9" t="n"/>
      <c r="F280" s="9" t="n"/>
      <c r="G280" s="9" t="n"/>
      <c r="H280" s="9" t="n"/>
      <c r="I280" s="9" t="n"/>
      <c r="J280" s="3" t="n"/>
      <c r="K280" s="9" t="n"/>
    </row>
    <row r="281">
      <c r="A281" s="4" t="n"/>
      <c r="B281" s="9">
        <f>IF(A281="","",INT(DAY(A281)/7)+1)</f>
      </c>
      <c r="C281" s="9" t="n"/>
      <c r="D281" s="9" t="n"/>
      <c r="E281" s="9" t="n"/>
      <c r="F281" s="9" t="n"/>
      <c r="G281" s="9" t="n"/>
      <c r="H281" s="9" t="n"/>
      <c r="I281" s="9" t="n"/>
      <c r="J281" s="3" t="n"/>
      <c r="K281" s="9" t="n"/>
    </row>
    <row r="282">
      <c r="A282" s="4" t="n"/>
      <c r="B282" s="9">
        <f>IF(A282="","",INT(DAY(A282)/7)+1)</f>
      </c>
      <c r="C282" s="9" t="n"/>
      <c r="D282" s="9" t="n"/>
      <c r="E282" s="9" t="n"/>
      <c r="F282" s="9" t="n"/>
      <c r="G282" s="9" t="n"/>
      <c r="H282" s="9" t="n"/>
      <c r="I282" s="9" t="n"/>
      <c r="J282" s="3" t="n"/>
      <c r="K282" s="9" t="n"/>
    </row>
    <row r="283">
      <c r="A283" s="4" t="n"/>
      <c r="B283" s="9">
        <f>IF(A283="","",INT(DAY(A283)/7)+1)</f>
      </c>
      <c r="C283" s="9" t="n"/>
      <c r="D283" s="9" t="n"/>
      <c r="E283" s="9" t="n"/>
      <c r="F283" s="9" t="n"/>
      <c r="G283" s="9" t="n"/>
      <c r="H283" s="9" t="n"/>
      <c r="I283" s="9" t="n"/>
      <c r="J283" s="3" t="n"/>
      <c r="K283" s="9" t="n"/>
    </row>
    <row r="284">
      <c r="A284" s="4" t="n"/>
      <c r="B284" s="9">
        <f>IF(A284="","",INT(DAY(A284)/7)+1)</f>
      </c>
      <c r="C284" s="9" t="n"/>
      <c r="D284" s="9" t="n"/>
      <c r="E284" s="9" t="n"/>
      <c r="F284" s="9" t="n"/>
      <c r="G284" s="9" t="n"/>
      <c r="H284" s="9" t="n"/>
      <c r="I284" s="9" t="n"/>
      <c r="J284" s="3" t="n"/>
      <c r="K284" s="9" t="n"/>
    </row>
    <row r="285">
      <c r="A285" s="4" t="n"/>
      <c r="B285" s="9">
        <f>IF(A285="","",INT(DAY(A285)/7)+1)</f>
      </c>
      <c r="C285" s="9" t="n"/>
      <c r="D285" s="9" t="n"/>
      <c r="E285" s="9" t="n"/>
      <c r="F285" s="9" t="n"/>
      <c r="G285" s="9" t="n"/>
      <c r="H285" s="9" t="n"/>
      <c r="I285" s="9" t="n"/>
      <c r="J285" s="3" t="n"/>
      <c r="K285" s="9" t="n"/>
    </row>
    <row r="286">
      <c r="A286" s="4" t="n"/>
      <c r="B286" s="9">
        <f>IF(A286="","",INT(DAY(A286)/7)+1)</f>
      </c>
      <c r="C286" s="9" t="n"/>
      <c r="D286" s="9" t="n"/>
      <c r="E286" s="9" t="n"/>
      <c r="F286" s="9" t="n"/>
      <c r="G286" s="9" t="n"/>
      <c r="H286" s="9" t="n"/>
      <c r="I286" s="9" t="n"/>
      <c r="J286" s="3" t="n"/>
      <c r="K286" s="9" t="n"/>
    </row>
    <row r="287">
      <c r="A287" s="4" t="n"/>
      <c r="B287" s="9">
        <f>IF(A287="","",INT(DAY(A287)/7)+1)</f>
      </c>
      <c r="C287" s="9" t="n"/>
      <c r="D287" s="9" t="n"/>
      <c r="E287" s="9" t="n"/>
      <c r="F287" s="9" t="n"/>
      <c r="G287" s="9" t="n"/>
      <c r="H287" s="9" t="n"/>
      <c r="I287" s="9" t="n"/>
      <c r="J287" s="3" t="n"/>
      <c r="K287" s="9" t="n"/>
    </row>
    <row r="288">
      <c r="A288" s="4" t="n"/>
      <c r="B288" s="9">
        <f>IF(A288="","",INT(DAY(A288)/7)+1)</f>
      </c>
      <c r="C288" s="9" t="n"/>
      <c r="D288" s="9" t="n"/>
      <c r="E288" s="9" t="n"/>
      <c r="F288" s="9" t="n"/>
      <c r="G288" s="9" t="n"/>
      <c r="H288" s="9" t="n"/>
      <c r="I288" s="9" t="n"/>
      <c r="J288" s="3" t="n"/>
      <c r="K288" s="9" t="n"/>
    </row>
    <row r="289">
      <c r="A289" s="4" t="n"/>
      <c r="B289" s="9">
        <f>IF(A289="","",INT(DAY(A289)/7)+1)</f>
      </c>
      <c r="C289" s="9" t="n"/>
      <c r="D289" s="9" t="n"/>
      <c r="E289" s="9" t="n"/>
      <c r="F289" s="9" t="n"/>
      <c r="G289" s="9" t="n"/>
      <c r="H289" s="9" t="n"/>
      <c r="I289" s="9" t="n"/>
      <c r="J289" s="3" t="n"/>
      <c r="K289" s="9" t="n"/>
    </row>
    <row r="290">
      <c r="A290" s="4" t="n"/>
      <c r="B290" s="9">
        <f>IF(A290="","",INT(DAY(A290)/7)+1)</f>
      </c>
      <c r="C290" s="9" t="n"/>
      <c r="D290" s="9" t="n"/>
      <c r="E290" s="9" t="n"/>
      <c r="F290" s="9" t="n"/>
      <c r="G290" s="9" t="n"/>
      <c r="H290" s="9" t="n"/>
      <c r="I290" s="9" t="n"/>
      <c r="J290" s="3" t="n"/>
      <c r="K290" s="9" t="n"/>
    </row>
    <row r="291">
      <c r="A291" s="4" t="n"/>
      <c r="B291" s="9">
        <f>IF(A291="","",INT(DAY(A291)/7)+1)</f>
      </c>
      <c r="C291" s="9" t="n"/>
      <c r="D291" s="9" t="n"/>
      <c r="E291" s="9" t="n"/>
      <c r="F291" s="9" t="n"/>
      <c r="G291" s="9" t="n"/>
      <c r="H291" s="9" t="n"/>
      <c r="I291" s="9" t="n"/>
      <c r="J291" s="3" t="n"/>
      <c r="K291" s="9" t="n"/>
    </row>
    <row r="292">
      <c r="A292" s="4" t="n"/>
      <c r="B292" s="9">
        <f>IF(A292="","",INT(DAY(A292)/7)+1)</f>
      </c>
      <c r="C292" s="9" t="n"/>
      <c r="D292" s="9" t="n"/>
      <c r="E292" s="9" t="n"/>
      <c r="F292" s="9" t="n"/>
      <c r="G292" s="9" t="n"/>
      <c r="H292" s="9" t="n"/>
      <c r="I292" s="9" t="n"/>
      <c r="J292" s="3" t="n"/>
      <c r="K292" s="9" t="n"/>
    </row>
    <row r="293">
      <c r="A293" s="4" t="n"/>
      <c r="B293" s="9">
        <f>IF(A293="","",INT(DAY(A293)/7)+1)</f>
      </c>
      <c r="C293" s="9" t="n"/>
      <c r="D293" s="9" t="n"/>
      <c r="E293" s="9" t="n"/>
      <c r="F293" s="9" t="n"/>
      <c r="G293" s="9" t="n"/>
      <c r="H293" s="9" t="n"/>
      <c r="I293" s="9" t="n"/>
      <c r="J293" s="3" t="n"/>
      <c r="K293" s="9" t="n"/>
    </row>
    <row r="294">
      <c r="A294" s="4" t="n"/>
      <c r="B294" s="9">
        <f>IF(A294="","",INT(DAY(A294)/7)+1)</f>
      </c>
      <c r="C294" s="9" t="n"/>
      <c r="D294" s="9" t="n"/>
      <c r="E294" s="9" t="n"/>
      <c r="F294" s="9" t="n"/>
      <c r="G294" s="9" t="n"/>
      <c r="H294" s="9" t="n"/>
      <c r="I294" s="9" t="n"/>
      <c r="J294" s="3" t="n"/>
      <c r="K294" s="9" t="n"/>
    </row>
    <row r="295">
      <c r="A295" s="4" t="n"/>
      <c r="B295" s="9">
        <f>IF(A295="","",INT(DAY(A295)/7)+1)</f>
      </c>
      <c r="C295" s="9" t="n"/>
      <c r="D295" s="9" t="n"/>
      <c r="E295" s="9" t="n"/>
      <c r="F295" s="9" t="n"/>
      <c r="G295" s="9" t="n"/>
      <c r="H295" s="9" t="n"/>
      <c r="I295" s="9" t="n"/>
      <c r="J295" s="3" t="n"/>
      <c r="K295" s="9" t="n"/>
    </row>
    <row r="296">
      <c r="A296" s="4" t="n"/>
      <c r="B296" s="9">
        <f>IF(A296="","",INT(DAY(A296)/7)+1)</f>
      </c>
      <c r="C296" s="9" t="n"/>
      <c r="D296" s="9" t="n"/>
      <c r="E296" s="9" t="n"/>
      <c r="F296" s="9" t="n"/>
      <c r="G296" s="9" t="n"/>
      <c r="H296" s="9" t="n"/>
      <c r="I296" s="9" t="n"/>
      <c r="J296" s="3" t="n"/>
      <c r="K296" s="9" t="n"/>
    </row>
    <row r="297">
      <c r="A297" s="4" t="n"/>
      <c r="B297" s="9">
        <f>IF(A297="","",INT(DAY(A297)/7)+1)</f>
      </c>
      <c r="C297" s="9" t="n"/>
      <c r="D297" s="9" t="n"/>
      <c r="E297" s="9" t="n"/>
      <c r="F297" s="9" t="n"/>
      <c r="G297" s="9" t="n"/>
      <c r="H297" s="9" t="n"/>
      <c r="I297" s="9" t="n"/>
      <c r="J297" s="3" t="n"/>
      <c r="K297" s="9" t="n"/>
    </row>
    <row r="298">
      <c r="A298" s="4" t="n"/>
      <c r="B298" s="9">
        <f>IF(A298="","",INT(DAY(A298)/7)+1)</f>
      </c>
      <c r="C298" s="9" t="n"/>
      <c r="D298" s="9" t="n"/>
      <c r="E298" s="9" t="n"/>
      <c r="F298" s="9" t="n"/>
      <c r="G298" s="9" t="n"/>
      <c r="H298" s="9" t="n"/>
      <c r="I298" s="9" t="n"/>
      <c r="J298" s="3" t="n"/>
      <c r="K298" s="9" t="n"/>
    </row>
    <row r="299">
      <c r="A299" s="4" t="n"/>
      <c r="B299" s="9">
        <f>IF(A299="","",INT(DAY(A299)/7)+1)</f>
      </c>
      <c r="C299" s="9" t="n"/>
      <c r="D299" s="9" t="n"/>
      <c r="E299" s="9" t="n"/>
      <c r="F299" s="9" t="n"/>
      <c r="G299" s="9" t="n"/>
      <c r="H299" s="9" t="n"/>
      <c r="I299" s="9" t="n"/>
      <c r="J299" s="3" t="n"/>
      <c r="K299" s="9" t="n"/>
    </row>
    <row r="300">
      <c r="A300" s="4" t="n"/>
      <c r="B300" s="9">
        <f>IF(A300="","",INT(DAY(A300)/7)+1)</f>
      </c>
      <c r="C300" s="9" t="n"/>
      <c r="D300" s="9" t="n"/>
      <c r="E300" s="9" t="n"/>
      <c r="F300" s="9" t="n"/>
      <c r="G300" s="9" t="n"/>
      <c r="H300" s="9" t="n"/>
      <c r="I300" s="9" t="n"/>
      <c r="J300" s="3" t="n"/>
      <c r="K300" s="9" t="n"/>
    </row>
    <row r="301">
      <c r="A301" s="4" t="n"/>
      <c r="B301" s="9">
        <f>IF(A301="","",INT(DAY(A301)/7)+1)</f>
      </c>
      <c r="C301" s="9" t="n"/>
      <c r="D301" s="9" t="n"/>
      <c r="E301" s="9" t="n"/>
      <c r="F301" s="9" t="n"/>
      <c r="G301" s="9" t="n"/>
      <c r="H301" s="9" t="n"/>
      <c r="I301" s="9" t="n"/>
      <c r="J301" s="3" t="n"/>
      <c r="K301" s="9" t="n"/>
    </row>
    <row r="302">
      <c r="A302" s="4" t="n"/>
      <c r="B302" s="9">
        <f>IF(A302="","",INT(DAY(A302)/7)+1)</f>
      </c>
      <c r="C302" s="9" t="n"/>
      <c r="D302" s="9" t="n"/>
      <c r="E302" s="9" t="n"/>
      <c r="F302" s="9" t="n"/>
      <c r="G302" s="9" t="n"/>
      <c r="H302" s="9" t="n"/>
      <c r="I302" s="9" t="n"/>
      <c r="J302" s="3" t="n"/>
      <c r="K302" s="9" t="n"/>
    </row>
    <row r="303">
      <c r="A303" s="4" t="n"/>
      <c r="B303" s="9">
        <f>IF(A303="","",INT(DAY(A303)/7)+1)</f>
      </c>
      <c r="C303" s="9" t="n"/>
      <c r="D303" s="9" t="n"/>
      <c r="E303" s="9" t="n"/>
      <c r="F303" s="9" t="n"/>
      <c r="G303" s="9" t="n"/>
      <c r="H303" s="9" t="n"/>
      <c r="I303" s="9" t="n"/>
      <c r="J303" s="3" t="n"/>
      <c r="K303" s="9" t="n"/>
    </row>
    <row r="304">
      <c r="A304" s="4" t="n"/>
      <c r="B304" s="9">
        <f>IF(A304="","",INT(DAY(A304)/7)+1)</f>
      </c>
      <c r="C304" s="9" t="n"/>
      <c r="D304" s="9" t="n"/>
      <c r="E304" s="9" t="n"/>
      <c r="F304" s="9" t="n"/>
      <c r="G304" s="9" t="n"/>
      <c r="H304" s="9" t="n"/>
      <c r="I304" s="9" t="n"/>
      <c r="J304" s="3" t="n"/>
      <c r="K304" s="9" t="n"/>
    </row>
    <row r="305">
      <c r="A305" s="4" t="n"/>
      <c r="B305" s="9">
        <f>IF(A305="","",INT(DAY(A305)/7)+1)</f>
      </c>
      <c r="C305" s="9" t="n"/>
      <c r="D305" s="9" t="n"/>
      <c r="E305" s="9" t="n"/>
      <c r="F305" s="9" t="n"/>
      <c r="G305" s="9" t="n"/>
      <c r="H305" s="9" t="n"/>
      <c r="I305" s="9" t="n"/>
      <c r="J305" s="3" t="n"/>
      <c r="K305" s="9" t="n"/>
    </row>
    <row r="306">
      <c r="A306" s="4" t="n"/>
      <c r="B306" s="9">
        <f>IF(A306="","",INT(DAY(A306)/7)+1)</f>
      </c>
      <c r="C306" s="9" t="n"/>
      <c r="D306" s="9" t="n"/>
      <c r="E306" s="9" t="n"/>
      <c r="F306" s="9" t="n"/>
      <c r="G306" s="9" t="n"/>
      <c r="H306" s="9" t="n"/>
      <c r="I306" s="9" t="n"/>
      <c r="J306" s="3" t="n"/>
      <c r="K306" s="9" t="n"/>
    </row>
    <row r="307">
      <c r="A307" s="4" t="n"/>
      <c r="B307" s="9">
        <f>IF(A307="","",INT(DAY(A307)/7)+1)</f>
      </c>
      <c r="C307" s="9" t="n"/>
      <c r="D307" s="9" t="n"/>
      <c r="E307" s="9" t="n"/>
      <c r="F307" s="9" t="n"/>
      <c r="G307" s="9" t="n"/>
      <c r="H307" s="9" t="n"/>
      <c r="I307" s="9" t="n"/>
      <c r="J307" s="3" t="n"/>
      <c r="K307" s="9" t="n"/>
    </row>
    <row r="308">
      <c r="A308" s="4" t="n"/>
      <c r="B308" s="9">
        <f>IF(A308="","",INT(DAY(A308)/7)+1)</f>
      </c>
      <c r="C308" s="9" t="n"/>
      <c r="D308" s="9" t="n"/>
      <c r="E308" s="9" t="n"/>
      <c r="F308" s="9" t="n"/>
      <c r="G308" s="9" t="n"/>
      <c r="H308" s="9" t="n"/>
      <c r="I308" s="9" t="n"/>
      <c r="J308" s="3" t="n"/>
      <c r="K308" s="9" t="n"/>
    </row>
    <row r="309">
      <c r="A309" s="4" t="n"/>
      <c r="B309" s="9">
        <f>IF(A309="","",INT(DAY(A309)/7)+1)</f>
      </c>
      <c r="C309" s="9" t="n"/>
      <c r="D309" s="9" t="n"/>
      <c r="E309" s="9" t="n"/>
      <c r="F309" s="9" t="n"/>
      <c r="G309" s="9" t="n"/>
      <c r="H309" s="9" t="n"/>
      <c r="I309" s="9" t="n"/>
      <c r="J309" s="3" t="n"/>
      <c r="K309" s="9" t="n"/>
    </row>
    <row r="310">
      <c r="A310" s="4" t="n"/>
      <c r="B310" s="9">
        <f>IF(A310="","",INT(DAY(A310)/7)+1)</f>
      </c>
      <c r="C310" s="9" t="n"/>
      <c r="D310" s="9" t="n"/>
      <c r="E310" s="9" t="n"/>
      <c r="F310" s="9" t="n"/>
      <c r="G310" s="9" t="n"/>
      <c r="H310" s="9" t="n"/>
      <c r="I310" s="9" t="n"/>
      <c r="J310" s="3" t="n"/>
      <c r="K310" s="9" t="n"/>
    </row>
    <row r="311">
      <c r="A311" s="4" t="n"/>
      <c r="B311" s="9">
        <f>IF(A311="","",INT(DAY(A311)/7)+1)</f>
      </c>
      <c r="C311" s="9" t="n"/>
      <c r="D311" s="9" t="n"/>
      <c r="E311" s="9" t="n"/>
      <c r="F311" s="9" t="n"/>
      <c r="G311" s="9" t="n"/>
      <c r="H311" s="9" t="n"/>
      <c r="I311" s="9" t="n"/>
      <c r="J311" s="3" t="n"/>
      <c r="K311" s="9" t="n"/>
    </row>
    <row r="312">
      <c r="A312" s="4" t="n"/>
      <c r="B312" s="9">
        <f>IF(A312="","",INT(DAY(A312)/7)+1)</f>
      </c>
      <c r="C312" s="9" t="n"/>
      <c r="D312" s="9" t="n"/>
      <c r="E312" s="9" t="n"/>
      <c r="F312" s="9" t="n"/>
      <c r="G312" s="9" t="n"/>
      <c r="H312" s="9" t="n"/>
      <c r="I312" s="9" t="n"/>
      <c r="J312" s="3" t="n"/>
      <c r="K312" s="9" t="n"/>
    </row>
    <row r="313">
      <c r="A313" s="4" t="n"/>
      <c r="B313" s="9">
        <f>IF(A313="","",INT(DAY(A313)/7)+1)</f>
      </c>
      <c r="C313" s="9" t="n"/>
      <c r="D313" s="9" t="n"/>
      <c r="E313" s="9" t="n"/>
      <c r="F313" s="9" t="n"/>
      <c r="G313" s="9" t="n"/>
      <c r="H313" s="9" t="n"/>
      <c r="I313" s="9" t="n"/>
      <c r="J313" s="3" t="n"/>
      <c r="K313" s="9" t="n"/>
    </row>
    <row r="314">
      <c r="A314" s="4" t="n"/>
      <c r="B314" s="9">
        <f>IF(A314="","",INT(DAY(A314)/7)+1)</f>
      </c>
      <c r="C314" s="9" t="n"/>
      <c r="D314" s="9" t="n"/>
      <c r="E314" s="9" t="n"/>
      <c r="F314" s="9" t="n"/>
      <c r="G314" s="9" t="n"/>
      <c r="H314" s="9" t="n"/>
      <c r="I314" s="9" t="n"/>
      <c r="J314" s="3" t="n"/>
      <c r="K314" s="9" t="n"/>
    </row>
    <row r="315">
      <c r="A315" s="4" t="n"/>
      <c r="B315" s="9">
        <f>IF(A315="","",INT(DAY(A315)/7)+1)</f>
      </c>
      <c r="C315" s="9" t="n"/>
      <c r="D315" s="9" t="n"/>
      <c r="E315" s="9" t="n"/>
      <c r="F315" s="9" t="n"/>
      <c r="G315" s="9" t="n"/>
      <c r="H315" s="9" t="n"/>
      <c r="I315" s="9" t="n"/>
      <c r="J315" s="3" t="n"/>
      <c r="K315" s="9" t="n"/>
    </row>
    <row r="316">
      <c r="A316" s="4" t="n"/>
      <c r="B316" s="9">
        <f>IF(A316="","",INT(DAY(A316)/7)+1)</f>
      </c>
      <c r="C316" s="9" t="n"/>
      <c r="D316" s="9" t="n"/>
      <c r="E316" s="9" t="n"/>
      <c r="F316" s="9" t="n"/>
      <c r="G316" s="9" t="n"/>
      <c r="H316" s="9" t="n"/>
      <c r="I316" s="9" t="n"/>
      <c r="J316" s="3" t="n"/>
      <c r="K316" s="9" t="n"/>
    </row>
    <row r="317">
      <c r="A317" s="4" t="n"/>
      <c r="B317" s="9">
        <f>IF(A317="","",INT(DAY(A317)/7)+1)</f>
      </c>
      <c r="C317" s="9" t="n"/>
      <c r="D317" s="9" t="n"/>
      <c r="E317" s="9" t="n"/>
      <c r="F317" s="9" t="n"/>
      <c r="G317" s="9" t="n"/>
      <c r="H317" s="9" t="n"/>
      <c r="I317" s="9" t="n"/>
      <c r="J317" s="3" t="n"/>
      <c r="K317" s="9" t="n"/>
    </row>
    <row r="318">
      <c r="A318" s="4" t="n"/>
      <c r="B318" s="9">
        <f>IF(A318="","",INT(DAY(A318)/7)+1)</f>
      </c>
      <c r="C318" s="9" t="n"/>
      <c r="D318" s="9" t="n"/>
      <c r="E318" s="9" t="n"/>
      <c r="F318" s="9" t="n"/>
      <c r="G318" s="9" t="n"/>
      <c r="H318" s="9" t="n"/>
      <c r="I318" s="9" t="n"/>
      <c r="J318" s="3" t="n"/>
      <c r="K318" s="9" t="n"/>
    </row>
    <row r="319">
      <c r="A319" s="4" t="n"/>
      <c r="B319" s="9">
        <f>IF(A319="","",INT(DAY(A319)/7)+1)</f>
      </c>
      <c r="C319" s="9" t="n"/>
      <c r="D319" s="9" t="n"/>
      <c r="E319" s="9" t="n"/>
      <c r="F319" s="9" t="n"/>
      <c r="G319" s="9" t="n"/>
      <c r="H319" s="9" t="n"/>
      <c r="I319" s="9" t="n"/>
      <c r="J319" s="3" t="n"/>
      <c r="K319" s="9" t="n"/>
    </row>
    <row r="320">
      <c r="A320" s="4" t="n"/>
      <c r="B320" s="9">
        <f>IF(A320="","",INT(DAY(A320)/7)+1)</f>
      </c>
      <c r="C320" s="9" t="n"/>
      <c r="D320" s="9" t="n"/>
      <c r="E320" s="9" t="n"/>
      <c r="F320" s="9" t="n"/>
      <c r="G320" s="9" t="n"/>
      <c r="H320" s="9" t="n"/>
      <c r="I320" s="9" t="n"/>
      <c r="J320" s="3" t="n"/>
      <c r="K320" s="9" t="n"/>
    </row>
    <row r="321">
      <c r="A321" s="4" t="n"/>
      <c r="B321" s="9">
        <f>IF(A321="","",INT(DAY(A321)/7)+1)</f>
      </c>
      <c r="C321" s="9" t="n"/>
      <c r="D321" s="9" t="n"/>
      <c r="E321" s="9" t="n"/>
      <c r="F321" s="9" t="n"/>
      <c r="G321" s="9" t="n"/>
      <c r="H321" s="9" t="n"/>
      <c r="I321" s="9" t="n"/>
      <c r="J321" s="3" t="n"/>
      <c r="K321" s="9" t="n"/>
    </row>
    <row r="322">
      <c r="A322" s="4" t="n"/>
      <c r="B322" s="9">
        <f>IF(A322="","",INT(DAY(A322)/7)+1)</f>
      </c>
      <c r="C322" s="9" t="n"/>
      <c r="D322" s="9" t="n"/>
      <c r="E322" s="9" t="n"/>
      <c r="F322" s="9" t="n"/>
      <c r="G322" s="9" t="n"/>
      <c r="H322" s="9" t="n"/>
      <c r="I322" s="9" t="n"/>
      <c r="J322" s="3" t="n"/>
      <c r="K322" s="9" t="n"/>
    </row>
    <row r="323">
      <c r="A323" s="4" t="n"/>
      <c r="B323" s="9">
        <f>IF(A323="","",INT(DAY(A323)/7)+1)</f>
      </c>
      <c r="C323" s="9" t="n"/>
      <c r="D323" s="9" t="n"/>
      <c r="E323" s="9" t="n"/>
      <c r="F323" s="9" t="n"/>
      <c r="G323" s="9" t="n"/>
      <c r="H323" s="9" t="n"/>
      <c r="I323" s="9" t="n"/>
      <c r="J323" s="3" t="n"/>
      <c r="K323" s="9" t="n"/>
    </row>
    <row r="324">
      <c r="A324" s="4" t="n"/>
      <c r="B324" s="9">
        <f>IF(A324="","",INT(DAY(A324)/7)+1)</f>
      </c>
      <c r="C324" s="9" t="n"/>
      <c r="D324" s="9" t="n"/>
      <c r="E324" s="9" t="n"/>
      <c r="F324" s="9" t="n"/>
      <c r="G324" s="9" t="n"/>
      <c r="H324" s="9" t="n"/>
      <c r="I324" s="9" t="n"/>
      <c r="J324" s="3" t="n"/>
      <c r="K324" s="9" t="n"/>
    </row>
    <row r="325">
      <c r="A325" s="4" t="n"/>
      <c r="B325" s="9">
        <f>IF(A325="","",INT(DAY(A325)/7)+1)</f>
      </c>
      <c r="C325" s="9" t="n"/>
      <c r="D325" s="9" t="n"/>
      <c r="E325" s="9" t="n"/>
      <c r="F325" s="9" t="n"/>
      <c r="G325" s="9" t="n"/>
      <c r="H325" s="9" t="n"/>
      <c r="I325" s="9" t="n"/>
      <c r="J325" s="3" t="n"/>
      <c r="K325" s="9" t="n"/>
    </row>
    <row r="326">
      <c r="A326" s="4" t="n"/>
      <c r="B326" s="9">
        <f>IF(A326="","",INT(DAY(A326)/7)+1)</f>
      </c>
      <c r="C326" s="9" t="n"/>
      <c r="D326" s="9" t="n"/>
      <c r="E326" s="9" t="n"/>
      <c r="F326" s="9" t="n"/>
      <c r="G326" s="9" t="n"/>
      <c r="H326" s="9" t="n"/>
      <c r="I326" s="9" t="n"/>
      <c r="J326" s="3" t="n"/>
      <c r="K326" s="9" t="n"/>
    </row>
    <row r="327">
      <c r="A327" s="4" t="n"/>
      <c r="B327" s="9">
        <f>IF(A327="","",INT(DAY(A327)/7)+1)</f>
      </c>
      <c r="C327" s="9" t="n"/>
      <c r="D327" s="9" t="n"/>
      <c r="E327" s="9" t="n"/>
      <c r="F327" s="9" t="n"/>
      <c r="G327" s="9" t="n"/>
      <c r="H327" s="9" t="n"/>
      <c r="I327" s="9" t="n"/>
      <c r="J327" s="3" t="n"/>
      <c r="K327" s="9" t="n"/>
    </row>
    <row r="328">
      <c r="A328" s="4" t="n"/>
      <c r="B328" s="9">
        <f>IF(A328="","",INT(DAY(A328)/7)+1)</f>
      </c>
      <c r="C328" s="9" t="n"/>
      <c r="D328" s="9" t="n"/>
      <c r="E328" s="9" t="n"/>
      <c r="F328" s="9" t="n"/>
      <c r="G328" s="9" t="n"/>
      <c r="H328" s="9" t="n"/>
      <c r="I328" s="9" t="n"/>
      <c r="J328" s="3" t="n"/>
      <c r="K328" s="9" t="n"/>
    </row>
    <row r="329">
      <c r="A329" s="4" t="n"/>
      <c r="B329" s="9">
        <f>IF(A329="","",INT(DAY(A329)/7)+1)</f>
      </c>
      <c r="C329" s="9" t="n"/>
      <c r="D329" s="9" t="n"/>
      <c r="E329" s="9" t="n"/>
      <c r="F329" s="9" t="n"/>
      <c r="G329" s="9" t="n"/>
      <c r="H329" s="9" t="n"/>
      <c r="I329" s="9" t="n"/>
      <c r="J329" s="3" t="n"/>
      <c r="K329" s="9" t="n"/>
    </row>
    <row r="330">
      <c r="A330" s="4" t="n"/>
      <c r="B330" s="9">
        <f>IF(A330="","",INT(DAY(A330)/7)+1)</f>
      </c>
      <c r="C330" s="9" t="n"/>
      <c r="D330" s="9" t="n"/>
      <c r="E330" s="9" t="n"/>
      <c r="F330" s="9" t="n"/>
      <c r="G330" s="9" t="n"/>
      <c r="H330" s="9" t="n"/>
      <c r="I330" s="9" t="n"/>
      <c r="J330" s="3" t="n"/>
      <c r="K330" s="9" t="n"/>
    </row>
    <row r="331">
      <c r="A331" s="4" t="n"/>
      <c r="B331" s="9">
        <f>IF(A331="","",INT(DAY(A331)/7)+1)</f>
      </c>
      <c r="C331" s="9" t="n"/>
      <c r="D331" s="9" t="n"/>
      <c r="E331" s="9" t="n"/>
      <c r="F331" s="9" t="n"/>
      <c r="G331" s="9" t="n"/>
      <c r="H331" s="9" t="n"/>
      <c r="I331" s="9" t="n"/>
      <c r="J331" s="3" t="n"/>
      <c r="K331" s="9" t="n"/>
    </row>
    <row r="332">
      <c r="A332" s="4" t="n"/>
      <c r="B332" s="9">
        <f>IF(A332="","",INT(DAY(A332)/7)+1)</f>
      </c>
      <c r="C332" s="9" t="n"/>
      <c r="D332" s="9" t="n"/>
      <c r="E332" s="9" t="n"/>
      <c r="F332" s="9" t="n"/>
      <c r="G332" s="9" t="n"/>
      <c r="H332" s="9" t="n"/>
      <c r="I332" s="9" t="n"/>
      <c r="J332" s="3" t="n"/>
      <c r="K332" s="9" t="n"/>
    </row>
    <row r="333">
      <c r="A333" s="4" t="n"/>
      <c r="B333" s="9">
        <f>IF(A333="","",INT(DAY(A333)/7)+1)</f>
      </c>
      <c r="C333" s="9" t="n"/>
      <c r="D333" s="9" t="n"/>
      <c r="E333" s="9" t="n"/>
      <c r="F333" s="9" t="n"/>
      <c r="G333" s="9" t="n"/>
      <c r="H333" s="9" t="n"/>
      <c r="I333" s="9" t="n"/>
      <c r="J333" s="3" t="n"/>
      <c r="K333" s="9" t="n"/>
    </row>
    <row r="334">
      <c r="A334" s="4" t="n"/>
      <c r="B334" s="9">
        <f>IF(A334="","",INT(DAY(A334)/7)+1)</f>
      </c>
      <c r="C334" s="9" t="n"/>
      <c r="D334" s="9" t="n"/>
      <c r="E334" s="9" t="n"/>
      <c r="F334" s="9" t="n"/>
      <c r="G334" s="9" t="n"/>
      <c r="H334" s="9" t="n"/>
      <c r="I334" s="9" t="n"/>
      <c r="J334" s="3" t="n"/>
      <c r="K334" s="9" t="n"/>
    </row>
    <row r="335">
      <c r="A335" s="4" t="n"/>
      <c r="B335" s="9">
        <f>IF(A335="","",INT(DAY(A335)/7)+1)</f>
      </c>
      <c r="C335" s="9" t="n"/>
      <c r="D335" s="9" t="n"/>
      <c r="E335" s="9" t="n"/>
      <c r="F335" s="9" t="n"/>
      <c r="G335" s="9" t="n"/>
      <c r="H335" s="9" t="n"/>
      <c r="I335" s="9" t="n"/>
      <c r="J335" s="3" t="n"/>
      <c r="K335" s="9" t="n"/>
    </row>
    <row r="336">
      <c r="A336" s="4" t="n"/>
      <c r="B336" s="9">
        <f>IF(A336="","",INT(DAY(A336)/7)+1)</f>
      </c>
      <c r="C336" s="9" t="n"/>
      <c r="D336" s="9" t="n"/>
      <c r="E336" s="9" t="n"/>
      <c r="F336" s="9" t="n"/>
      <c r="G336" s="9" t="n"/>
      <c r="H336" s="9" t="n"/>
      <c r="I336" s="9" t="n"/>
      <c r="J336" s="3" t="n"/>
      <c r="K336" s="9" t="n"/>
    </row>
    <row r="337">
      <c r="A337" s="4" t="n"/>
      <c r="B337" s="9">
        <f>IF(A337="","",INT(DAY(A337)/7)+1)</f>
      </c>
      <c r="C337" s="9" t="n"/>
      <c r="D337" s="9" t="n"/>
      <c r="E337" s="9" t="n"/>
      <c r="F337" s="9" t="n"/>
      <c r="G337" s="9" t="n"/>
      <c r="H337" s="9" t="n"/>
      <c r="I337" s="9" t="n"/>
      <c r="J337" s="3" t="n"/>
      <c r="K337" s="9" t="n"/>
    </row>
    <row r="338">
      <c r="A338" s="4" t="n"/>
      <c r="B338" s="9">
        <f>IF(A338="","",INT(DAY(A338)/7)+1)</f>
      </c>
      <c r="C338" s="9" t="n"/>
      <c r="D338" s="9" t="n"/>
      <c r="E338" s="9" t="n"/>
      <c r="F338" s="9" t="n"/>
      <c r="G338" s="9" t="n"/>
      <c r="H338" s="9" t="n"/>
      <c r="I338" s="9" t="n"/>
      <c r="J338" s="3" t="n"/>
      <c r="K338" s="9" t="n"/>
    </row>
    <row r="339">
      <c r="A339" s="4" t="n"/>
      <c r="B339" s="9">
        <f>IF(A339="","",INT(DAY(A339)/7)+1)</f>
      </c>
      <c r="C339" s="9" t="n"/>
      <c r="D339" s="9" t="n"/>
      <c r="E339" s="9" t="n"/>
      <c r="F339" s="9" t="n"/>
      <c r="G339" s="9" t="n"/>
      <c r="H339" s="9" t="n"/>
      <c r="I339" s="9" t="n"/>
      <c r="J339" s="3" t="n"/>
      <c r="K339" s="9" t="n"/>
    </row>
    <row r="340">
      <c r="A340" s="4" t="n"/>
      <c r="B340" s="9">
        <f>IF(A340="","",INT(DAY(A340)/7)+1)</f>
      </c>
      <c r="C340" s="9" t="n"/>
      <c r="D340" s="9" t="n"/>
      <c r="E340" s="9" t="n"/>
      <c r="F340" s="9" t="n"/>
      <c r="G340" s="9" t="n"/>
      <c r="H340" s="9" t="n"/>
      <c r="I340" s="9" t="n"/>
      <c r="J340" s="3" t="n"/>
      <c r="K340" s="9" t="n"/>
    </row>
    <row r="341">
      <c r="A341" s="4" t="n"/>
      <c r="B341" s="9">
        <f>IF(A341="","",INT(DAY(A341)/7)+1)</f>
      </c>
      <c r="C341" s="9" t="n"/>
      <c r="D341" s="9" t="n"/>
      <c r="E341" s="9" t="n"/>
      <c r="F341" s="9" t="n"/>
      <c r="G341" s="9" t="n"/>
      <c r="H341" s="9" t="n"/>
      <c r="I341" s="9" t="n"/>
      <c r="J341" s="3" t="n"/>
      <c r="K341" s="9" t="n"/>
    </row>
    <row r="342">
      <c r="A342" s="4" t="n"/>
      <c r="B342" s="9">
        <f>IF(A342="","",INT(DAY(A342)/7)+1)</f>
      </c>
      <c r="C342" s="9" t="n"/>
      <c r="D342" s="9" t="n"/>
      <c r="E342" s="9" t="n"/>
      <c r="F342" s="9" t="n"/>
      <c r="G342" s="9" t="n"/>
      <c r="H342" s="9" t="n"/>
      <c r="I342" s="9" t="n"/>
      <c r="J342" s="3" t="n"/>
      <c r="K342" s="9" t="n"/>
    </row>
    <row r="343">
      <c r="A343" s="4" t="n"/>
      <c r="B343" s="9">
        <f>IF(A343="","",INT(DAY(A343)/7)+1)</f>
      </c>
      <c r="C343" s="9" t="n"/>
      <c r="D343" s="9" t="n"/>
      <c r="E343" s="9" t="n"/>
      <c r="F343" s="9" t="n"/>
      <c r="G343" s="9" t="n"/>
      <c r="H343" s="9" t="n"/>
      <c r="I343" s="9" t="n"/>
      <c r="J343" s="3" t="n"/>
      <c r="K343" s="9" t="n"/>
    </row>
    <row r="344">
      <c r="A344" s="4" t="n"/>
      <c r="B344" s="9">
        <f>IF(A344="","",INT(DAY(A344)/7)+1)</f>
      </c>
      <c r="C344" s="9" t="n"/>
      <c r="D344" s="9" t="n"/>
      <c r="E344" s="9" t="n"/>
      <c r="F344" s="9" t="n"/>
      <c r="G344" s="9" t="n"/>
      <c r="H344" s="9" t="n"/>
      <c r="I344" s="9" t="n"/>
      <c r="J344" s="3" t="n"/>
      <c r="K344" s="9" t="n"/>
    </row>
    <row r="345">
      <c r="A345" s="4" t="n"/>
      <c r="B345" s="9">
        <f>IF(A345="","",INT(DAY(A345)/7)+1)</f>
      </c>
      <c r="C345" s="9" t="n"/>
      <c r="D345" s="9" t="n"/>
      <c r="E345" s="9" t="n"/>
      <c r="F345" s="9" t="n"/>
      <c r="G345" s="9" t="n"/>
      <c r="H345" s="9" t="n"/>
      <c r="I345" s="9" t="n"/>
      <c r="J345" s="3" t="n"/>
      <c r="K345" s="9" t="n"/>
    </row>
    <row r="346">
      <c r="A346" s="4" t="n"/>
      <c r="B346" s="9">
        <f>IF(A346="","",INT(DAY(A346)/7)+1)</f>
      </c>
      <c r="C346" s="9" t="n"/>
      <c r="D346" s="9" t="n"/>
      <c r="E346" s="9" t="n"/>
      <c r="F346" s="9" t="n"/>
      <c r="G346" s="9" t="n"/>
      <c r="H346" s="9" t="n"/>
      <c r="I346" s="9" t="n"/>
      <c r="J346" s="3" t="n"/>
      <c r="K346" s="9" t="n"/>
    </row>
    <row r="347">
      <c r="A347" s="4" t="n"/>
      <c r="B347" s="9">
        <f>IF(A347="","",INT(DAY(A347)/7)+1)</f>
      </c>
      <c r="C347" s="9" t="n"/>
      <c r="D347" s="9" t="n"/>
      <c r="E347" s="9" t="n"/>
      <c r="F347" s="9" t="n"/>
      <c r="G347" s="9" t="n"/>
      <c r="H347" s="9" t="n"/>
      <c r="I347" s="9" t="n"/>
      <c r="J347" s="3" t="n"/>
      <c r="K347" s="9" t="n"/>
    </row>
    <row r="348">
      <c r="A348" s="4" t="n"/>
      <c r="B348" s="9">
        <f>IF(A348="","",INT(DAY(A348)/7)+1)</f>
      </c>
      <c r="C348" s="9" t="n"/>
      <c r="D348" s="9" t="n"/>
      <c r="E348" s="9" t="n"/>
      <c r="F348" s="9" t="n"/>
      <c r="G348" s="9" t="n"/>
      <c r="H348" s="9" t="n"/>
      <c r="I348" s="9" t="n"/>
      <c r="J348" s="3" t="n"/>
      <c r="K348" s="9" t="n"/>
    </row>
    <row r="349">
      <c r="A349" s="4" t="n"/>
      <c r="B349" s="9">
        <f>IF(A349="","",INT(DAY(A349)/7)+1)</f>
      </c>
      <c r="C349" s="9" t="n"/>
      <c r="D349" s="9" t="n"/>
      <c r="E349" s="9" t="n"/>
      <c r="F349" s="9" t="n"/>
      <c r="G349" s="9" t="n"/>
      <c r="H349" s="9" t="n"/>
      <c r="I349" s="9" t="n"/>
      <c r="J349" s="3" t="n"/>
      <c r="K349" s="9" t="n"/>
    </row>
    <row r="350">
      <c r="A350" s="4" t="n"/>
      <c r="B350" s="9">
        <f>IF(A350="","",INT(DAY(A350)/7)+1)</f>
      </c>
      <c r="C350" s="9" t="n"/>
      <c r="D350" s="9" t="n"/>
      <c r="E350" s="9" t="n"/>
      <c r="F350" s="9" t="n"/>
      <c r="G350" s="9" t="n"/>
      <c r="H350" s="9" t="n"/>
      <c r="I350" s="9" t="n"/>
      <c r="J350" s="3" t="n"/>
      <c r="K350" s="9" t="n"/>
    </row>
    <row r="351">
      <c r="A351" s="4" t="n"/>
      <c r="B351" s="9">
        <f>IF(A351="","",INT(DAY(A351)/7)+1)</f>
      </c>
      <c r="C351" s="9" t="n"/>
      <c r="D351" s="9" t="n"/>
      <c r="E351" s="9" t="n"/>
      <c r="F351" s="9" t="n"/>
      <c r="G351" s="9" t="n"/>
      <c r="H351" s="9" t="n"/>
      <c r="I351" s="9" t="n"/>
      <c r="J351" s="3" t="n"/>
      <c r="K351" s="9" t="n"/>
    </row>
    <row r="352">
      <c r="A352" s="4" t="n"/>
      <c r="B352" s="9">
        <f>IF(A352="","",INT(DAY(A352)/7)+1)</f>
      </c>
      <c r="C352" s="9" t="n"/>
      <c r="D352" s="9" t="n"/>
      <c r="E352" s="9" t="n"/>
      <c r="F352" s="9" t="n"/>
      <c r="G352" s="9" t="n"/>
      <c r="H352" s="9" t="n"/>
      <c r="I352" s="9" t="n"/>
      <c r="J352" s="3" t="n"/>
      <c r="K352" s="9" t="n"/>
    </row>
    <row r="353">
      <c r="A353" s="4" t="n"/>
      <c r="B353" s="9">
        <f>IF(A353="","",INT(DAY(A353)/7)+1)</f>
      </c>
      <c r="C353" s="9" t="n"/>
      <c r="D353" s="9" t="n"/>
      <c r="E353" s="9" t="n"/>
      <c r="F353" s="9" t="n"/>
      <c r="G353" s="9" t="n"/>
      <c r="H353" s="9" t="n"/>
      <c r="I353" s="9" t="n"/>
      <c r="J353" s="3" t="n"/>
      <c r="K353" s="9" t="n"/>
    </row>
    <row r="354">
      <c r="A354" s="4" t="n"/>
      <c r="B354" s="9">
        <f>IF(A354="","",INT(DAY(A354)/7)+1)</f>
      </c>
      <c r="C354" s="9" t="n"/>
      <c r="D354" s="9" t="n"/>
      <c r="E354" s="9" t="n"/>
      <c r="F354" s="9" t="n"/>
      <c r="G354" s="9" t="n"/>
      <c r="H354" s="9" t="n"/>
      <c r="I354" s="9" t="n"/>
      <c r="J354" s="3" t="n"/>
      <c r="K354" s="9" t="n"/>
    </row>
    <row r="355">
      <c r="A355" s="4" t="n"/>
      <c r="B355" s="9">
        <f>IF(A355="","",INT(DAY(A355)/7)+1)</f>
      </c>
      <c r="C355" s="9" t="n"/>
      <c r="D355" s="9" t="n"/>
      <c r="E355" s="9" t="n"/>
      <c r="F355" s="9" t="n"/>
      <c r="G355" s="9" t="n"/>
      <c r="H355" s="9" t="n"/>
      <c r="I355" s="9" t="n"/>
      <c r="J355" s="3" t="n"/>
      <c r="K355" s="9" t="n"/>
    </row>
    <row r="356">
      <c r="A356" s="4" t="n"/>
      <c r="B356" s="9">
        <f>IF(A356="","",INT(DAY(A356)/7)+1)</f>
      </c>
      <c r="C356" s="9" t="n"/>
      <c r="D356" s="9" t="n"/>
      <c r="E356" s="9" t="n"/>
      <c r="F356" s="9" t="n"/>
      <c r="G356" s="9" t="n"/>
      <c r="H356" s="9" t="n"/>
      <c r="I356" s="9" t="n"/>
      <c r="J356" s="3" t="n"/>
      <c r="K356" s="9" t="n"/>
    </row>
    <row r="357">
      <c r="A357" s="4" t="n"/>
      <c r="B357" s="9">
        <f>IF(A357="","",INT(DAY(A357)/7)+1)</f>
      </c>
      <c r="C357" s="9" t="n"/>
      <c r="D357" s="9" t="n"/>
      <c r="E357" s="9" t="n"/>
      <c r="F357" s="9" t="n"/>
      <c r="G357" s="9" t="n"/>
      <c r="H357" s="9" t="n"/>
      <c r="I357" s="9" t="n"/>
      <c r="J357" s="3" t="n"/>
      <c r="K357" s="9" t="n"/>
    </row>
    <row r="358">
      <c r="A358" s="4" t="n"/>
      <c r="B358" s="9">
        <f>IF(A358="","",INT(DAY(A358)/7)+1)</f>
      </c>
      <c r="C358" s="9" t="n"/>
      <c r="D358" s="9" t="n"/>
      <c r="E358" s="9" t="n"/>
      <c r="F358" s="9" t="n"/>
      <c r="G358" s="9" t="n"/>
      <c r="H358" s="9" t="n"/>
      <c r="I358" s="9" t="n"/>
      <c r="J358" s="3" t="n"/>
      <c r="K358" s="9" t="n"/>
    </row>
    <row r="359">
      <c r="A359" s="4" t="n"/>
      <c r="B359" s="9">
        <f>IF(A359="","",INT(DAY(A359)/7)+1)</f>
      </c>
      <c r="C359" s="9" t="n"/>
      <c r="D359" s="9" t="n"/>
      <c r="E359" s="9" t="n"/>
      <c r="F359" s="9" t="n"/>
      <c r="G359" s="9" t="n"/>
      <c r="H359" s="9" t="n"/>
      <c r="I359" s="9" t="n"/>
      <c r="J359" s="3" t="n"/>
      <c r="K359" s="9" t="n"/>
    </row>
    <row r="360">
      <c r="A360" s="4" t="n"/>
      <c r="B360" s="9">
        <f>IF(A360="","",INT(DAY(A360)/7)+1)</f>
      </c>
      <c r="C360" s="9" t="n"/>
      <c r="D360" s="9" t="n"/>
      <c r="E360" s="9" t="n"/>
      <c r="F360" s="9" t="n"/>
      <c r="G360" s="9" t="n"/>
      <c r="H360" s="9" t="n"/>
      <c r="I360" s="9" t="n"/>
      <c r="J360" s="3" t="n"/>
      <c r="K360" s="9" t="n"/>
    </row>
    <row r="361">
      <c r="A361" s="4" t="n"/>
      <c r="B361" s="9">
        <f>IF(A361="","",INT(DAY(A361)/7)+1)</f>
      </c>
      <c r="C361" s="9" t="n"/>
      <c r="D361" s="9" t="n"/>
      <c r="E361" s="9" t="n"/>
      <c r="F361" s="9" t="n"/>
      <c r="G361" s="9" t="n"/>
      <c r="H361" s="9" t="n"/>
      <c r="I361" s="9" t="n"/>
      <c r="J361" s="3" t="n"/>
      <c r="K361" s="9" t="n"/>
    </row>
    <row r="362">
      <c r="A362" s="4" t="n"/>
      <c r="B362" s="9">
        <f>IF(A362="","",INT(DAY(A362)/7)+1)</f>
      </c>
      <c r="C362" s="9" t="n"/>
      <c r="D362" s="9" t="n"/>
      <c r="E362" s="9" t="n"/>
      <c r="F362" s="9" t="n"/>
      <c r="G362" s="9" t="n"/>
      <c r="H362" s="9" t="n"/>
      <c r="I362" s="9" t="n"/>
      <c r="J362" s="3" t="n"/>
      <c r="K362" s="9" t="n"/>
    </row>
    <row r="363">
      <c r="A363" s="4" t="n"/>
      <c r="B363" s="9">
        <f>IF(A363="","",INT(DAY(A363)/7)+1)</f>
      </c>
      <c r="C363" s="9" t="n"/>
      <c r="D363" s="9" t="n"/>
      <c r="E363" s="9" t="n"/>
      <c r="F363" s="9" t="n"/>
      <c r="G363" s="9" t="n"/>
      <c r="H363" s="9" t="n"/>
      <c r="I363" s="9" t="n"/>
      <c r="J363" s="3" t="n"/>
      <c r="K363" s="9" t="n"/>
    </row>
    <row r="364">
      <c r="A364" s="4" t="n"/>
      <c r="B364" s="9">
        <f>IF(A364="","",INT(DAY(A364)/7)+1)</f>
      </c>
      <c r="C364" s="9" t="n"/>
      <c r="D364" s="9" t="n"/>
      <c r="E364" s="9" t="n"/>
      <c r="F364" s="9" t="n"/>
      <c r="G364" s="9" t="n"/>
      <c r="H364" s="9" t="n"/>
      <c r="I364" s="9" t="n"/>
      <c r="J364" s="3" t="n"/>
      <c r="K364" s="9" t="n"/>
    </row>
    <row r="365">
      <c r="A365" s="4" t="n"/>
      <c r="B365" s="9">
        <f>IF(A365="","",INT(DAY(A365)/7)+1)</f>
      </c>
      <c r="C365" s="9" t="n"/>
      <c r="D365" s="9" t="n"/>
      <c r="E365" s="9" t="n"/>
      <c r="F365" s="9" t="n"/>
      <c r="G365" s="9" t="n"/>
      <c r="H365" s="9" t="n"/>
      <c r="I365" s="9" t="n"/>
      <c r="J365" s="3" t="n"/>
      <c r="K365" s="9" t="n"/>
    </row>
    <row r="366">
      <c r="A366" s="4" t="n"/>
      <c r="B366" s="9">
        <f>IF(A366="","",INT(DAY(A366)/7)+1)</f>
      </c>
      <c r="C366" s="9" t="n"/>
      <c r="D366" s="9" t="n"/>
      <c r="E366" s="9" t="n"/>
      <c r="F366" s="9" t="n"/>
      <c r="G366" s="9" t="n"/>
      <c r="H366" s="9" t="n"/>
      <c r="I366" s="9" t="n"/>
      <c r="J366" s="3" t="n"/>
      <c r="K366" s="9" t="n"/>
    </row>
    <row r="367">
      <c r="A367" s="4" t="n"/>
      <c r="B367" s="9">
        <f>IF(A367="","",INT(DAY(A367)/7)+1)</f>
      </c>
      <c r="C367" s="9" t="n"/>
      <c r="D367" s="9" t="n"/>
      <c r="E367" s="9" t="n"/>
      <c r="F367" s="9" t="n"/>
      <c r="G367" s="9" t="n"/>
      <c r="H367" s="9" t="n"/>
      <c r="I367" s="9" t="n"/>
      <c r="J367" s="3" t="n"/>
      <c r="K367" s="9" t="n"/>
    </row>
    <row r="368">
      <c r="A368" s="4" t="n"/>
      <c r="B368" s="9">
        <f>IF(A368="","",INT(DAY(A368)/7)+1)</f>
      </c>
      <c r="C368" s="9" t="n"/>
      <c r="D368" s="9" t="n"/>
      <c r="E368" s="9" t="n"/>
      <c r="F368" s="9" t="n"/>
      <c r="G368" s="9" t="n"/>
      <c r="H368" s="9" t="n"/>
      <c r="I368" s="9" t="n"/>
      <c r="J368" s="3" t="n"/>
      <c r="K368" s="9" t="n"/>
    </row>
    <row r="369">
      <c r="A369" s="4" t="n"/>
      <c r="B369" s="9">
        <f>IF(A369="","",INT(DAY(A369)/7)+1)</f>
      </c>
      <c r="C369" s="9" t="n"/>
      <c r="D369" s="9" t="n"/>
      <c r="E369" s="9" t="n"/>
      <c r="F369" s="9" t="n"/>
      <c r="G369" s="9" t="n"/>
      <c r="H369" s="9" t="n"/>
      <c r="I369" s="9" t="n"/>
      <c r="J369" s="3" t="n"/>
      <c r="K369" s="9" t="n"/>
    </row>
    <row r="370">
      <c r="A370" s="4" t="n"/>
      <c r="B370" s="9">
        <f>IF(A370="","",INT(DAY(A370)/7)+1)</f>
      </c>
      <c r="C370" s="9" t="n"/>
      <c r="D370" s="9" t="n"/>
      <c r="E370" s="9" t="n"/>
      <c r="F370" s="9" t="n"/>
      <c r="G370" s="9" t="n"/>
      <c r="H370" s="9" t="n"/>
      <c r="I370" s="9" t="n"/>
      <c r="J370" s="3" t="n"/>
      <c r="K370" s="9" t="n"/>
    </row>
    <row r="371">
      <c r="A371" s="4" t="n"/>
      <c r="B371" s="9">
        <f>IF(A371="","",INT(DAY(A371)/7)+1)</f>
      </c>
      <c r="C371" s="9" t="n"/>
      <c r="D371" s="9" t="n"/>
      <c r="E371" s="9" t="n"/>
      <c r="F371" s="9" t="n"/>
      <c r="G371" s="9" t="n"/>
      <c r="H371" s="9" t="n"/>
      <c r="I371" s="9" t="n"/>
      <c r="J371" s="3" t="n"/>
      <c r="K371" s="9" t="n"/>
    </row>
    <row r="372">
      <c r="A372" s="4" t="n"/>
      <c r="B372" s="9">
        <f>IF(A372="","",INT(DAY(A372)/7)+1)</f>
      </c>
      <c r="C372" s="9" t="n"/>
      <c r="D372" s="9" t="n"/>
      <c r="E372" s="9" t="n"/>
      <c r="F372" s="9" t="n"/>
      <c r="G372" s="9" t="n"/>
      <c r="H372" s="9" t="n"/>
      <c r="I372" s="9" t="n"/>
      <c r="J372" s="3" t="n"/>
      <c r="K372" s="9" t="n"/>
    </row>
    <row r="373">
      <c r="A373" s="4" t="n"/>
      <c r="B373" s="9">
        <f>IF(A373="","",INT(DAY(A373)/7)+1)</f>
      </c>
      <c r="C373" s="9" t="n"/>
      <c r="D373" s="9" t="n"/>
      <c r="E373" s="9" t="n"/>
      <c r="F373" s="9" t="n"/>
      <c r="G373" s="9" t="n"/>
      <c r="H373" s="9" t="n"/>
      <c r="I373" s="9" t="n"/>
      <c r="J373" s="3" t="n"/>
      <c r="K373" s="9" t="n"/>
    </row>
    <row r="374">
      <c r="A374" s="4" t="n"/>
      <c r="B374" s="9">
        <f>IF(A374="","",INT(DAY(A374)/7)+1)</f>
      </c>
      <c r="C374" s="9" t="n"/>
      <c r="D374" s="9" t="n"/>
      <c r="E374" s="9" t="n"/>
      <c r="F374" s="9" t="n"/>
      <c r="G374" s="9" t="n"/>
      <c r="H374" s="9" t="n"/>
      <c r="I374" s="9" t="n"/>
      <c r="J374" s="3" t="n"/>
      <c r="K374" s="9" t="n"/>
    </row>
    <row r="375">
      <c r="A375" s="4" t="n"/>
      <c r="B375" s="9">
        <f>IF(A375="","",INT(DAY(A375)/7)+1)</f>
      </c>
      <c r="C375" s="9" t="n"/>
      <c r="D375" s="9" t="n"/>
      <c r="E375" s="9" t="n"/>
      <c r="F375" s="9" t="n"/>
      <c r="G375" s="9" t="n"/>
      <c r="H375" s="9" t="n"/>
      <c r="I375" s="9" t="n"/>
      <c r="J375" s="3" t="n"/>
      <c r="K375" s="9" t="n"/>
    </row>
    <row r="376">
      <c r="A376" s="4" t="n"/>
      <c r="B376" s="9">
        <f>IF(A376="","",INT(DAY(A376)/7)+1)</f>
      </c>
      <c r="C376" s="9" t="n"/>
      <c r="D376" s="9" t="n"/>
      <c r="E376" s="9" t="n"/>
      <c r="F376" s="9" t="n"/>
      <c r="G376" s="9" t="n"/>
      <c r="H376" s="9" t="n"/>
      <c r="I376" s="9" t="n"/>
      <c r="J376" s="3" t="n"/>
      <c r="K376" s="9" t="n"/>
    </row>
    <row r="377">
      <c r="A377" s="4" t="n"/>
      <c r="B377" s="9">
        <f>IF(A377="","",INT(DAY(A377)/7)+1)</f>
      </c>
      <c r="C377" s="9" t="n"/>
      <c r="D377" s="9" t="n"/>
      <c r="E377" s="9" t="n"/>
      <c r="F377" s="9" t="n"/>
      <c r="G377" s="9" t="n"/>
      <c r="H377" s="9" t="n"/>
      <c r="I377" s="9" t="n"/>
      <c r="J377" s="3" t="n"/>
      <c r="K377" s="9" t="n"/>
    </row>
    <row r="378">
      <c r="A378" s="4" t="n"/>
      <c r="B378" s="9">
        <f>IF(A378="","",INT(DAY(A378)/7)+1)</f>
      </c>
      <c r="C378" s="9" t="n"/>
      <c r="D378" s="9" t="n"/>
      <c r="E378" s="9" t="n"/>
      <c r="F378" s="9" t="n"/>
      <c r="G378" s="9" t="n"/>
      <c r="H378" s="9" t="n"/>
      <c r="I378" s="9" t="n"/>
      <c r="J378" s="3" t="n"/>
      <c r="K378" s="9" t="n"/>
    </row>
    <row r="379">
      <c r="A379" s="4" t="n"/>
      <c r="B379" s="9">
        <f>IF(A379="","",INT(DAY(A379)/7)+1)</f>
      </c>
      <c r="C379" s="9" t="n"/>
      <c r="D379" s="9" t="n"/>
      <c r="E379" s="9" t="n"/>
      <c r="F379" s="9" t="n"/>
      <c r="G379" s="9" t="n"/>
      <c r="H379" s="9" t="n"/>
      <c r="I379" s="9" t="n"/>
      <c r="J379" s="3" t="n"/>
      <c r="K379" s="9" t="n"/>
    </row>
    <row r="380">
      <c r="A380" s="4" t="n"/>
      <c r="B380" s="9">
        <f>IF(A380="","",INT(DAY(A380)/7)+1)</f>
      </c>
      <c r="C380" s="9" t="n"/>
      <c r="D380" s="9" t="n"/>
      <c r="E380" s="9" t="n"/>
      <c r="F380" s="9" t="n"/>
      <c r="G380" s="9" t="n"/>
      <c r="H380" s="9" t="n"/>
      <c r="I380" s="9" t="n"/>
      <c r="J380" s="3" t="n"/>
      <c r="K380" s="9" t="n"/>
    </row>
    <row r="381">
      <c r="A381" s="4" t="n"/>
      <c r="B381" s="9">
        <f>IF(A381="","",INT(DAY(A381)/7)+1)</f>
      </c>
      <c r="C381" s="9" t="n"/>
      <c r="D381" s="9" t="n"/>
      <c r="E381" s="9" t="n"/>
      <c r="F381" s="9" t="n"/>
      <c r="G381" s="9" t="n"/>
      <c r="H381" s="9" t="n"/>
      <c r="I381" s="9" t="n"/>
      <c r="J381" s="3" t="n"/>
      <c r="K381" s="9" t="n"/>
    </row>
    <row r="382">
      <c r="A382" s="4" t="n"/>
      <c r="B382" s="9">
        <f>IF(A382="","",INT(DAY(A382)/7)+1)</f>
      </c>
      <c r="C382" s="9" t="n"/>
      <c r="D382" s="9" t="n"/>
      <c r="E382" s="9" t="n"/>
      <c r="F382" s="9" t="n"/>
      <c r="G382" s="9" t="n"/>
      <c r="H382" s="9" t="n"/>
      <c r="I382" s="9" t="n"/>
      <c r="J382" s="3" t="n"/>
      <c r="K382" s="9" t="n"/>
    </row>
    <row r="383">
      <c r="A383" s="4" t="n"/>
      <c r="B383" s="9">
        <f>IF(A383="","",INT(DAY(A383)/7)+1)</f>
      </c>
      <c r="C383" s="9" t="n"/>
      <c r="D383" s="9" t="n"/>
      <c r="E383" s="9" t="n"/>
      <c r="F383" s="9" t="n"/>
      <c r="G383" s="9" t="n"/>
      <c r="H383" s="9" t="n"/>
      <c r="I383" s="9" t="n"/>
      <c r="J383" s="3" t="n"/>
      <c r="K383" s="9" t="n"/>
    </row>
    <row r="384">
      <c r="A384" s="4" t="n"/>
      <c r="B384" s="9">
        <f>IF(A384="","",INT(DAY(A384)/7)+1)</f>
      </c>
      <c r="C384" s="9" t="n"/>
      <c r="D384" s="9" t="n"/>
      <c r="E384" s="9" t="n"/>
      <c r="F384" s="9" t="n"/>
      <c r="G384" s="9" t="n"/>
      <c r="H384" s="9" t="n"/>
      <c r="I384" s="9" t="n"/>
      <c r="J384" s="3" t="n"/>
      <c r="K384" s="9" t="n"/>
    </row>
    <row r="385">
      <c r="A385" s="4" t="n"/>
      <c r="B385" s="9">
        <f>IF(A385="","",INT(DAY(A385)/7)+1)</f>
      </c>
      <c r="C385" s="9" t="n"/>
      <c r="D385" s="9" t="n"/>
      <c r="E385" s="9" t="n"/>
      <c r="F385" s="9" t="n"/>
      <c r="G385" s="9" t="n"/>
      <c r="H385" s="9" t="n"/>
      <c r="I385" s="9" t="n"/>
      <c r="J385" s="3" t="n"/>
      <c r="K385" s="9" t="n"/>
    </row>
    <row r="386">
      <c r="A386" s="4" t="n"/>
      <c r="B386" s="9">
        <f>IF(A386="","",INT(DAY(A386)/7)+1)</f>
      </c>
      <c r="C386" s="9" t="n"/>
      <c r="D386" s="9" t="n"/>
      <c r="E386" s="9" t="n"/>
      <c r="F386" s="9" t="n"/>
      <c r="G386" s="9" t="n"/>
      <c r="H386" s="9" t="n"/>
      <c r="I386" s="9" t="n"/>
      <c r="J386" s="3" t="n"/>
      <c r="K386" s="9" t="n"/>
    </row>
    <row r="387">
      <c r="A387" s="4" t="n"/>
      <c r="B387" s="9">
        <f>IF(A387="","",INT(DAY(A387)/7)+1)</f>
      </c>
      <c r="C387" s="9" t="n"/>
      <c r="D387" s="9" t="n"/>
      <c r="E387" s="9" t="n"/>
      <c r="F387" s="9" t="n"/>
      <c r="G387" s="9" t="n"/>
      <c r="H387" s="9" t="n"/>
      <c r="I387" s="9" t="n"/>
      <c r="J387" s="3" t="n"/>
      <c r="K387" s="9" t="n"/>
    </row>
    <row r="388">
      <c r="A388" s="4" t="n"/>
      <c r="B388" s="9">
        <f>IF(A388="","",INT(DAY(A388)/7)+1)</f>
      </c>
      <c r="C388" s="9" t="n"/>
      <c r="D388" s="9" t="n"/>
      <c r="E388" s="9" t="n"/>
      <c r="F388" s="9" t="n"/>
      <c r="G388" s="9" t="n"/>
      <c r="H388" s="9" t="n"/>
      <c r="I388" s="9" t="n"/>
      <c r="J388" s="3" t="n"/>
      <c r="K388" s="9" t="n"/>
    </row>
    <row r="389">
      <c r="A389" s="4" t="n"/>
      <c r="B389" s="9">
        <f>IF(A389="","",INT(DAY(A389)/7)+1)</f>
      </c>
      <c r="C389" s="9" t="n"/>
      <c r="D389" s="9" t="n"/>
      <c r="E389" s="9" t="n"/>
      <c r="F389" s="9" t="n"/>
      <c r="G389" s="9" t="n"/>
      <c r="H389" s="9" t="n"/>
      <c r="I389" s="9" t="n"/>
      <c r="J389" s="3" t="n"/>
      <c r="K389" s="9" t="n"/>
    </row>
    <row r="390">
      <c r="A390" s="4" t="n"/>
      <c r="B390" s="9">
        <f>IF(A390="","",INT(DAY(A390)/7)+1)</f>
      </c>
      <c r="C390" s="9" t="n"/>
      <c r="D390" s="9" t="n"/>
      <c r="E390" s="9" t="n"/>
      <c r="F390" s="9" t="n"/>
      <c r="G390" s="9" t="n"/>
      <c r="H390" s="9" t="n"/>
      <c r="I390" s="9" t="n"/>
      <c r="J390" s="3" t="n"/>
      <c r="K390" s="9" t="n"/>
    </row>
    <row r="391">
      <c r="A391" s="4" t="n"/>
      <c r="B391" s="9">
        <f>IF(A391="","",INT(DAY(A391)/7)+1)</f>
      </c>
      <c r="C391" s="9" t="n"/>
      <c r="D391" s="9" t="n"/>
      <c r="E391" s="9" t="n"/>
      <c r="F391" s="9" t="n"/>
      <c r="G391" s="9" t="n"/>
      <c r="H391" s="9" t="n"/>
      <c r="I391" s="9" t="n"/>
      <c r="J391" s="3" t="n"/>
      <c r="K391" s="9" t="n"/>
    </row>
    <row r="392">
      <c r="A392" s="4" t="n"/>
      <c r="B392" s="9">
        <f>IF(A392="","",INT(DAY(A392)/7)+1)</f>
      </c>
      <c r="C392" s="9" t="n"/>
      <c r="D392" s="9" t="n"/>
      <c r="E392" s="9" t="n"/>
      <c r="F392" s="9" t="n"/>
      <c r="G392" s="9" t="n"/>
      <c r="H392" s="9" t="n"/>
      <c r="I392" s="9" t="n"/>
      <c r="J392" s="3" t="n"/>
      <c r="K392" s="9" t="n"/>
    </row>
    <row r="393">
      <c r="A393" s="4" t="n"/>
      <c r="B393" s="9">
        <f>IF(A393="","",INT(DAY(A393)/7)+1)</f>
      </c>
      <c r="C393" s="9" t="n"/>
      <c r="D393" s="9" t="n"/>
      <c r="E393" s="9" t="n"/>
      <c r="F393" s="9" t="n"/>
      <c r="G393" s="9" t="n"/>
      <c r="H393" s="9" t="n"/>
      <c r="I393" s="9" t="n"/>
      <c r="J393" s="3" t="n"/>
      <c r="K393" s="9" t="n"/>
    </row>
    <row r="394">
      <c r="A394" s="4" t="n"/>
      <c r="B394" s="9">
        <f>IF(A394="","",INT(DAY(A394)/7)+1)</f>
      </c>
      <c r="C394" s="9" t="n"/>
      <c r="D394" s="9" t="n"/>
      <c r="E394" s="9" t="n"/>
      <c r="F394" s="9" t="n"/>
      <c r="G394" s="9" t="n"/>
      <c r="H394" s="9" t="n"/>
      <c r="I394" s="9" t="n"/>
      <c r="J394" s="3" t="n"/>
      <c r="K394" s="9" t="n"/>
    </row>
    <row r="395">
      <c r="A395" s="4" t="n"/>
      <c r="B395" s="9">
        <f>IF(A395="","",INT(DAY(A395)/7)+1)</f>
      </c>
      <c r="C395" s="9" t="n"/>
      <c r="D395" s="9" t="n"/>
      <c r="E395" s="9" t="n"/>
      <c r="F395" s="9" t="n"/>
      <c r="G395" s="9" t="n"/>
      <c r="H395" s="9" t="n"/>
      <c r="I395" s="9" t="n"/>
      <c r="J395" s="3" t="n"/>
      <c r="K395" s="9" t="n"/>
    </row>
    <row r="396">
      <c r="A396" s="4" t="n"/>
      <c r="B396" s="9">
        <f>IF(A396="","",INT(DAY(A396)/7)+1)</f>
      </c>
      <c r="C396" s="9" t="n"/>
      <c r="D396" s="9" t="n"/>
      <c r="E396" s="9" t="n"/>
      <c r="F396" s="9" t="n"/>
      <c r="G396" s="9" t="n"/>
      <c r="H396" s="9" t="n"/>
      <c r="I396" s="9" t="n"/>
      <c r="J396" s="3" t="n"/>
      <c r="K396" s="9" t="n"/>
    </row>
    <row r="397">
      <c r="A397" s="4" t="n"/>
      <c r="B397" s="9">
        <f>IF(A397="","",INT(DAY(A397)/7)+1)</f>
      </c>
      <c r="C397" s="9" t="n"/>
      <c r="D397" s="9" t="n"/>
      <c r="E397" s="9" t="n"/>
      <c r="F397" s="9" t="n"/>
      <c r="G397" s="9" t="n"/>
      <c r="H397" s="9" t="n"/>
      <c r="I397" s="9" t="n"/>
      <c r="J397" s="3" t="n"/>
      <c r="K397" s="9" t="n"/>
    </row>
    <row r="398">
      <c r="A398" s="4" t="n"/>
      <c r="B398" s="9">
        <f>IF(A398="","",INT(DAY(A398)/7)+1)</f>
      </c>
      <c r="C398" s="9" t="n"/>
      <c r="D398" s="9" t="n"/>
      <c r="E398" s="9" t="n"/>
      <c r="F398" s="9" t="n"/>
      <c r="G398" s="9" t="n"/>
      <c r="H398" s="9" t="n"/>
      <c r="I398" s="9" t="n"/>
      <c r="J398" s="3" t="n"/>
      <c r="K398" s="9" t="n"/>
    </row>
    <row r="399">
      <c r="A399" s="4" t="n"/>
      <c r="B399" s="9">
        <f>IF(A399="","",INT(DAY(A399)/7)+1)</f>
      </c>
      <c r="C399" s="9" t="n"/>
      <c r="D399" s="9" t="n"/>
      <c r="E399" s="9" t="n"/>
      <c r="F399" s="9" t="n"/>
      <c r="G399" s="9" t="n"/>
      <c r="H399" s="9" t="n"/>
      <c r="I399" s="9" t="n"/>
      <c r="J399" s="3" t="n"/>
      <c r="K399" s="9" t="n"/>
    </row>
    <row r="400">
      <c r="A400" s="4" t="n"/>
      <c r="B400" s="9">
        <f>IF(A400="","",INT(DAY(A400)/7)+1)</f>
      </c>
      <c r="C400" s="9" t="n"/>
      <c r="D400" s="9" t="n"/>
      <c r="E400" s="9" t="n"/>
      <c r="F400" s="9" t="n"/>
      <c r="G400" s="9" t="n"/>
      <c r="H400" s="9" t="n"/>
      <c r="I400" s="9" t="n"/>
      <c r="J400" s="3" t="n"/>
      <c r="K400" s="9" t="n"/>
    </row>
    <row r="401">
      <c r="A401" s="4" t="n"/>
      <c r="B401" s="9">
        <f>IF(A401="","",INT(DAY(A401)/7)+1)</f>
      </c>
      <c r="C401" s="9" t="n"/>
      <c r="D401" s="9" t="n"/>
      <c r="E401" s="9" t="n"/>
      <c r="F401" s="9" t="n"/>
      <c r="G401" s="9" t="n"/>
      <c r="H401" s="9" t="n"/>
      <c r="I401" s="9" t="n"/>
      <c r="J401" s="3" t="n"/>
      <c r="K401" s="9" t="n"/>
    </row>
    <row r="402">
      <c r="A402" s="4" t="n"/>
      <c r="B402" s="9">
        <f>IF(A402="","",INT(DAY(A402)/7)+1)</f>
      </c>
      <c r="C402" s="9" t="n"/>
      <c r="D402" s="9" t="n"/>
      <c r="E402" s="9" t="n"/>
      <c r="F402" s="9" t="n"/>
      <c r="G402" s="9" t="n"/>
      <c r="H402" s="9" t="n"/>
      <c r="I402" s="9" t="n"/>
      <c r="J402" s="3" t="n"/>
      <c r="K402" s="9" t="n"/>
    </row>
    <row r="403">
      <c r="A403" s="4" t="n"/>
      <c r="B403" s="9">
        <f>IF(A403="","",INT(DAY(A403)/7)+1)</f>
      </c>
      <c r="C403" s="9" t="n"/>
      <c r="D403" s="9" t="n"/>
      <c r="E403" s="9" t="n"/>
      <c r="F403" s="9" t="n"/>
      <c r="G403" s="9" t="n"/>
      <c r="H403" s="9" t="n"/>
      <c r="I403" s="9" t="n"/>
      <c r="J403" s="3" t="n"/>
      <c r="K403" s="9" t="n"/>
    </row>
    <row r="404">
      <c r="A404" s="4" t="n"/>
      <c r="B404" s="9">
        <f>IF(A404="","",INT(DAY(A404)/7)+1)</f>
      </c>
      <c r="C404" s="9" t="n"/>
      <c r="D404" s="9" t="n"/>
      <c r="E404" s="9" t="n"/>
      <c r="F404" s="9" t="n"/>
      <c r="G404" s="9" t="n"/>
      <c r="H404" s="9" t="n"/>
      <c r="I404" s="9" t="n"/>
      <c r="J404" s="3" t="n"/>
      <c r="K404" s="9" t="n"/>
    </row>
    <row r="405">
      <c r="A405" s="4" t="n"/>
      <c r="B405" s="9">
        <f>IF(A405="","",INT(DAY(A405)/7)+1)</f>
      </c>
      <c r="C405" s="9" t="n"/>
      <c r="D405" s="9" t="n"/>
      <c r="E405" s="9" t="n"/>
      <c r="F405" s="9" t="n"/>
      <c r="G405" s="9" t="n"/>
      <c r="H405" s="9" t="n"/>
      <c r="I405" s="9" t="n"/>
      <c r="J405" s="3" t="n"/>
      <c r="K405" s="9" t="n"/>
    </row>
    <row r="406">
      <c r="A406" s="4" t="n"/>
      <c r="B406" s="9">
        <f>IF(A406="","",INT(DAY(A406)/7)+1)</f>
      </c>
      <c r="C406" s="9" t="n"/>
      <c r="D406" s="9" t="n"/>
      <c r="E406" s="9" t="n"/>
      <c r="F406" s="9" t="n"/>
      <c r="G406" s="9" t="n"/>
      <c r="H406" s="9" t="n"/>
      <c r="I406" s="9" t="n"/>
      <c r="J406" s="3" t="n"/>
      <c r="K406" s="9" t="n"/>
    </row>
    <row r="407">
      <c r="A407" s="4" t="n"/>
      <c r="B407" s="9">
        <f>IF(A407="","",INT(DAY(A407)/7)+1)</f>
      </c>
      <c r="C407" s="9" t="n"/>
      <c r="D407" s="9" t="n"/>
      <c r="E407" s="9" t="n"/>
      <c r="F407" s="9" t="n"/>
      <c r="G407" s="9" t="n"/>
      <c r="H407" s="9" t="n"/>
      <c r="I407" s="9" t="n"/>
      <c r="J407" s="3" t="n"/>
      <c r="K407" s="9" t="n"/>
    </row>
    <row r="408">
      <c r="A408" s="4" t="n"/>
      <c r="B408" s="9">
        <f>IF(A408="","",INT(DAY(A408)/7)+1)</f>
      </c>
      <c r="C408" s="9" t="n"/>
      <c r="D408" s="9" t="n"/>
      <c r="E408" s="9" t="n"/>
      <c r="F408" s="9" t="n"/>
      <c r="G408" s="9" t="n"/>
      <c r="H408" s="9" t="n"/>
      <c r="I408" s="9" t="n"/>
      <c r="J408" s="3" t="n"/>
      <c r="K408" s="9" t="n"/>
    </row>
    <row r="409">
      <c r="A409" s="4" t="n"/>
      <c r="B409" s="9">
        <f>IF(A409="","",INT(DAY(A409)/7)+1)</f>
      </c>
      <c r="C409" s="9" t="n"/>
      <c r="D409" s="9" t="n"/>
      <c r="E409" s="9" t="n"/>
      <c r="F409" s="9" t="n"/>
      <c r="G409" s="9" t="n"/>
      <c r="H409" s="9" t="n"/>
      <c r="I409" s="9" t="n"/>
      <c r="J409" s="3" t="n"/>
      <c r="K409" s="9" t="n"/>
    </row>
    <row r="410">
      <c r="A410" s="4" t="n"/>
      <c r="B410" s="9">
        <f>IF(A410="","",INT(DAY(A410)/7)+1)</f>
      </c>
      <c r="C410" s="9" t="n"/>
      <c r="D410" s="9" t="n"/>
      <c r="E410" s="9" t="n"/>
      <c r="F410" s="9" t="n"/>
      <c r="G410" s="9" t="n"/>
      <c r="H410" s="9" t="n"/>
      <c r="I410" s="9" t="n"/>
      <c r="J410" s="3" t="n"/>
      <c r="K410" s="9" t="n"/>
    </row>
    <row r="411">
      <c r="A411" s="4" t="n"/>
      <c r="B411" s="9">
        <f>IF(A411="","",INT(DAY(A411)/7)+1)</f>
      </c>
      <c r="C411" s="9" t="n"/>
      <c r="D411" s="9" t="n"/>
      <c r="E411" s="9" t="n"/>
      <c r="F411" s="9" t="n"/>
      <c r="G411" s="9" t="n"/>
      <c r="H411" s="9" t="n"/>
      <c r="I411" s="9" t="n"/>
      <c r="J411" s="3" t="n"/>
      <c r="K411" s="9" t="n"/>
    </row>
    <row r="412">
      <c r="A412" s="4" t="n"/>
      <c r="B412" s="9">
        <f>IF(A412="","",INT(DAY(A412)/7)+1)</f>
      </c>
      <c r="C412" s="9" t="n"/>
      <c r="D412" s="9" t="n"/>
      <c r="E412" s="9" t="n"/>
      <c r="F412" s="9" t="n"/>
      <c r="G412" s="9" t="n"/>
      <c r="H412" s="9" t="n"/>
      <c r="I412" s="9" t="n"/>
      <c r="J412" s="3" t="n"/>
      <c r="K412" s="9" t="n"/>
    </row>
    <row r="413">
      <c r="A413" s="4" t="n"/>
      <c r="B413" s="9">
        <f>IF(A413="","",INT(DAY(A413)/7)+1)</f>
      </c>
      <c r="C413" s="9" t="n"/>
      <c r="D413" s="9" t="n"/>
      <c r="E413" s="9" t="n"/>
      <c r="F413" s="9" t="n"/>
      <c r="G413" s="9" t="n"/>
      <c r="H413" s="9" t="n"/>
      <c r="I413" s="9" t="n"/>
      <c r="J413" s="3" t="n"/>
      <c r="K413" s="9" t="n"/>
    </row>
    <row r="414">
      <c r="A414" s="4" t="n"/>
      <c r="B414" s="9">
        <f>IF(A414="","",INT(DAY(A414)/7)+1)</f>
      </c>
      <c r="C414" s="9" t="n"/>
      <c r="D414" s="9" t="n"/>
      <c r="E414" s="9" t="n"/>
      <c r="F414" s="9" t="n"/>
      <c r="G414" s="9" t="n"/>
      <c r="H414" s="9" t="n"/>
      <c r="I414" s="9" t="n"/>
      <c r="J414" s="3" t="n"/>
      <c r="K414" s="9" t="n"/>
    </row>
    <row r="415">
      <c r="A415" s="4" t="n"/>
      <c r="B415" s="9">
        <f>IF(A415="","",INT(DAY(A415)/7)+1)</f>
      </c>
      <c r="C415" s="9" t="n"/>
      <c r="D415" s="9" t="n"/>
      <c r="E415" s="9" t="n"/>
      <c r="F415" s="9" t="n"/>
      <c r="G415" s="9" t="n"/>
      <c r="H415" s="9" t="n"/>
      <c r="I415" s="9" t="n"/>
      <c r="J415" s="3" t="n"/>
      <c r="K415" s="9" t="n"/>
    </row>
    <row r="416">
      <c r="A416" s="4" t="n"/>
      <c r="B416" s="9">
        <f>IF(A416="","",INT(DAY(A416)/7)+1)</f>
      </c>
      <c r="C416" s="9" t="n"/>
      <c r="D416" s="9" t="n"/>
      <c r="E416" s="9" t="n"/>
      <c r="F416" s="9" t="n"/>
      <c r="G416" s="9" t="n"/>
      <c r="H416" s="9" t="n"/>
      <c r="I416" s="9" t="n"/>
      <c r="J416" s="3" t="n"/>
      <c r="K416" s="9" t="n"/>
    </row>
    <row r="417">
      <c r="A417" s="4" t="n"/>
      <c r="B417" s="9">
        <f>IF(A417="","",INT(DAY(A417)/7)+1)</f>
      </c>
      <c r="C417" s="9" t="n"/>
      <c r="D417" s="9" t="n"/>
      <c r="E417" s="9" t="n"/>
      <c r="F417" s="9" t="n"/>
      <c r="G417" s="9" t="n"/>
      <c r="H417" s="9" t="n"/>
      <c r="I417" s="9" t="n"/>
      <c r="J417" s="3" t="n"/>
      <c r="K417" s="9" t="n"/>
    </row>
    <row r="418">
      <c r="A418" s="4" t="n"/>
      <c r="B418" s="9">
        <f>IF(A418="","",INT(DAY(A418)/7)+1)</f>
      </c>
      <c r="C418" s="9" t="n"/>
      <c r="D418" s="9" t="n"/>
      <c r="E418" s="9" t="n"/>
      <c r="F418" s="9" t="n"/>
      <c r="G418" s="9" t="n"/>
      <c r="H418" s="9" t="n"/>
      <c r="I418" s="9" t="n"/>
      <c r="J418" s="3" t="n"/>
      <c r="K418" s="9" t="n"/>
    </row>
    <row r="419">
      <c r="A419" s="4" t="n"/>
      <c r="B419" s="9">
        <f>IF(A419="","",INT(DAY(A419)/7)+1)</f>
      </c>
      <c r="C419" s="9" t="n"/>
      <c r="D419" s="9" t="n"/>
      <c r="E419" s="9" t="n"/>
      <c r="F419" s="9" t="n"/>
      <c r="G419" s="9" t="n"/>
      <c r="H419" s="9" t="n"/>
      <c r="I419" s="9" t="n"/>
      <c r="J419" s="3" t="n"/>
      <c r="K419" s="9" t="n"/>
    </row>
    <row r="420">
      <c r="A420" s="4" t="n"/>
      <c r="B420" s="9">
        <f>IF(A420="","",INT(DAY(A420)/7)+1)</f>
      </c>
      <c r="C420" s="9" t="n"/>
      <c r="D420" s="9" t="n"/>
      <c r="E420" s="9" t="n"/>
      <c r="F420" s="9" t="n"/>
      <c r="G420" s="9" t="n"/>
      <c r="H420" s="9" t="n"/>
      <c r="I420" s="9" t="n"/>
      <c r="J420" s="3" t="n"/>
      <c r="K420" s="9" t="n"/>
    </row>
    <row r="421">
      <c r="A421" s="4" t="n"/>
      <c r="B421" s="9">
        <f>IF(A421="","",INT(DAY(A421)/7)+1)</f>
      </c>
      <c r="C421" s="9" t="n"/>
      <c r="D421" s="9" t="n"/>
      <c r="E421" s="9" t="n"/>
      <c r="F421" s="9" t="n"/>
      <c r="G421" s="9" t="n"/>
      <c r="H421" s="9" t="n"/>
      <c r="I421" s="9" t="n"/>
      <c r="J421" s="3" t="n"/>
      <c r="K421" s="9" t="n"/>
    </row>
    <row r="422">
      <c r="A422" s="4" t="n"/>
      <c r="B422" s="9">
        <f>IF(A422="","",INT(DAY(A422)/7)+1)</f>
      </c>
      <c r="C422" s="9" t="n"/>
      <c r="D422" s="9" t="n"/>
      <c r="E422" s="9" t="n"/>
      <c r="F422" s="9" t="n"/>
      <c r="G422" s="9" t="n"/>
      <c r="H422" s="9" t="n"/>
      <c r="I422" s="9" t="n"/>
      <c r="J422" s="3" t="n"/>
      <c r="K422" s="9" t="n"/>
    </row>
    <row r="423">
      <c r="A423" s="4" t="n"/>
      <c r="B423" s="9">
        <f>IF(A423="","",INT(DAY(A423)/7)+1)</f>
      </c>
      <c r="C423" s="9" t="n"/>
      <c r="D423" s="9" t="n"/>
      <c r="E423" s="9" t="n"/>
      <c r="F423" s="9" t="n"/>
      <c r="G423" s="9" t="n"/>
      <c r="H423" s="9" t="n"/>
      <c r="I423" s="9" t="n"/>
      <c r="J423" s="3" t="n"/>
      <c r="K423" s="9" t="n"/>
    </row>
    <row r="424">
      <c r="A424" s="4" t="n"/>
      <c r="B424" s="9">
        <f>IF(A424="","",INT(DAY(A424)/7)+1)</f>
      </c>
      <c r="C424" s="9" t="n"/>
      <c r="D424" s="9" t="n"/>
      <c r="E424" s="9" t="n"/>
      <c r="F424" s="9" t="n"/>
      <c r="G424" s="9" t="n"/>
      <c r="H424" s="9" t="n"/>
      <c r="I424" s="9" t="n"/>
      <c r="J424" s="3" t="n"/>
      <c r="K424" s="9" t="n"/>
    </row>
    <row r="425">
      <c r="A425" s="4" t="n"/>
      <c r="B425" s="9">
        <f>IF(A425="","",INT(DAY(A425)/7)+1)</f>
      </c>
      <c r="C425" s="9" t="n"/>
      <c r="D425" s="9" t="n"/>
      <c r="E425" s="9" t="n"/>
      <c r="F425" s="9" t="n"/>
      <c r="G425" s="9" t="n"/>
      <c r="H425" s="9" t="n"/>
      <c r="I425" s="9" t="n"/>
      <c r="J425" s="3" t="n"/>
      <c r="K425" s="9" t="n"/>
    </row>
    <row r="426">
      <c r="A426" s="4" t="n"/>
      <c r="B426" s="9">
        <f>IF(A426="","",INT(DAY(A426)/7)+1)</f>
      </c>
      <c r="C426" s="9" t="n"/>
      <c r="D426" s="9" t="n"/>
      <c r="E426" s="9" t="n"/>
      <c r="F426" s="9" t="n"/>
      <c r="G426" s="9" t="n"/>
      <c r="H426" s="9" t="n"/>
      <c r="I426" s="9" t="n"/>
      <c r="J426" s="3" t="n"/>
      <c r="K426" s="9" t="n"/>
    </row>
    <row r="427">
      <c r="A427" s="4" t="n"/>
      <c r="B427" s="9">
        <f>IF(A427="","",INT(DAY(A427)/7)+1)</f>
      </c>
      <c r="C427" s="9" t="n"/>
      <c r="D427" s="9" t="n"/>
      <c r="E427" s="9" t="n"/>
      <c r="F427" s="9" t="n"/>
      <c r="G427" s="9" t="n"/>
      <c r="H427" s="9" t="n"/>
      <c r="I427" s="9" t="n"/>
      <c r="J427" s="3" t="n"/>
      <c r="K427" s="9" t="n"/>
    </row>
    <row r="428">
      <c r="A428" s="4" t="n"/>
      <c r="B428" s="9">
        <f>IF(A428="","",INT(DAY(A428)/7)+1)</f>
      </c>
      <c r="C428" s="9" t="n"/>
      <c r="D428" s="9" t="n"/>
      <c r="E428" s="9" t="n"/>
      <c r="F428" s="9" t="n"/>
      <c r="G428" s="9" t="n"/>
      <c r="H428" s="9" t="n"/>
      <c r="I428" s="9" t="n"/>
      <c r="J428" s="3" t="n"/>
      <c r="K428" s="9" t="n"/>
    </row>
    <row r="429">
      <c r="A429" s="4" t="n"/>
      <c r="B429" s="9">
        <f>IF(A429="","",INT(DAY(A429)/7)+1)</f>
      </c>
      <c r="C429" s="9" t="n"/>
      <c r="D429" s="9" t="n"/>
      <c r="E429" s="9" t="n"/>
      <c r="F429" s="9" t="n"/>
      <c r="G429" s="9" t="n"/>
      <c r="H429" s="9" t="n"/>
      <c r="I429" s="9" t="n"/>
      <c r="J429" s="3" t="n"/>
      <c r="K429" s="9" t="n"/>
    </row>
    <row r="430">
      <c r="A430" s="4" t="n"/>
      <c r="B430" s="9">
        <f>IF(A430="","",INT(DAY(A430)/7)+1)</f>
      </c>
      <c r="C430" s="9" t="n"/>
      <c r="D430" s="9" t="n"/>
      <c r="E430" s="9" t="n"/>
      <c r="F430" s="9" t="n"/>
      <c r="G430" s="9" t="n"/>
      <c r="H430" s="9" t="n"/>
      <c r="I430" s="9" t="n"/>
      <c r="J430" s="3" t="n"/>
      <c r="K430" s="9" t="n"/>
    </row>
    <row r="431">
      <c r="A431" s="4" t="n"/>
      <c r="B431" s="9">
        <f>IF(A431="","",INT(DAY(A431)/7)+1)</f>
      </c>
      <c r="C431" s="9" t="n"/>
      <c r="D431" s="9" t="n"/>
      <c r="E431" s="9" t="n"/>
      <c r="F431" s="9" t="n"/>
      <c r="G431" s="9" t="n"/>
      <c r="H431" s="9" t="n"/>
      <c r="I431" s="9" t="n"/>
      <c r="J431" s="3" t="n"/>
      <c r="K431" s="9" t="n"/>
    </row>
    <row r="432">
      <c r="A432" s="4" t="n"/>
      <c r="B432" s="9">
        <f>IF(A432="","",INT(DAY(A432)/7)+1)</f>
      </c>
      <c r="C432" s="9" t="n"/>
      <c r="D432" s="9" t="n"/>
      <c r="E432" s="9" t="n"/>
      <c r="F432" s="9" t="n"/>
      <c r="G432" s="9" t="n"/>
      <c r="H432" s="9" t="n"/>
      <c r="I432" s="9" t="n"/>
      <c r="J432" s="3" t="n"/>
      <c r="K432" s="9" t="n"/>
    </row>
    <row r="433">
      <c r="A433" s="4" t="n"/>
      <c r="B433" s="9">
        <f>IF(A433="","",INT(DAY(A433)/7)+1)</f>
      </c>
      <c r="C433" s="9" t="n"/>
      <c r="D433" s="9" t="n"/>
      <c r="E433" s="9" t="n"/>
      <c r="F433" s="9" t="n"/>
      <c r="G433" s="9" t="n"/>
      <c r="H433" s="9" t="n"/>
      <c r="I433" s="9" t="n"/>
      <c r="J433" s="3" t="n"/>
      <c r="K433" s="9" t="n"/>
    </row>
    <row r="434">
      <c r="A434" s="4" t="n"/>
      <c r="B434" s="9">
        <f>IF(A434="","",INT(DAY(A434)/7)+1)</f>
      </c>
      <c r="C434" s="9" t="n"/>
      <c r="D434" s="9" t="n"/>
      <c r="E434" s="9" t="n"/>
      <c r="F434" s="9" t="n"/>
      <c r="G434" s="9" t="n"/>
      <c r="H434" s="9" t="n"/>
      <c r="I434" s="9" t="n"/>
      <c r="J434" s="3" t="n"/>
      <c r="K434" s="9" t="n"/>
    </row>
    <row r="435">
      <c r="A435" s="4" t="n"/>
      <c r="B435" s="9">
        <f>IF(A435="","",INT(DAY(A435)/7)+1)</f>
      </c>
      <c r="C435" s="9" t="n"/>
      <c r="D435" s="9" t="n"/>
      <c r="E435" s="9" t="n"/>
      <c r="F435" s="9" t="n"/>
      <c r="G435" s="9" t="n"/>
      <c r="H435" s="9" t="n"/>
      <c r="I435" s="9" t="n"/>
      <c r="J435" s="3" t="n"/>
      <c r="K435" s="9" t="n"/>
    </row>
    <row r="436">
      <c r="A436" s="4" t="n"/>
      <c r="B436" s="9">
        <f>IF(A436="","",INT(DAY(A436)/7)+1)</f>
      </c>
      <c r="C436" s="9" t="n"/>
      <c r="D436" s="9" t="n"/>
      <c r="E436" s="9" t="n"/>
      <c r="F436" s="9" t="n"/>
      <c r="G436" s="9" t="n"/>
      <c r="H436" s="9" t="n"/>
      <c r="I436" s="9" t="n"/>
      <c r="J436" s="3" t="n"/>
      <c r="K436" s="9" t="n"/>
    </row>
    <row r="437">
      <c r="A437" s="4" t="n"/>
      <c r="B437" s="9">
        <f>IF(A437="","",INT(DAY(A437)/7)+1)</f>
      </c>
      <c r="C437" s="9" t="n"/>
      <c r="D437" s="9" t="n"/>
      <c r="E437" s="9" t="n"/>
      <c r="F437" s="9" t="n"/>
      <c r="G437" s="9" t="n"/>
      <c r="H437" s="9" t="n"/>
      <c r="I437" s="9" t="n"/>
      <c r="J437" s="3" t="n"/>
      <c r="K437" s="9" t="n"/>
    </row>
    <row r="438">
      <c r="A438" s="4" t="n"/>
      <c r="B438" s="9">
        <f>IF(A438="","",INT(DAY(A438)/7)+1)</f>
      </c>
      <c r="C438" s="9" t="n"/>
      <c r="D438" s="9" t="n"/>
      <c r="E438" s="9" t="n"/>
      <c r="F438" s="9" t="n"/>
      <c r="G438" s="9" t="n"/>
      <c r="H438" s="9" t="n"/>
      <c r="I438" s="9" t="n"/>
      <c r="J438" s="3" t="n"/>
      <c r="K438" s="9" t="n"/>
    </row>
    <row r="439">
      <c r="A439" s="4" t="n"/>
      <c r="B439" s="9">
        <f>IF(A439="","",INT(DAY(A439)/7)+1)</f>
      </c>
      <c r="C439" s="9" t="n"/>
      <c r="D439" s="9" t="n"/>
      <c r="E439" s="9" t="n"/>
      <c r="F439" s="9" t="n"/>
      <c r="G439" s="9" t="n"/>
      <c r="H439" s="9" t="n"/>
      <c r="I439" s="9" t="n"/>
      <c r="J439" s="3" t="n"/>
      <c r="K439" s="9" t="n"/>
    </row>
    <row r="440">
      <c r="A440" s="4" t="n"/>
      <c r="B440" s="9">
        <f>IF(A440="","",INT(DAY(A440)/7)+1)</f>
      </c>
      <c r="C440" s="9" t="n"/>
      <c r="D440" s="9" t="n"/>
      <c r="E440" s="9" t="n"/>
      <c r="F440" s="9" t="n"/>
      <c r="G440" s="9" t="n"/>
      <c r="H440" s="9" t="n"/>
      <c r="I440" s="9" t="n"/>
      <c r="J440" s="3" t="n"/>
      <c r="K440" s="9" t="n"/>
    </row>
    <row r="441">
      <c r="A441" s="4" t="n"/>
      <c r="B441" s="9">
        <f>IF(A441="","",INT(DAY(A441)/7)+1)</f>
      </c>
      <c r="C441" s="9" t="n"/>
      <c r="D441" s="9" t="n"/>
      <c r="E441" s="9" t="n"/>
      <c r="F441" s="9" t="n"/>
      <c r="G441" s="9" t="n"/>
      <c r="H441" s="9" t="n"/>
      <c r="I441" s="9" t="n"/>
      <c r="J441" s="3" t="n"/>
      <c r="K441" s="9" t="n"/>
    </row>
    <row r="442">
      <c r="A442" s="4" t="n"/>
      <c r="B442" s="9">
        <f>IF(A442="","",INT(DAY(A442)/7)+1)</f>
      </c>
      <c r="C442" s="9" t="n"/>
      <c r="D442" s="9" t="n"/>
      <c r="E442" s="9" t="n"/>
      <c r="F442" s="9" t="n"/>
      <c r="G442" s="9" t="n"/>
      <c r="H442" s="9" t="n"/>
      <c r="I442" s="9" t="n"/>
      <c r="J442" s="3" t="n"/>
      <c r="K442" s="9" t="n"/>
    </row>
    <row r="443">
      <c r="A443" s="4" t="n"/>
      <c r="B443" s="9">
        <f>IF(A443="","",INT(DAY(A443)/7)+1)</f>
      </c>
      <c r="C443" s="9" t="n"/>
      <c r="D443" s="9" t="n"/>
      <c r="E443" s="9" t="n"/>
      <c r="F443" s="9" t="n"/>
      <c r="G443" s="9" t="n"/>
      <c r="H443" s="9" t="n"/>
      <c r="I443" s="9" t="n"/>
      <c r="J443" s="3" t="n"/>
      <c r="K443" s="9" t="n"/>
    </row>
    <row r="444">
      <c r="A444" s="4" t="n"/>
      <c r="B444" s="9">
        <f>IF(A444="","",INT(DAY(A444)/7)+1)</f>
      </c>
      <c r="C444" s="9" t="n"/>
      <c r="D444" s="9" t="n"/>
      <c r="E444" s="9" t="n"/>
      <c r="F444" s="9" t="n"/>
      <c r="G444" s="9" t="n"/>
      <c r="H444" s="9" t="n"/>
      <c r="I444" s="9" t="n"/>
      <c r="J444" s="3" t="n"/>
      <c r="K444" s="9" t="n"/>
    </row>
    <row r="445">
      <c r="A445" s="4" t="n"/>
      <c r="B445" s="9">
        <f>IF(A445="","",INT(DAY(A445)/7)+1)</f>
      </c>
      <c r="C445" s="9" t="n"/>
      <c r="D445" s="9" t="n"/>
      <c r="E445" s="9" t="n"/>
      <c r="F445" s="9" t="n"/>
      <c r="G445" s="9" t="n"/>
      <c r="H445" s="9" t="n"/>
      <c r="I445" s="9" t="n"/>
      <c r="J445" s="3" t="n"/>
      <c r="K445" s="9" t="n"/>
    </row>
    <row r="446">
      <c r="A446" s="4" t="n"/>
      <c r="B446" s="9">
        <f>IF(A446="","",INT(DAY(A446)/7)+1)</f>
      </c>
      <c r="C446" s="9" t="n"/>
      <c r="D446" s="9" t="n"/>
      <c r="E446" s="9" t="n"/>
      <c r="F446" s="9" t="n"/>
      <c r="G446" s="9" t="n"/>
      <c r="H446" s="9" t="n"/>
      <c r="I446" s="9" t="n"/>
      <c r="J446" s="3" t="n"/>
      <c r="K446" s="9" t="n"/>
    </row>
    <row r="447">
      <c r="A447" s="4" t="n"/>
      <c r="B447" s="9">
        <f>IF(A447="","",INT(DAY(A447)/7)+1)</f>
      </c>
      <c r="C447" s="9" t="n"/>
      <c r="D447" s="9" t="n"/>
      <c r="E447" s="9" t="n"/>
      <c r="F447" s="9" t="n"/>
      <c r="G447" s="9" t="n"/>
      <c r="H447" s="9" t="n"/>
      <c r="I447" s="9" t="n"/>
      <c r="J447" s="3" t="n"/>
      <c r="K447" s="9" t="n"/>
    </row>
    <row r="448">
      <c r="A448" s="4" t="n"/>
      <c r="B448" s="9">
        <f>IF(A448="","",INT(DAY(A448)/7)+1)</f>
      </c>
      <c r="C448" s="9" t="n"/>
      <c r="D448" s="9" t="n"/>
      <c r="E448" s="9" t="n"/>
      <c r="F448" s="9" t="n"/>
      <c r="G448" s="9" t="n"/>
      <c r="H448" s="9" t="n"/>
      <c r="I448" s="9" t="n"/>
      <c r="J448" s="3" t="n"/>
      <c r="K448" s="9" t="n"/>
    </row>
    <row r="449">
      <c r="A449" s="4" t="n"/>
      <c r="B449" s="9">
        <f>IF(A449="","",INT(DAY(A449)/7)+1)</f>
      </c>
      <c r="C449" s="9" t="n"/>
      <c r="D449" s="9" t="n"/>
      <c r="E449" s="9" t="n"/>
      <c r="F449" s="9" t="n"/>
      <c r="G449" s="9" t="n"/>
      <c r="H449" s="9" t="n"/>
      <c r="I449" s="9" t="n"/>
      <c r="J449" s="3" t="n"/>
      <c r="K449" s="9" t="n"/>
    </row>
    <row r="450">
      <c r="A450" s="4" t="n"/>
      <c r="B450" s="9">
        <f>IF(A450="","",INT(DAY(A450)/7)+1)</f>
      </c>
      <c r="C450" s="9" t="n"/>
      <c r="D450" s="9" t="n"/>
      <c r="E450" s="9" t="n"/>
      <c r="F450" s="9" t="n"/>
      <c r="G450" s="9" t="n"/>
      <c r="H450" s="9" t="n"/>
      <c r="I450" s="9" t="n"/>
      <c r="J450" s="3" t="n"/>
      <c r="K450" s="9" t="n"/>
    </row>
    <row r="451">
      <c r="A451" s="4" t="n"/>
      <c r="B451" s="9">
        <f>IF(A451="","",INT(DAY(A451)/7)+1)</f>
      </c>
      <c r="C451" s="9" t="n"/>
      <c r="D451" s="9" t="n"/>
      <c r="E451" s="9" t="n"/>
      <c r="F451" s="9" t="n"/>
      <c r="G451" s="9" t="n"/>
      <c r="H451" s="9" t="n"/>
      <c r="I451" s="9" t="n"/>
      <c r="J451" s="3" t="n"/>
      <c r="K451" s="9" t="n"/>
    </row>
    <row r="452">
      <c r="A452" s="4" t="n"/>
      <c r="B452" s="9">
        <f>IF(A452="","",INT(DAY(A452)/7)+1)</f>
      </c>
      <c r="C452" s="9" t="n"/>
      <c r="D452" s="9" t="n"/>
      <c r="E452" s="9" t="n"/>
      <c r="F452" s="9" t="n"/>
      <c r="G452" s="9" t="n"/>
      <c r="H452" s="9" t="n"/>
      <c r="I452" s="9" t="n"/>
      <c r="J452" s="3" t="n"/>
      <c r="K452" s="9" t="n"/>
    </row>
    <row r="453">
      <c r="A453" s="4" t="n"/>
      <c r="B453" s="9">
        <f>IF(A453="","",INT(DAY(A453)/7)+1)</f>
      </c>
      <c r="C453" s="9" t="n"/>
      <c r="D453" s="9" t="n"/>
      <c r="E453" s="9" t="n"/>
      <c r="F453" s="9" t="n"/>
      <c r="G453" s="9" t="n"/>
      <c r="H453" s="9" t="n"/>
      <c r="I453" s="9" t="n"/>
      <c r="J453" s="3" t="n"/>
      <c r="K453" s="9" t="n"/>
    </row>
    <row r="454">
      <c r="A454" s="4" t="n"/>
      <c r="B454" s="9">
        <f>IF(A454="","",INT(DAY(A454)/7)+1)</f>
      </c>
      <c r="C454" s="9" t="n"/>
      <c r="D454" s="9" t="n"/>
      <c r="E454" s="9" t="n"/>
      <c r="F454" s="9" t="n"/>
      <c r="G454" s="9" t="n"/>
      <c r="H454" s="9" t="n"/>
      <c r="I454" s="9" t="n"/>
      <c r="J454" s="3" t="n"/>
      <c r="K454" s="9" t="n"/>
    </row>
    <row r="455">
      <c r="A455" s="4" t="n"/>
      <c r="B455" s="9">
        <f>IF(A455="","",INT(DAY(A455)/7)+1)</f>
      </c>
      <c r="C455" s="9" t="n"/>
      <c r="D455" s="9" t="n"/>
      <c r="E455" s="9" t="n"/>
      <c r="F455" s="9" t="n"/>
      <c r="G455" s="9" t="n"/>
      <c r="H455" s="9" t="n"/>
      <c r="I455" s="9" t="n"/>
      <c r="J455" s="3" t="n"/>
      <c r="K455" s="9" t="n"/>
    </row>
    <row r="456">
      <c r="A456" s="4" t="n"/>
      <c r="B456" s="9">
        <f>IF(A456="","",INT(DAY(A456)/7)+1)</f>
      </c>
      <c r="C456" s="9" t="n"/>
      <c r="D456" s="9" t="n"/>
      <c r="E456" s="9" t="n"/>
      <c r="F456" s="9" t="n"/>
      <c r="G456" s="9" t="n"/>
      <c r="H456" s="9" t="n"/>
      <c r="I456" s="9" t="n"/>
      <c r="J456" s="3" t="n"/>
      <c r="K456" s="9" t="n"/>
    </row>
    <row r="457">
      <c r="A457" s="4" t="n"/>
      <c r="B457" s="9">
        <f>IF(A457="","",INT(DAY(A457)/7)+1)</f>
      </c>
      <c r="C457" s="9" t="n"/>
      <c r="D457" s="9" t="n"/>
      <c r="E457" s="9" t="n"/>
      <c r="F457" s="9" t="n"/>
      <c r="G457" s="9" t="n"/>
      <c r="H457" s="9" t="n"/>
      <c r="I457" s="9" t="n"/>
      <c r="J457" s="3" t="n"/>
      <c r="K457" s="9" t="n"/>
    </row>
    <row r="458">
      <c r="A458" s="4" t="n"/>
      <c r="B458" s="9">
        <f>IF(A458="","",INT(DAY(A458)/7)+1)</f>
      </c>
      <c r="C458" s="9" t="n"/>
      <c r="D458" s="9" t="n"/>
      <c r="E458" s="9" t="n"/>
      <c r="F458" s="9" t="n"/>
      <c r="G458" s="9" t="n"/>
      <c r="H458" s="9" t="n"/>
      <c r="I458" s="9" t="n"/>
      <c r="J458" s="3" t="n"/>
      <c r="K458" s="9" t="n"/>
    </row>
    <row r="459">
      <c r="A459" s="4" t="n"/>
      <c r="B459" s="9">
        <f>IF(A459="","",INT(DAY(A459)/7)+1)</f>
      </c>
      <c r="C459" s="9" t="n"/>
      <c r="D459" s="9" t="n"/>
      <c r="E459" s="9" t="n"/>
      <c r="F459" s="9" t="n"/>
      <c r="G459" s="9" t="n"/>
      <c r="H459" s="9" t="n"/>
      <c r="I459" s="9" t="n"/>
      <c r="J459" s="3" t="n"/>
      <c r="K459" s="9" t="n"/>
    </row>
    <row r="460">
      <c r="A460" s="4" t="n"/>
      <c r="B460" s="9">
        <f>IF(A460="","",INT(DAY(A460)/7)+1)</f>
      </c>
      <c r="C460" s="9" t="n"/>
      <c r="D460" s="9" t="n"/>
      <c r="E460" s="9" t="n"/>
      <c r="F460" s="9" t="n"/>
      <c r="G460" s="9" t="n"/>
      <c r="H460" s="9" t="n"/>
      <c r="I460" s="9" t="n"/>
      <c r="J460" s="3" t="n"/>
      <c r="K460" s="9" t="n"/>
    </row>
    <row r="461">
      <c r="A461" s="4" t="n"/>
      <c r="B461" s="9">
        <f>IF(A461="","",INT(DAY(A461)/7)+1)</f>
      </c>
      <c r="C461" s="9" t="n"/>
      <c r="D461" s="9" t="n"/>
      <c r="E461" s="9" t="n"/>
      <c r="F461" s="9" t="n"/>
      <c r="G461" s="9" t="n"/>
      <c r="H461" s="9" t="n"/>
      <c r="I461" s="9" t="n"/>
      <c r="J461" s="3" t="n"/>
      <c r="K461" s="9" t="n"/>
    </row>
    <row r="462">
      <c r="A462" s="4" t="n"/>
      <c r="B462" s="9">
        <f>IF(A462="","",INT(DAY(A462)/7)+1)</f>
      </c>
      <c r="C462" s="9" t="n"/>
      <c r="D462" s="9" t="n"/>
      <c r="E462" s="9" t="n"/>
      <c r="F462" s="9" t="n"/>
      <c r="G462" s="9" t="n"/>
      <c r="H462" s="9" t="n"/>
      <c r="I462" s="9" t="n"/>
      <c r="J462" s="3" t="n"/>
      <c r="K462" s="9" t="n"/>
    </row>
    <row r="463">
      <c r="A463" s="4" t="n"/>
      <c r="B463" s="9">
        <f>IF(A463="","",INT(DAY(A463)/7)+1)</f>
      </c>
      <c r="C463" s="9" t="n"/>
      <c r="D463" s="9" t="n"/>
      <c r="E463" s="9" t="n"/>
      <c r="F463" s="9" t="n"/>
      <c r="G463" s="9" t="n"/>
      <c r="H463" s="9" t="n"/>
      <c r="I463" s="9" t="n"/>
      <c r="J463" s="3" t="n"/>
      <c r="K463" s="9" t="n"/>
    </row>
    <row r="464">
      <c r="A464" s="4" t="n"/>
      <c r="B464" s="9">
        <f>IF(A464="","",INT(DAY(A464)/7)+1)</f>
      </c>
      <c r="C464" s="9" t="n"/>
      <c r="D464" s="9" t="n"/>
      <c r="E464" s="9" t="n"/>
      <c r="F464" s="9" t="n"/>
      <c r="G464" s="9" t="n"/>
      <c r="H464" s="9" t="n"/>
      <c r="I464" s="9" t="n"/>
      <c r="J464" s="3" t="n"/>
      <c r="K464" s="9" t="n"/>
    </row>
    <row r="465">
      <c r="A465" s="4" t="n"/>
      <c r="B465" s="9">
        <f>IF(A465="","",INT(DAY(A465)/7)+1)</f>
      </c>
      <c r="C465" s="9" t="n"/>
      <c r="D465" s="9" t="n"/>
      <c r="E465" s="9" t="n"/>
      <c r="F465" s="9" t="n"/>
      <c r="G465" s="9" t="n"/>
      <c r="H465" s="9" t="n"/>
      <c r="I465" s="9" t="n"/>
      <c r="J465" s="3" t="n"/>
      <c r="K465" s="9" t="n"/>
    </row>
    <row r="466">
      <c r="A466" s="4" t="n"/>
      <c r="B466" s="9">
        <f>IF(A466="","",INT(DAY(A466)/7)+1)</f>
      </c>
      <c r="C466" s="9" t="n"/>
      <c r="D466" s="9" t="n"/>
      <c r="E466" s="9" t="n"/>
      <c r="F466" s="9" t="n"/>
      <c r="G466" s="9" t="n"/>
      <c r="H466" s="9" t="n"/>
      <c r="I466" s="9" t="n"/>
      <c r="J466" s="3" t="n"/>
      <c r="K466" s="9" t="n"/>
    </row>
    <row r="467">
      <c r="A467" s="4" t="n"/>
      <c r="B467" s="9">
        <f>IF(A467="","",INT(DAY(A467)/7)+1)</f>
      </c>
      <c r="C467" s="9" t="n"/>
      <c r="D467" s="9" t="n"/>
      <c r="E467" s="9" t="n"/>
      <c r="F467" s="9" t="n"/>
      <c r="G467" s="9" t="n"/>
      <c r="H467" s="9" t="n"/>
      <c r="I467" s="9" t="n"/>
      <c r="J467" s="3" t="n"/>
      <c r="K467" s="9" t="n"/>
    </row>
    <row r="468">
      <c r="A468" s="4" t="n"/>
      <c r="B468" s="9">
        <f>IF(A468="","",INT(DAY(A468)/7)+1)</f>
      </c>
      <c r="C468" s="9" t="n"/>
      <c r="D468" s="9" t="n"/>
      <c r="E468" s="9" t="n"/>
      <c r="F468" s="9" t="n"/>
      <c r="G468" s="9" t="n"/>
      <c r="H468" s="9" t="n"/>
      <c r="I468" s="9" t="n"/>
      <c r="J468" s="3" t="n"/>
      <c r="K468" s="9" t="n"/>
    </row>
    <row r="469">
      <c r="A469" s="4" t="n"/>
      <c r="B469" s="9">
        <f>IF(A469="","",INT(DAY(A469)/7)+1)</f>
      </c>
      <c r="C469" s="9" t="n"/>
      <c r="D469" s="9" t="n"/>
      <c r="E469" s="9" t="n"/>
      <c r="F469" s="9" t="n"/>
      <c r="G469" s="9" t="n"/>
      <c r="H469" s="9" t="n"/>
      <c r="I469" s="9" t="n"/>
      <c r="J469" s="3" t="n"/>
      <c r="K469" s="9" t="n"/>
    </row>
    <row r="470">
      <c r="A470" s="4" t="n"/>
      <c r="B470" s="9">
        <f>IF(A470="","",INT(DAY(A470)/7)+1)</f>
      </c>
      <c r="C470" s="9" t="n"/>
      <c r="D470" s="9" t="n"/>
      <c r="E470" s="9" t="n"/>
      <c r="F470" s="9" t="n"/>
      <c r="G470" s="9" t="n"/>
      <c r="H470" s="9" t="n"/>
      <c r="I470" s="9" t="n"/>
      <c r="J470" s="3" t="n"/>
      <c r="K470" s="9" t="n"/>
    </row>
    <row r="471">
      <c r="A471" s="4" t="n"/>
      <c r="B471" s="9">
        <f>IF(A471="","",INT(DAY(A471)/7)+1)</f>
      </c>
      <c r="C471" s="9" t="n"/>
      <c r="D471" s="9" t="n"/>
      <c r="E471" s="9" t="n"/>
      <c r="F471" s="9" t="n"/>
      <c r="G471" s="9" t="n"/>
      <c r="H471" s="9" t="n"/>
      <c r="I471" s="9" t="n"/>
      <c r="J471" s="3" t="n"/>
      <c r="K471" s="9" t="n"/>
    </row>
    <row r="472">
      <c r="A472" s="4" t="n"/>
      <c r="B472" s="9">
        <f>IF(A472="","",INT(DAY(A472)/7)+1)</f>
      </c>
      <c r="C472" s="9" t="n"/>
      <c r="D472" s="9" t="n"/>
      <c r="E472" s="9" t="n"/>
      <c r="F472" s="9" t="n"/>
      <c r="G472" s="9" t="n"/>
      <c r="H472" s="9" t="n"/>
      <c r="I472" s="9" t="n"/>
      <c r="J472" s="3" t="n"/>
      <c r="K472" s="9" t="n"/>
    </row>
    <row r="473">
      <c r="A473" s="4" t="n"/>
      <c r="B473" s="9">
        <f>IF(A473="","",INT(DAY(A473)/7)+1)</f>
      </c>
      <c r="C473" s="9" t="n"/>
      <c r="D473" s="9" t="n"/>
      <c r="E473" s="9" t="n"/>
      <c r="F473" s="9" t="n"/>
      <c r="G473" s="9" t="n"/>
      <c r="H473" s="9" t="n"/>
      <c r="I473" s="9" t="n"/>
      <c r="J473" s="3" t="n"/>
      <c r="K473" s="9" t="n"/>
    </row>
    <row r="474">
      <c r="A474" s="4" t="n"/>
      <c r="B474" s="9">
        <f>IF(A474="","",INT(DAY(A474)/7)+1)</f>
      </c>
      <c r="C474" s="9" t="n"/>
      <c r="D474" s="9" t="n"/>
      <c r="E474" s="9" t="n"/>
      <c r="F474" s="9" t="n"/>
      <c r="G474" s="9" t="n"/>
      <c r="H474" s="9" t="n"/>
      <c r="I474" s="9" t="n"/>
      <c r="J474" s="3" t="n"/>
      <c r="K474" s="9" t="n"/>
    </row>
    <row r="475">
      <c r="A475" s="4" t="n"/>
      <c r="B475" s="9">
        <f>IF(A475="","",INT(DAY(A475)/7)+1)</f>
      </c>
      <c r="C475" s="9" t="n"/>
      <c r="D475" s="9" t="n"/>
      <c r="E475" s="9" t="n"/>
      <c r="F475" s="9" t="n"/>
      <c r="G475" s="9" t="n"/>
      <c r="H475" s="9" t="n"/>
      <c r="I475" s="9" t="n"/>
      <c r="J475" s="3" t="n"/>
      <c r="K475" s="9" t="n"/>
    </row>
    <row r="476">
      <c r="A476" s="4" t="n"/>
      <c r="B476" s="9">
        <f>IF(A476="","",INT(DAY(A476)/7)+1)</f>
      </c>
      <c r="C476" s="9" t="n"/>
      <c r="D476" s="9" t="n"/>
      <c r="E476" s="9" t="n"/>
      <c r="F476" s="9" t="n"/>
      <c r="G476" s="9" t="n"/>
      <c r="H476" s="9" t="n"/>
      <c r="I476" s="9" t="n"/>
      <c r="J476" s="3" t="n"/>
      <c r="K476" s="9" t="n"/>
    </row>
    <row r="477">
      <c r="A477" s="4" t="n"/>
      <c r="B477" s="9">
        <f>IF(A477="","",INT(DAY(A477)/7)+1)</f>
      </c>
      <c r="C477" s="9" t="n"/>
      <c r="D477" s="9" t="n"/>
      <c r="E477" s="9" t="n"/>
      <c r="F477" s="9" t="n"/>
      <c r="G477" s="9" t="n"/>
      <c r="H477" s="9" t="n"/>
      <c r="I477" s="9" t="n"/>
      <c r="J477" s="3" t="n"/>
      <c r="K477" s="9" t="n"/>
    </row>
    <row r="478">
      <c r="A478" s="4" t="n"/>
      <c r="B478" s="9">
        <f>IF(A478="","",INT(DAY(A478)/7)+1)</f>
      </c>
      <c r="C478" s="9" t="n"/>
      <c r="D478" s="9" t="n"/>
      <c r="E478" s="9" t="n"/>
      <c r="F478" s="9" t="n"/>
      <c r="G478" s="9" t="n"/>
      <c r="H478" s="9" t="n"/>
      <c r="I478" s="9" t="n"/>
      <c r="J478" s="3" t="n"/>
      <c r="K478" s="9" t="n"/>
    </row>
    <row r="479">
      <c r="A479" s="4" t="n"/>
      <c r="B479" s="9">
        <f>IF(A479="","",INT(DAY(A479)/7)+1)</f>
      </c>
      <c r="C479" s="9" t="n"/>
      <c r="D479" s="9" t="n"/>
      <c r="E479" s="9" t="n"/>
      <c r="F479" s="9" t="n"/>
      <c r="G479" s="9" t="n"/>
      <c r="H479" s="9" t="n"/>
      <c r="I479" s="9" t="n"/>
      <c r="J479" s="3" t="n"/>
      <c r="K479" s="9" t="n"/>
    </row>
    <row r="480">
      <c r="A480" s="4" t="n"/>
      <c r="B480" s="9">
        <f>IF(A480="","",INT(DAY(A480)/7)+1)</f>
      </c>
      <c r="C480" s="9" t="n"/>
      <c r="D480" s="9" t="n"/>
      <c r="E480" s="9" t="n"/>
      <c r="F480" s="9" t="n"/>
      <c r="G480" s="9" t="n"/>
      <c r="H480" s="9" t="n"/>
      <c r="I480" s="9" t="n"/>
      <c r="J480" s="3" t="n"/>
      <c r="K480" s="9" t="n"/>
    </row>
    <row r="481">
      <c r="A481" s="4" t="n"/>
      <c r="B481" s="9">
        <f>IF(A481="","",INT(DAY(A481)/7)+1)</f>
      </c>
      <c r="C481" s="9" t="n"/>
      <c r="D481" s="9" t="n"/>
      <c r="E481" s="9" t="n"/>
      <c r="F481" s="9" t="n"/>
      <c r="G481" s="9" t="n"/>
      <c r="H481" s="9" t="n"/>
      <c r="I481" s="9" t="n"/>
      <c r="J481" s="3" t="n"/>
      <c r="K481" s="9" t="n"/>
    </row>
    <row r="482">
      <c r="A482" s="4" t="n"/>
      <c r="B482" s="9">
        <f>IF(A482="","",INT(DAY(A482)/7)+1)</f>
      </c>
      <c r="C482" s="9" t="n"/>
      <c r="D482" s="9" t="n"/>
      <c r="E482" s="9" t="n"/>
      <c r="F482" s="9" t="n"/>
      <c r="G482" s="9" t="n"/>
      <c r="H482" s="9" t="n"/>
      <c r="I482" s="9" t="n"/>
      <c r="J482" s="3" t="n"/>
      <c r="K482" s="9" t="n"/>
    </row>
    <row r="483">
      <c r="A483" s="4" t="n"/>
      <c r="B483" s="9">
        <f>IF(A483="","",INT(DAY(A483)/7)+1)</f>
      </c>
      <c r="C483" s="9" t="n"/>
      <c r="D483" s="9" t="n"/>
      <c r="E483" s="9" t="n"/>
      <c r="F483" s="9" t="n"/>
      <c r="G483" s="9" t="n"/>
      <c r="H483" s="9" t="n"/>
      <c r="I483" s="9" t="n"/>
      <c r="J483" s="3" t="n"/>
      <c r="K483" s="9" t="n"/>
    </row>
    <row r="484">
      <c r="A484" s="4" t="n"/>
      <c r="B484" s="9">
        <f>IF(A484="","",INT(DAY(A484)/7)+1)</f>
      </c>
      <c r="C484" s="9" t="n"/>
      <c r="D484" s="9" t="n"/>
      <c r="E484" s="9" t="n"/>
      <c r="F484" s="9" t="n"/>
      <c r="G484" s="9" t="n"/>
      <c r="H484" s="9" t="n"/>
      <c r="I484" s="9" t="n"/>
      <c r="J484" s="3" t="n"/>
      <c r="K484" s="9" t="n"/>
    </row>
    <row r="485">
      <c r="A485" s="4" t="n"/>
      <c r="B485" s="9">
        <f>IF(A485="","",INT(DAY(A485)/7)+1)</f>
      </c>
      <c r="C485" s="9" t="n"/>
      <c r="D485" s="9" t="n"/>
      <c r="E485" s="9" t="n"/>
      <c r="F485" s="9" t="n"/>
      <c r="G485" s="9" t="n"/>
      <c r="H485" s="9" t="n"/>
      <c r="I485" s="9" t="n"/>
      <c r="J485" s="3" t="n"/>
      <c r="K485" s="9" t="n"/>
    </row>
    <row r="486">
      <c r="A486" s="4" t="n"/>
      <c r="B486" s="9">
        <f>IF(A486="","",INT(DAY(A486)/7)+1)</f>
      </c>
      <c r="C486" s="9" t="n"/>
      <c r="D486" s="9" t="n"/>
      <c r="E486" s="9" t="n"/>
      <c r="F486" s="9" t="n"/>
      <c r="G486" s="9" t="n"/>
      <c r="H486" s="9" t="n"/>
      <c r="I486" s="9" t="n"/>
      <c r="J486" s="3" t="n"/>
      <c r="K486" s="9" t="n"/>
    </row>
    <row r="487">
      <c r="A487" s="4" t="n"/>
      <c r="B487" s="9">
        <f>IF(A487="","",INT(DAY(A487)/7)+1)</f>
      </c>
      <c r="C487" s="9" t="n"/>
      <c r="D487" s="9" t="n"/>
      <c r="E487" s="9" t="n"/>
      <c r="F487" s="9" t="n"/>
      <c r="G487" s="9" t="n"/>
      <c r="H487" s="9" t="n"/>
      <c r="I487" s="9" t="n"/>
      <c r="J487" s="3" t="n"/>
      <c r="K487" s="9" t="n"/>
    </row>
    <row r="488">
      <c r="A488" s="4" t="n"/>
      <c r="B488" s="9">
        <f>IF(A488="","",INT(DAY(A488)/7)+1)</f>
      </c>
      <c r="C488" s="9" t="n"/>
      <c r="D488" s="9" t="n"/>
      <c r="E488" s="9" t="n"/>
      <c r="F488" s="9" t="n"/>
      <c r="G488" s="9" t="n"/>
      <c r="H488" s="9" t="n"/>
      <c r="I488" s="9" t="n"/>
      <c r="J488" s="3" t="n"/>
      <c r="K488" s="9" t="n"/>
    </row>
    <row r="489">
      <c r="A489" s="4" t="n"/>
      <c r="B489" s="9">
        <f>IF(A489="","",INT(DAY(A489)/7)+1)</f>
      </c>
      <c r="C489" s="9" t="n"/>
      <c r="D489" s="9" t="n"/>
      <c r="E489" s="9" t="n"/>
      <c r="F489" s="9" t="n"/>
      <c r="G489" s="9" t="n"/>
      <c r="H489" s="9" t="n"/>
      <c r="I489" s="9" t="n"/>
      <c r="J489" s="3" t="n"/>
      <c r="K489" s="9" t="n"/>
    </row>
    <row r="490">
      <c r="A490" s="4" t="n"/>
      <c r="B490" s="9">
        <f>IF(A490="","",INT(DAY(A490)/7)+1)</f>
      </c>
      <c r="C490" s="9" t="n"/>
      <c r="D490" s="9" t="n"/>
      <c r="E490" s="9" t="n"/>
      <c r="F490" s="9" t="n"/>
      <c r="G490" s="9" t="n"/>
      <c r="H490" s="9" t="n"/>
      <c r="I490" s="9" t="n"/>
      <c r="J490" s="3" t="n"/>
      <c r="K490" s="9" t="n"/>
    </row>
    <row r="491">
      <c r="A491" s="4" t="n"/>
      <c r="B491" s="9">
        <f>IF(A491="","",INT(DAY(A491)/7)+1)</f>
      </c>
      <c r="C491" s="9" t="n"/>
      <c r="D491" s="9" t="n"/>
      <c r="E491" s="9" t="n"/>
      <c r="F491" s="9" t="n"/>
      <c r="G491" s="9" t="n"/>
      <c r="H491" s="9" t="n"/>
      <c r="I491" s="9" t="n"/>
      <c r="J491" s="3" t="n"/>
      <c r="K491" s="9" t="n"/>
    </row>
    <row r="492">
      <c r="A492" s="4" t="n"/>
      <c r="B492" s="9">
        <f>IF(A492="","",INT(DAY(A492)/7)+1)</f>
      </c>
      <c r="C492" s="9" t="n"/>
      <c r="D492" s="9" t="n"/>
      <c r="E492" s="9" t="n"/>
      <c r="F492" s="9" t="n"/>
      <c r="G492" s="9" t="n"/>
      <c r="H492" s="9" t="n"/>
      <c r="I492" s="9" t="n"/>
      <c r="J492" s="3" t="n"/>
      <c r="K492" s="9" t="n"/>
    </row>
    <row r="493">
      <c r="A493" s="4" t="n"/>
      <c r="B493" s="9">
        <f>IF(A493="","",INT(DAY(A493)/7)+1)</f>
      </c>
      <c r="C493" s="9" t="n"/>
      <c r="D493" s="9" t="n"/>
      <c r="E493" s="9" t="n"/>
      <c r="F493" s="9" t="n"/>
      <c r="G493" s="9" t="n"/>
      <c r="H493" s="9" t="n"/>
      <c r="I493" s="9" t="n"/>
      <c r="J493" s="3" t="n"/>
      <c r="K493" s="9" t="n"/>
    </row>
    <row r="494">
      <c r="A494" s="4" t="n"/>
      <c r="B494" s="9">
        <f>IF(A494="","",INT(DAY(A494)/7)+1)</f>
      </c>
      <c r="C494" s="9" t="n"/>
      <c r="D494" s="9" t="n"/>
      <c r="E494" s="9" t="n"/>
      <c r="F494" s="9" t="n"/>
      <c r="G494" s="9" t="n"/>
      <c r="H494" s="9" t="n"/>
      <c r="I494" s="9" t="n"/>
      <c r="J494" s="3" t="n"/>
      <c r="K494" s="9" t="n"/>
    </row>
    <row r="495">
      <c r="A495" s="4" t="n"/>
      <c r="B495" s="9">
        <f>IF(A495="","",INT(DAY(A495)/7)+1)</f>
      </c>
      <c r="C495" s="9" t="n"/>
      <c r="D495" s="9" t="n"/>
      <c r="E495" s="9" t="n"/>
      <c r="F495" s="9" t="n"/>
      <c r="G495" s="9" t="n"/>
      <c r="H495" s="9" t="n"/>
      <c r="I495" s="9" t="n"/>
      <c r="J495" s="3" t="n"/>
      <c r="K495" s="9" t="n"/>
    </row>
    <row r="496">
      <c r="A496" s="4" t="n"/>
      <c r="B496" s="9">
        <f>IF(A496="","",INT(DAY(A496)/7)+1)</f>
      </c>
      <c r="C496" s="9" t="n"/>
      <c r="D496" s="9" t="n"/>
      <c r="E496" s="9" t="n"/>
      <c r="F496" s="9" t="n"/>
      <c r="G496" s="9" t="n"/>
      <c r="H496" s="9" t="n"/>
      <c r="I496" s="9" t="n"/>
      <c r="J496" s="3" t="n"/>
      <c r="K496" s="9" t="n"/>
    </row>
    <row r="497">
      <c r="A497" s="4" t="n"/>
      <c r="B497" s="9">
        <f>IF(A497="","",INT(DAY(A497)/7)+1)</f>
      </c>
      <c r="C497" s="9" t="n"/>
      <c r="D497" s="9" t="n"/>
      <c r="E497" s="9" t="n"/>
      <c r="F497" s="9" t="n"/>
      <c r="G497" s="9" t="n"/>
      <c r="H497" s="9" t="n"/>
      <c r="I497" s="9" t="n"/>
      <c r="J497" s="3" t="n"/>
      <c r="K497" s="9" t="n"/>
    </row>
    <row r="498">
      <c r="A498" s="4" t="n"/>
      <c r="B498" s="9">
        <f>IF(A498="","",INT(DAY(A498)/7)+1)</f>
      </c>
      <c r="C498" s="9" t="n"/>
      <c r="D498" s="9" t="n"/>
      <c r="E498" s="9" t="n"/>
      <c r="F498" s="9" t="n"/>
      <c r="G498" s="9" t="n"/>
      <c r="H498" s="9" t="n"/>
      <c r="I498" s="9" t="n"/>
      <c r="J498" s="3" t="n"/>
      <c r="K498" s="9" t="n"/>
    </row>
    <row r="499">
      <c r="A499" s="4" t="n"/>
      <c r="B499" s="9">
        <f>IF(A499="","",INT(DAY(A499)/7)+1)</f>
      </c>
      <c r="C499" s="9" t="n"/>
      <c r="D499" s="9" t="n"/>
      <c r="E499" s="9" t="n"/>
      <c r="F499" s="9" t="n"/>
      <c r="G499" s="9" t="n"/>
      <c r="H499" s="9" t="n"/>
      <c r="I499" s="9" t="n"/>
      <c r="J499" s="3" t="n"/>
      <c r="K499" s="9" t="n"/>
    </row>
    <row r="500">
      <c r="A500" s="4" t="n"/>
      <c r="B500" s="9">
        <f>IF(A500="","",INT(DAY(A500)/7)+1)</f>
      </c>
      <c r="C500" s="9" t="n"/>
      <c r="D500" s="9" t="n"/>
      <c r="E500" s="9" t="n"/>
      <c r="F500" s="9" t="n"/>
      <c r="G500" s="9" t="n"/>
      <c r="H500" s="9" t="n"/>
      <c r="I500" s="9" t="n"/>
      <c r="J500" s="3" t="n"/>
      <c r="K500" s="9" t="n"/>
    </row>
    <row r="501">
      <c r="A501" s="4" t="n"/>
      <c r="B501" s="9">
        <f>IF(A501="","",INT(DAY(A501)/7)+1)</f>
      </c>
      <c r="C501" s="9" t="n"/>
      <c r="D501" s="9" t="n"/>
      <c r="E501" s="9" t="n"/>
      <c r="F501" s="9" t="n"/>
      <c r="G501" s="9" t="n"/>
      <c r="H501" s="9" t="n"/>
      <c r="I501" s="9" t="n"/>
      <c r="J501" s="3" t="n"/>
      <c r="K501" s="9" t="n"/>
    </row>
    <row r="502">
      <c r="A502" s="4" t="n"/>
      <c r="B502" s="9">
        <f>IF(A502="","",INT(DAY(A502)/7)+1)</f>
      </c>
      <c r="C502" s="9" t="n"/>
      <c r="D502" s="9" t="n"/>
      <c r="E502" s="9" t="n"/>
      <c r="F502" s="9" t="n"/>
      <c r="G502" s="9" t="n"/>
      <c r="H502" s="9" t="n"/>
      <c r="I502" s="9" t="n"/>
      <c r="J502" s="3" t="n"/>
      <c r="K502" s="9" t="n"/>
    </row>
    <row r="503">
      <c r="A503" s="4" t="n"/>
      <c r="B503" s="9">
        <f>IF(A503="","",INT(DAY(A503)/7)+1)</f>
      </c>
      <c r="C503" s="9" t="n"/>
      <c r="D503" s="9" t="n"/>
      <c r="E503" s="9" t="n"/>
      <c r="F503" s="9" t="n"/>
      <c r="G503" s="9" t="n"/>
      <c r="H503" s="9" t="n"/>
      <c r="I503" s="9" t="n"/>
      <c r="J503" s="3" t="n"/>
      <c r="K503" s="9" t="n"/>
    </row>
    <row r="504">
      <c r="A504" s="4" t="n"/>
      <c r="B504" s="9">
        <f>IF(A504="","",INT(DAY(A504)/7)+1)</f>
      </c>
      <c r="C504" s="9" t="n"/>
      <c r="D504" s="9" t="n"/>
      <c r="E504" s="9" t="n"/>
      <c r="F504" s="9" t="n"/>
      <c r="G504" s="9" t="n"/>
      <c r="H504" s="9" t="n"/>
      <c r="I504" s="9" t="n"/>
      <c r="J504" s="3" t="n"/>
      <c r="K504" s="9" t="n"/>
    </row>
    <row r="505">
      <c r="A505" s="4" t="n"/>
      <c r="B505" s="9">
        <f>IF(A505="","",INT(DAY(A505)/7)+1)</f>
      </c>
      <c r="C505" s="9" t="n"/>
      <c r="D505" s="9" t="n"/>
      <c r="E505" s="9" t="n"/>
      <c r="F505" s="9" t="n"/>
      <c r="G505" s="9" t="n"/>
      <c r="H505" s="9" t="n"/>
      <c r="I505" s="9" t="n"/>
      <c r="J505" s="3" t="n"/>
      <c r="K505" s="9" t="n"/>
    </row>
    <row r="506">
      <c r="A506" s="4" t="n"/>
      <c r="B506" s="9">
        <f>IF(A506="","",INT(DAY(A506)/7)+1)</f>
      </c>
      <c r="C506" s="9" t="n"/>
      <c r="D506" s="9" t="n"/>
      <c r="E506" s="9" t="n"/>
      <c r="F506" s="9" t="n"/>
      <c r="G506" s="9" t="n"/>
      <c r="H506" s="9" t="n"/>
      <c r="I506" s="9" t="n"/>
      <c r="J506" s="3" t="n"/>
      <c r="K506" s="9" t="n"/>
    </row>
    <row r="507">
      <c r="A507" s="4" t="n"/>
      <c r="B507" s="9">
        <f>IF(A507="","",INT(DAY(A507)/7)+1)</f>
      </c>
      <c r="C507" s="9" t="n"/>
      <c r="D507" s="9" t="n"/>
      <c r="E507" s="9" t="n"/>
      <c r="F507" s="9" t="n"/>
      <c r="G507" s="9" t="n"/>
      <c r="H507" s="9" t="n"/>
      <c r="I507" s="9" t="n"/>
      <c r="J507" s="3" t="n"/>
      <c r="K507" s="9" t="n"/>
    </row>
    <row r="508">
      <c r="A508" s="4" t="n"/>
      <c r="B508" s="9">
        <f>IF(A508="","",INT(DAY(A508)/7)+1)</f>
      </c>
      <c r="C508" s="9" t="n"/>
      <c r="D508" s="9" t="n"/>
      <c r="E508" s="9" t="n"/>
      <c r="F508" s="9" t="n"/>
      <c r="G508" s="9" t="n"/>
      <c r="H508" s="9" t="n"/>
      <c r="I508" s="9" t="n"/>
      <c r="J508" s="3" t="n"/>
      <c r="K508" s="9" t="n"/>
    </row>
    <row r="509">
      <c r="A509" s="4" t="n"/>
      <c r="B509" s="9">
        <f>IF(A509="","",INT(DAY(A509)/7)+1)</f>
      </c>
      <c r="C509" s="9" t="n"/>
      <c r="D509" s="9" t="n"/>
      <c r="E509" s="9" t="n"/>
      <c r="F509" s="9" t="n"/>
      <c r="G509" s="9" t="n"/>
      <c r="H509" s="9" t="n"/>
      <c r="I509" s="9" t="n"/>
      <c r="J509" s="3" t="n"/>
      <c r="K509" s="9" t="n"/>
    </row>
    <row r="510">
      <c r="A510" s="4" t="n"/>
      <c r="B510" s="9">
        <f>IF(A510="","",INT(DAY(A510)/7)+1)</f>
      </c>
      <c r="C510" s="9" t="n"/>
      <c r="D510" s="9" t="n"/>
      <c r="E510" s="9" t="n"/>
      <c r="F510" s="9" t="n"/>
      <c r="G510" s="9" t="n"/>
      <c r="H510" s="9" t="n"/>
      <c r="I510" s="9" t="n"/>
      <c r="J510" s="3" t="n"/>
      <c r="K510" s="9" t="n"/>
    </row>
    <row r="511">
      <c r="A511" s="4" t="n"/>
      <c r="B511" s="9">
        <f>IF(A511="","",INT(DAY(A511)/7)+1)</f>
      </c>
      <c r="C511" s="9" t="n"/>
      <c r="D511" s="9" t="n"/>
      <c r="E511" s="9" t="n"/>
      <c r="F511" s="9" t="n"/>
      <c r="G511" s="9" t="n"/>
      <c r="H511" s="9" t="n"/>
      <c r="I511" s="9" t="n"/>
      <c r="J511" s="3" t="n"/>
      <c r="K511" s="9" t="n"/>
    </row>
    <row r="512">
      <c r="A512" s="4" t="n"/>
      <c r="B512" s="9">
        <f>IF(A512="","",INT(DAY(A512)/7)+1)</f>
      </c>
      <c r="C512" s="9" t="n"/>
      <c r="D512" s="9" t="n"/>
      <c r="E512" s="9" t="n"/>
      <c r="F512" s="9" t="n"/>
      <c r="G512" s="9" t="n"/>
      <c r="H512" s="9" t="n"/>
      <c r="I512" s="9" t="n"/>
      <c r="J512" s="3" t="n"/>
      <c r="K512" s="9" t="n"/>
    </row>
    <row r="513">
      <c r="A513" s="4" t="n"/>
      <c r="B513" s="9">
        <f>IF(A513="","",INT(DAY(A513)/7)+1)</f>
      </c>
      <c r="C513" s="9" t="n"/>
      <c r="D513" s="9" t="n"/>
      <c r="E513" s="9" t="n"/>
      <c r="F513" s="9" t="n"/>
      <c r="G513" s="9" t="n"/>
      <c r="H513" s="9" t="n"/>
      <c r="I513" s="9" t="n"/>
      <c r="J513" s="3" t="n"/>
      <c r="K513" s="9" t="n"/>
    </row>
    <row r="514">
      <c r="A514" s="4" t="n"/>
      <c r="B514" s="9">
        <f>IF(A514="","",INT(DAY(A514)/7)+1)</f>
      </c>
      <c r="C514" s="9" t="n"/>
      <c r="D514" s="9" t="n"/>
      <c r="E514" s="9" t="n"/>
      <c r="F514" s="9" t="n"/>
      <c r="G514" s="9" t="n"/>
      <c r="H514" s="9" t="n"/>
      <c r="I514" s="9" t="n"/>
      <c r="J514" s="3" t="n"/>
      <c r="K514" s="9" t="n"/>
    </row>
    <row r="515">
      <c r="A515" s="4" t="n"/>
      <c r="B515" s="9">
        <f>IF(A515="","",INT(DAY(A515)/7)+1)</f>
      </c>
      <c r="C515" s="9" t="n"/>
      <c r="D515" s="9" t="n"/>
      <c r="E515" s="9" t="n"/>
      <c r="F515" s="9" t="n"/>
      <c r="G515" s="9" t="n"/>
      <c r="H515" s="9" t="n"/>
      <c r="I515" s="9" t="n"/>
      <c r="J515" s="3" t="n"/>
      <c r="K515" s="9" t="n"/>
    </row>
    <row r="516">
      <c r="A516" s="4" t="n"/>
      <c r="B516" s="9">
        <f>IF(A516="","",INT(DAY(A516)/7)+1)</f>
      </c>
      <c r="C516" s="9" t="n"/>
      <c r="D516" s="9" t="n"/>
      <c r="E516" s="9" t="n"/>
      <c r="F516" s="9" t="n"/>
      <c r="G516" s="9" t="n"/>
      <c r="H516" s="9" t="n"/>
      <c r="I516" s="9" t="n"/>
      <c r="J516" s="3" t="n"/>
      <c r="K516" s="9" t="n"/>
    </row>
    <row r="517">
      <c r="A517" s="4" t="n"/>
      <c r="B517" s="9">
        <f>IF(A517="","",INT(DAY(A517)/7)+1)</f>
      </c>
      <c r="C517" s="9" t="n"/>
      <c r="D517" s="9" t="n"/>
      <c r="E517" s="9" t="n"/>
      <c r="F517" s="9" t="n"/>
      <c r="G517" s="9" t="n"/>
      <c r="H517" s="9" t="n"/>
      <c r="I517" s="9" t="n"/>
      <c r="J517" s="3" t="n"/>
      <c r="K517" s="9" t="n"/>
    </row>
    <row r="518">
      <c r="A518" s="4" t="n"/>
      <c r="B518" s="9">
        <f>IF(A518="","",INT(DAY(A518)/7)+1)</f>
      </c>
      <c r="C518" s="9" t="n"/>
      <c r="D518" s="9" t="n"/>
      <c r="E518" s="9" t="n"/>
      <c r="F518" s="9" t="n"/>
      <c r="G518" s="9" t="n"/>
      <c r="H518" s="9" t="n"/>
      <c r="I518" s="9" t="n"/>
      <c r="J518" s="3" t="n"/>
      <c r="K518" s="9" t="n"/>
    </row>
    <row r="519">
      <c r="A519" s="4" t="n"/>
      <c r="B519" s="9">
        <f>IF(A519="","",INT(DAY(A519)/7)+1)</f>
      </c>
      <c r="C519" s="9" t="n"/>
      <c r="D519" s="9" t="n"/>
      <c r="E519" s="9" t="n"/>
      <c r="F519" s="9" t="n"/>
      <c r="G519" s="9" t="n"/>
      <c r="H519" s="9" t="n"/>
      <c r="I519" s="9" t="n"/>
      <c r="J519" s="3" t="n"/>
      <c r="K519" s="9" t="n"/>
    </row>
    <row r="520">
      <c r="A520" s="4" t="n"/>
      <c r="B520" s="9">
        <f>IF(A520="","",INT(DAY(A520)/7)+1)</f>
      </c>
      <c r="C520" s="9" t="n"/>
      <c r="D520" s="9" t="n"/>
      <c r="E520" s="9" t="n"/>
      <c r="F520" s="9" t="n"/>
      <c r="G520" s="9" t="n"/>
      <c r="H520" s="9" t="n"/>
      <c r="I520" s="9" t="n"/>
      <c r="J520" s="3" t="n"/>
      <c r="K520" s="9" t="n"/>
    </row>
    <row r="521">
      <c r="A521" s="4" t="n"/>
      <c r="B521" s="9">
        <f>IF(A521="","",INT(DAY(A521)/7)+1)</f>
      </c>
      <c r="C521" s="9" t="n"/>
      <c r="D521" s="9" t="n"/>
      <c r="E521" s="9" t="n"/>
      <c r="F521" s="9" t="n"/>
      <c r="G521" s="9" t="n"/>
      <c r="H521" s="9" t="n"/>
      <c r="I521" s="9" t="n"/>
      <c r="J521" s="3" t="n"/>
      <c r="K521" s="9" t="n"/>
    </row>
    <row r="522">
      <c r="A522" s="4" t="n"/>
      <c r="B522" s="9">
        <f>IF(A522="","",INT(DAY(A522)/7)+1)</f>
      </c>
      <c r="C522" s="9" t="n"/>
      <c r="D522" s="9" t="n"/>
      <c r="E522" s="9" t="n"/>
      <c r="F522" s="9" t="n"/>
      <c r="G522" s="9" t="n"/>
      <c r="H522" s="9" t="n"/>
      <c r="I522" s="9" t="n"/>
      <c r="J522" s="3" t="n"/>
      <c r="K522" s="9" t="n"/>
    </row>
    <row r="523">
      <c r="A523" s="4" t="n"/>
      <c r="B523" s="9">
        <f>IF(A523="","",INT(DAY(A523)/7)+1)</f>
      </c>
      <c r="C523" s="9" t="n"/>
      <c r="D523" s="9" t="n"/>
      <c r="E523" s="9" t="n"/>
      <c r="F523" s="9" t="n"/>
      <c r="G523" s="9" t="n"/>
      <c r="H523" s="9" t="n"/>
      <c r="I523" s="9" t="n"/>
      <c r="J523" s="3" t="n"/>
      <c r="K523" s="9" t="n"/>
    </row>
    <row r="524">
      <c r="A524" s="4" t="n"/>
      <c r="B524" s="9">
        <f>IF(A524="","",INT(DAY(A524)/7)+1)</f>
      </c>
      <c r="C524" s="9" t="n"/>
      <c r="D524" s="9" t="n"/>
      <c r="E524" s="9" t="n"/>
      <c r="F524" s="9" t="n"/>
      <c r="G524" s="9" t="n"/>
      <c r="H524" s="9" t="n"/>
      <c r="I524" s="9" t="n"/>
      <c r="J524" s="3" t="n"/>
      <c r="K524" s="9" t="n"/>
    </row>
    <row r="525">
      <c r="A525" s="4" t="n"/>
      <c r="B525" s="9">
        <f>IF(A525="","",INT(DAY(A525)/7)+1)</f>
      </c>
      <c r="C525" s="9" t="n"/>
      <c r="D525" s="9" t="n"/>
      <c r="E525" s="9" t="n"/>
      <c r="F525" s="9" t="n"/>
      <c r="G525" s="9" t="n"/>
      <c r="H525" s="9" t="n"/>
      <c r="I525" s="9" t="n"/>
      <c r="J525" s="3" t="n"/>
      <c r="K525" s="9" t="n"/>
    </row>
    <row r="526">
      <c r="A526" s="4" t="n"/>
      <c r="B526" s="9">
        <f>IF(A526="","",INT(DAY(A526)/7)+1)</f>
      </c>
      <c r="C526" s="9" t="n"/>
      <c r="D526" s="9" t="n"/>
      <c r="E526" s="9" t="n"/>
      <c r="F526" s="9" t="n"/>
      <c r="G526" s="9" t="n"/>
      <c r="H526" s="9" t="n"/>
      <c r="I526" s="9" t="n"/>
      <c r="J526" s="3" t="n"/>
      <c r="K526" s="9" t="n"/>
    </row>
    <row r="527">
      <c r="A527" s="4" t="n"/>
      <c r="B527" s="9">
        <f>IF(A527="","",INT(DAY(A527)/7)+1)</f>
      </c>
      <c r="C527" s="9" t="n"/>
      <c r="D527" s="9" t="n"/>
      <c r="E527" s="9" t="n"/>
      <c r="F527" s="9" t="n"/>
      <c r="G527" s="9" t="n"/>
      <c r="H527" s="9" t="n"/>
      <c r="I527" s="9" t="n"/>
      <c r="J527" s="3" t="n"/>
      <c r="K527" s="9" t="n"/>
    </row>
    <row r="528">
      <c r="A528" s="4" t="n"/>
      <c r="B528" s="9">
        <f>IF(A528="","",INT(DAY(A528)/7)+1)</f>
      </c>
      <c r="C528" s="9" t="n"/>
      <c r="D528" s="9" t="n"/>
      <c r="E528" s="9" t="n"/>
      <c r="F528" s="9" t="n"/>
      <c r="G528" s="9" t="n"/>
      <c r="H528" s="9" t="n"/>
      <c r="I528" s="9" t="n"/>
      <c r="J528" s="3" t="n"/>
      <c r="K528" s="9" t="n"/>
    </row>
  </sheetData>
  <autoFilter ref="A28:K528"/>
  <dataValidations count="4">
    <dataValidation sqref="E29:E528" showDropDown="0" showInputMessage="0" showErrorMessage="1" allowBlank="1" type="list">
      <formula1>=Lists!$A$2:$A$22</formula1>
    </dataValidation>
    <dataValidation sqref="G29:G528" showDropDown="0" showInputMessage="0" showErrorMessage="1" allowBlank="1" type="list">
      <formula1>=Lists!$D$2:$D$8</formula1>
    </dataValidation>
    <dataValidation sqref="H29:H528" showDropDown="0" showInputMessage="0" showErrorMessage="1" allowBlank="1" type="list">
      <formula1>=Lists!$C$2:$C$9</formula1>
    </dataValidation>
    <dataValidation sqref="I29:I528" showDropDown="0" showInputMessage="0" showErrorMessage="1" allowBlank="1" type="list">
      <formula1>=Lists!$B$2:$B$5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28"/>
  <sheetViews>
    <sheetView showGridLines="0" workbookViewId="0">
      <pane xSplit="0" ySplit="28" topLeftCell="A29" activePane="bottomLeft" state="frozen"/>
      <selection pane="bottomLeft" activeCell="A29" sqref="A29"/>
    </sheetView>
  </sheetViews>
  <sheetFormatPr baseColWidth="8" defaultRowHeight="15"/>
  <cols>
    <col width="12" customWidth="1" style="10" min="1" max="1"/>
    <col width="8" customWidth="1" style="10" min="2" max="2"/>
    <col width="22" customWidth="1" style="10" min="3" max="4"/>
    <col width="24" customWidth="1" style="10" min="5" max="5"/>
    <col width="18" customWidth="1" style="10" min="6" max="6"/>
    <col width="18" customWidth="1" style="10" min="7" max="7"/>
    <col width="18" customWidth="1" style="10" min="8" max="9"/>
    <col width="14" customWidth="1" style="10" min="10" max="10"/>
    <col width="30" customWidth="1" style="10" min="11" max="11"/>
  </cols>
  <sheetData>
    <row r="1">
      <c r="A1" s="1" t="inlineStr">
        <is>
          <t>October 2026 Ledger</t>
        </is>
      </c>
    </row>
    <row r="2">
      <c r="A2" s="7" t="inlineStr">
        <is>
          <t>Use positive amounts. Choose Type to classify each transaction.</t>
        </is>
      </c>
    </row>
    <row r="4">
      <c r="A4" s="1" t="inlineStr">
        <is>
          <t>Month Summary</t>
        </is>
      </c>
      <c r="D4" s="1" t="inlineStr">
        <is>
          <t>Category Summary</t>
        </is>
      </c>
      <c r="H4" s="1" t="inlineStr">
        <is>
          <t>Weekly Summary</t>
        </is>
      </c>
    </row>
    <row r="5">
      <c r="A5" s="5" t="inlineStr">
        <is>
          <t>Total Income</t>
        </is>
      </c>
      <c r="B5" s="3">
        <f>SUMIFS($J$29:$J$528,$I$29:$I$528,"Income")</f>
        <v>0</v>
      </c>
      <c r="D5" s="2" t="inlineStr">
        <is>
          <t>Category</t>
        </is>
      </c>
      <c r="E5" s="2" t="inlineStr">
        <is>
          <t>Expenses</t>
        </is>
      </c>
      <c r="F5" s="2" t="inlineStr">
        <is>
          <t>Income</t>
        </is>
      </c>
      <c r="G5" s="2" t="inlineStr">
        <is>
          <t>Existing Savings</t>
        </is>
      </c>
      <c r="H5" s="2" t="inlineStr">
        <is>
          <t>Week</t>
        </is>
      </c>
      <c r="I5" s="2" t="inlineStr">
        <is>
          <t>Expenses</t>
        </is>
      </c>
      <c r="J5" s="2" t="inlineStr">
        <is>
          <t>Income</t>
        </is>
      </c>
      <c r="K5" s="2" t="inlineStr">
        <is>
          <t>Net</t>
        </is>
      </c>
    </row>
    <row r="6">
      <c r="A6" s="5" t="inlineStr">
        <is>
          <t>Total Expenses</t>
        </is>
      </c>
      <c r="B6" s="3">
        <f>SUMIFS($J$29:$J$528,$I$29:$I$528,"Expense")</f>
        <v>1536.47</v>
      </c>
      <c r="D6" s="5" t="inlineStr">
        <is>
          <t>Housing</t>
        </is>
      </c>
      <c r="E6" s="3">
        <f>SUMIFS($J$29:$J$528,$E$29:$E$528,$D6,$I$29:$I$528,"Expense")</f>
        <v>1100.00</v>
      </c>
      <c r="F6" s="3">
        <f>SUMIFS($J$29:$J$528,$E$29:$E$528,$D6,$I$29:$I$528,"Income")</f>
        <v>0</v>
      </c>
      <c r="G6" s="3">
        <f>SUMIFS($J$29:$J$528,$E$29:$E$528,$D6,$I$29:$I$528,"Opening Balance")</f>
        <v>0</v>
      </c>
      <c r="H6" s="5" t="inlineStr">
        <is>
          <t>Week 1</t>
        </is>
      </c>
      <c r="I6" s="3">
        <f>SUMIFS($J$29:$J$528,$B$29:$B$528,1,$I$29:$I$528,"Expense",$F$29:$F$528,"&lt;&gt;Rent")</f>
        <v>119.19</v>
      </c>
      <c r="J6" s="3">
        <f>SUMIFS($J$29:$J$528,$B$29:$B$528,1,$I$29:$I$528,"Income")</f>
        <v>0.00</v>
      </c>
      <c r="K6" s="3">
        <f>J6-I6</f>
        <v>-119.19</v>
      </c>
    </row>
    <row r="7">
      <c r="A7" s="5" t="inlineStr">
        <is>
          <t>Existing Savings</t>
        </is>
      </c>
      <c r="B7" s="3">
        <f>SUMIFS($J$29:$J$528,$I$29:$I$528,"Opening Balance")</f>
        <v>0</v>
      </c>
      <c r="D7" s="5" t="inlineStr">
        <is>
          <t>Utilities</t>
        </is>
      </c>
      <c r="E7" s="3">
        <f>SUMIFS($J$29:$J$528,$E$29:$E$528,$D7,$I$29:$I$528,"Expense")</f>
        <v>0</v>
      </c>
      <c r="F7" s="3">
        <f>SUMIFS($J$29:$J$528,$E$29:$E$528,$D7,$I$29:$I$528,"Income")</f>
        <v>0</v>
      </c>
      <c r="G7" s="3">
        <f>SUMIFS($J$29:$J$528,$E$29:$E$528,$D7,$I$29:$I$528,"Opening Balance")</f>
        <v>0</v>
      </c>
      <c r="H7" s="5" t="inlineStr">
        <is>
          <t>Week 2</t>
        </is>
      </c>
      <c r="I7" s="3">
        <f>SUMIFS($J$29:$J$528,$B$29:$B$528,2,$I$29:$I$528,"Expense",$F$29:$F$528,"&lt;&gt;Rent")</f>
        <v>330.78</v>
      </c>
      <c r="J7" s="3">
        <f>SUMIFS($J$29:$J$528,$B$29:$B$528,2,$I$29:$I$528,"Income")</f>
        <v>0.00</v>
      </c>
      <c r="K7" s="3">
        <f>J7-I7</f>
        <v>-330.78</v>
      </c>
    </row>
    <row r="8">
      <c r="A8" s="5" t="inlineStr">
        <is>
          <t>Transfers</t>
        </is>
      </c>
      <c r="B8" s="3">
        <f>SUMIFS($J$29:$J$528,$I$29:$I$528,"Transfer")</f>
        <v>0.00</v>
      </c>
      <c r="D8" s="5" t="inlineStr">
        <is>
          <t>Groceries</t>
        </is>
      </c>
      <c r="E8" s="3">
        <f>SUMIFS($J$29:$J$528,$E$29:$E$528,$D8,$I$29:$I$528,"Expense")</f>
        <v>98.76</v>
      </c>
      <c r="F8" s="3">
        <f>SUMIFS($J$29:$J$528,$E$29:$E$528,$D8,$I$29:$I$528,"Income")</f>
        <v>0</v>
      </c>
      <c r="G8" s="3">
        <f>SUMIFS($J$29:$J$528,$E$29:$E$528,$D8,$I$29:$I$528,"Opening Balance")</f>
        <v>0</v>
      </c>
      <c r="H8" s="5" t="inlineStr">
        <is>
          <t>Week 3</t>
        </is>
      </c>
      <c r="I8" s="3">
        <f>SUMIFS($J$29:$J$528,$B$29:$B$528,3,$I$29:$I$528,"Expense",$F$29:$F$528,"&lt;&gt;Rent")</f>
        <v>0.00</v>
      </c>
      <c r="J8" s="3">
        <f>SUMIFS($J$29:$J$528,$B$29:$B$528,3,$I$29:$I$528,"Income")</f>
        <v>0.00</v>
      </c>
      <c r="K8" s="3">
        <f>J8-I8</f>
        <v>0.00</v>
      </c>
    </row>
    <row r="9">
      <c r="A9" s="5" t="inlineStr">
        <is>
          <t>Net Cash Flow</t>
        </is>
      </c>
      <c r="B9" s="3">
        <f>B5-B6</f>
        <v>-1536.47</v>
      </c>
      <c r="D9" s="5" t="inlineStr">
        <is>
          <t>Dining</t>
        </is>
      </c>
      <c r="E9" s="3">
        <f>SUMIFS($J$29:$J$528,$E$29:$E$528,$D9,$I$29:$I$528,"Expense")</f>
        <v>136.15</v>
      </c>
      <c r="F9" s="3">
        <f>SUMIFS($J$29:$J$528,$E$29:$E$528,$D9,$I$29:$I$528,"Income")</f>
        <v>0</v>
      </c>
      <c r="G9" s="3">
        <f>SUMIFS($J$29:$J$528,$E$29:$E$528,$D9,$I$29:$I$528,"Opening Balance")</f>
        <v>0</v>
      </c>
      <c r="H9" s="5" t="inlineStr">
        <is>
          <t>Week 4</t>
        </is>
      </c>
      <c r="I9" s="3">
        <f>SUMIFS($J$29:$J$528,$B$29:$B$528,4,$I$29:$I$528,"Expense",$F$29:$F$528,"&lt;&gt;Rent")</f>
        <v>0.00</v>
      </c>
      <c r="J9" s="3">
        <f>SUMIFS($J$29:$J$528,$B$29:$B$528,4,$I$29:$I$528,"Income")</f>
        <v>0.00</v>
      </c>
      <c r="K9" s="3">
        <f>J9-I9</f>
        <v>0.00</v>
      </c>
    </row>
    <row r="10">
      <c r="A10" s="5" t="inlineStr">
        <is>
          <t>Current Balance</t>
        </is>
      </c>
      <c r="B10" s="3">
        <v>7577.09</v>
      </c>
      <c r="D10" s="5" t="inlineStr">
        <is>
          <t>Transportation</t>
        </is>
      </c>
      <c r="E10" s="3">
        <f>SUMIFS($J$29:$J$528,$E$29:$E$528,$D10,$I$29:$I$528,"Expense")</f>
        <v>35.00</v>
      </c>
      <c r="F10" s="3">
        <f>SUMIFS($J$29:$J$528,$E$29:$E$528,$D10,$I$29:$I$528,"Income")</f>
        <v>0</v>
      </c>
      <c r="G10" s="3">
        <f>SUMIFS($J$29:$J$528,$E$29:$E$528,$D10,$I$29:$I$528,"Opening Balance")</f>
        <v>0</v>
      </c>
      <c r="H10" s="5" t="inlineStr">
        <is>
          <t>Week 5</t>
        </is>
      </c>
      <c r="I10" s="3">
        <f>SUMIFS($J$29:$J$528,$B$29:$B$528,5,$I$29:$I$528,"Expense",$F$29:$F$528,"&lt;&gt;Rent")</f>
        <v>0.00</v>
      </c>
      <c r="J10" s="3">
        <f>SUMIFS($J$29:$J$528,$B$29:$B$528,5,$I$29:$I$528,"Income")</f>
        <v>0.00</v>
      </c>
      <c r="K10" s="3">
        <f>J10-I10</f>
        <v>0.00</v>
      </c>
    </row>
    <row r="11">
      <c r="D11" s="5" t="inlineStr">
        <is>
          <t>Health &amp; Medical</t>
        </is>
      </c>
      <c r="E11" s="3">
        <f>SUMIFS($J$29:$J$528,$E$29:$E$528,$D11,$I$29:$I$528,"Expense")</f>
        <v>0</v>
      </c>
      <c r="F11" s="3">
        <f>SUMIFS($J$29:$J$528,$E$29:$E$528,$D11,$I$29:$I$528,"Income")</f>
        <v>0</v>
      </c>
      <c r="G11" s="3">
        <f>SUMIFS($J$29:$J$528,$E$29:$E$528,$D11,$I$29:$I$528,"Opening Balance")</f>
        <v>0</v>
      </c>
    </row>
    <row r="12">
      <c r="D12" s="5" t="inlineStr">
        <is>
          <t>Insurance</t>
        </is>
      </c>
      <c r="E12" s="3">
        <f>SUMIFS($J$29:$J$528,$E$29:$E$528,$D12,$I$29:$I$528,"Expense")</f>
        <v>0</v>
      </c>
      <c r="F12" s="3">
        <f>SUMIFS($J$29:$J$528,$E$29:$E$528,$D12,$I$29:$I$528,"Income")</f>
        <v>0</v>
      </c>
      <c r="G12" s="3">
        <f>SUMIFS($J$29:$J$528,$E$29:$E$528,$D12,$I$29:$I$528,"Opening Balance")</f>
        <v>0</v>
      </c>
    </row>
    <row r="13">
      <c r="D13" s="5" t="inlineStr">
        <is>
          <t>Debt Payments</t>
        </is>
      </c>
      <c r="E13" s="3">
        <f>SUMIFS($J$29:$J$528,$E$29:$E$528,$D13,$I$29:$I$528,"Expense")</f>
        <v>0</v>
      </c>
      <c r="F13" s="3">
        <f>SUMIFS($J$29:$J$528,$E$29:$E$528,$D13,$I$29:$I$528,"Income")</f>
        <v>0</v>
      </c>
      <c r="G13" s="3">
        <f>SUMIFS($J$29:$J$528,$E$29:$E$528,$D13,$I$29:$I$528,"Opening Balance")</f>
        <v>0</v>
      </c>
    </row>
    <row r="14">
      <c r="D14" s="5" t="inlineStr">
        <is>
          <t>Savings &amp; Investments</t>
        </is>
      </c>
      <c r="E14" s="3">
        <f>SUMIFS($J$29:$J$528,$E$29:$E$528,$D14,$I$29:$I$528,"Expense")</f>
        <v>0</v>
      </c>
      <c r="F14" s="3">
        <f>SUMIFS($J$29:$J$528,$E$29:$E$528,$D14,$I$29:$I$528,"Income")</f>
        <v>0</v>
      </c>
      <c r="G14" s="3">
        <f>SUMIFS($J$29:$J$528,$E$29:$E$528,$D14,$I$29:$I$528,"Opening Balance")</f>
        <v>0</v>
      </c>
    </row>
    <row r="15">
      <c r="D15" s="5" t="inlineStr">
        <is>
          <t>Personal Care</t>
        </is>
      </c>
      <c r="E15" s="3">
        <f>SUMIFS($J$29:$J$528,$E$29:$E$528,$D15,$I$29:$I$528,"Expense")</f>
        <v>0</v>
      </c>
      <c r="F15" s="3">
        <f>SUMIFS($J$29:$J$528,$E$29:$E$528,$D15,$I$29:$I$528,"Income")</f>
        <v>0</v>
      </c>
      <c r="G15" s="3">
        <f>SUMIFS($J$29:$J$528,$E$29:$E$528,$D15,$I$29:$I$528,"Opening Balance")</f>
        <v>0</v>
      </c>
    </row>
    <row r="16">
      <c r="D16" s="5" t="inlineStr">
        <is>
          <t>Shopping</t>
        </is>
      </c>
      <c r="E16" s="3">
        <f>SUMIFS($J$29:$J$528,$E$29:$E$528,$D16,$I$29:$I$528,"Expense")</f>
        <v>47.78</v>
      </c>
      <c r="F16" s="3">
        <f>SUMIFS($J$29:$J$528,$E$29:$E$528,$D16,$I$29:$I$528,"Income")</f>
        <v>0</v>
      </c>
      <c r="G16" s="3">
        <f>SUMIFS($J$29:$J$528,$E$29:$E$528,$D16,$I$29:$I$528,"Opening Balance")</f>
        <v>0</v>
      </c>
    </row>
    <row r="17">
      <c r="D17" s="5" t="inlineStr">
        <is>
          <t>Entertainment</t>
        </is>
      </c>
      <c r="E17" s="3">
        <f>SUMIFS($J$29:$J$528,$E$29:$E$528,$D17,$I$29:$I$528,"Expense")</f>
        <v>0</v>
      </c>
      <c r="F17" s="3">
        <f>SUMIFS($J$29:$J$528,$E$29:$E$528,$D17,$I$29:$I$528,"Income")</f>
        <v>0</v>
      </c>
      <c r="G17" s="3">
        <f>SUMIFS($J$29:$J$528,$E$29:$E$528,$D17,$I$29:$I$528,"Opening Balance")</f>
        <v>0</v>
      </c>
    </row>
    <row r="18">
      <c r="D18" s="5" t="inlineStr">
        <is>
          <t>Travel</t>
        </is>
      </c>
      <c r="E18" s="3">
        <f>SUMIFS($J$29:$J$528,$E$29:$E$528,$D18,$I$29:$I$528,"Expense")</f>
        <v>0</v>
      </c>
      <c r="F18" s="3">
        <f>SUMIFS($J$29:$J$528,$E$29:$E$528,$D18,$I$29:$I$528,"Income")</f>
        <v>0</v>
      </c>
      <c r="G18" s="3">
        <f>SUMIFS($J$29:$J$528,$E$29:$E$528,$D18,$I$29:$I$528,"Opening Balance")</f>
        <v>0</v>
      </c>
    </row>
    <row r="19">
      <c r="D19" s="5" t="inlineStr">
        <is>
          <t>Education</t>
        </is>
      </c>
      <c r="E19" s="3">
        <f>SUMIFS($J$29:$J$528,$E$29:$E$528,$D19,$I$29:$I$528,"Expense")</f>
        <v>118.78</v>
      </c>
      <c r="F19" s="3">
        <f>SUMIFS($J$29:$J$528,$E$29:$E$528,$D19,$I$29:$I$528,"Income")</f>
        <v>0</v>
      </c>
      <c r="G19" s="3">
        <f>SUMIFS($J$29:$J$528,$E$29:$E$528,$D19,$I$29:$I$528,"Opening Balance")</f>
        <v>0</v>
      </c>
    </row>
    <row r="20">
      <c r="D20" s="5" t="inlineStr">
        <is>
          <t>Gifts &amp; Donations</t>
        </is>
      </c>
      <c r="E20" s="3">
        <f>SUMIFS($J$29:$J$528,$E$29:$E$528,$D20,$I$29:$I$528,"Expense")</f>
        <v>0</v>
      </c>
      <c r="F20" s="3">
        <f>SUMIFS($J$29:$J$528,$E$29:$E$528,$D20,$I$29:$I$528,"Income")</f>
        <v>0</v>
      </c>
      <c r="G20" s="3">
        <f>SUMIFS($J$29:$J$528,$E$29:$E$528,$D20,$I$29:$I$528,"Opening Balance")</f>
        <v>0</v>
      </c>
    </row>
    <row r="21">
      <c r="D21" s="5" t="inlineStr">
        <is>
          <t>Taxes</t>
        </is>
      </c>
      <c r="E21" s="3">
        <f>SUMIFS($J$29:$J$528,$E$29:$E$528,$D21,$I$29:$I$528,"Expense")</f>
        <v>0</v>
      </c>
      <c r="F21" s="3">
        <f>SUMIFS($J$29:$J$528,$E$29:$E$528,$D21,$I$29:$I$528,"Income")</f>
        <v>0</v>
      </c>
      <c r="G21" s="3">
        <f>SUMIFS($J$29:$J$528,$E$29:$E$528,$D21,$I$29:$I$528,"Opening Balance")</f>
        <v>0</v>
      </c>
    </row>
    <row r="22">
      <c r="D22" s="5" t="inlineStr">
        <is>
          <t>Shipping</t>
        </is>
      </c>
      <c r="E22" s="3">
        <f>SUMIFS($J$29:$J$528,$E$29:$E$528,$D22,$I$29:$I$528,"Expense")</f>
        <v>0</v>
      </c>
      <c r="F22" s="3">
        <f>SUMIFS($J$29:$J$528,$E$29:$E$528,$D22,$I$29:$I$528,"Income")</f>
        <v>0</v>
      </c>
      <c r="G22" s="3">
        <f>SUMIFS($J$29:$J$528,$E$29:$E$528,$D22,$I$29:$I$528,"Opening Balance")</f>
        <v>0</v>
      </c>
    </row>
    <row r="23">
      <c r="D23" s="5" t="inlineStr">
        <is>
          <t>Income</t>
        </is>
      </c>
      <c r="E23" s="3">
        <f>SUMIFS($J$29:$J$528,$E$29:$E$528,$D23,$I$29:$I$528,"Expense")</f>
        <v>0</v>
      </c>
      <c r="F23" s="3">
        <f>SUMIFS($J$29:$J$528,$E$29:$E$528,$D23,$I$29:$I$528,"Income")</f>
        <v>0</v>
      </c>
      <c r="G23" s="3">
        <f>SUMIFS($J$29:$J$528,$E$29:$E$528,$D23,$I$29:$I$528,"Opening Balance")</f>
        <v>0</v>
      </c>
    </row>
    <row r="24">
      <c r="D24" s="5" t="inlineStr">
        <is>
          <t>Transfers</t>
        </is>
      </c>
      <c r="E24" s="3">
        <f>SUMIFS($J$29:$J$528,$E$29:$E$528,$D24,$I$29:$I$528,"Expense")</f>
        <v>0</v>
      </c>
      <c r="F24" s="3">
        <f>SUMIFS($J$29:$J$528,$E$29:$E$528,$D24,$I$29:$I$528,"Income")</f>
        <v>0</v>
      </c>
      <c r="G24" s="3">
        <f>SUMIFS($J$29:$J$528,$E$29:$E$528,$D24,$I$29:$I$528,"Opening Balance")</f>
        <v>0</v>
      </c>
    </row>
    <row r="25">
      <c r="D25" s="5" t="inlineStr">
        <is>
          <t>Existing Savings</t>
        </is>
      </c>
      <c r="E25" s="3">
        <f>SUMIFS($J$29:$J$528,$E$29:$E$528,$D25,$I$29:$I$528,"Expense")</f>
        <v>0</v>
      </c>
      <c r="F25" s="3">
        <f>SUMIFS($J$29:$J$528,$E$29:$E$528,$D25,$I$29:$I$528,"Income")</f>
        <v>0</v>
      </c>
      <c r="G25" s="3">
        <f>SUMIFS($J$29:$J$528,$E$29:$E$528,$D25,$I$29:$I$528,"Opening Balance")</f>
        <v>0</v>
      </c>
    </row>
    <row r="26">
      <c r="D26" s="5" t="inlineStr">
        <is>
          <t>Essentials</t>
        </is>
      </c>
      <c r="E26" s="3">
        <f>SUMIFS($J$29:$J$528,$E$29:$E$528,$D26,$I$29:$I$528,"Expense")</f>
        <v>0</v>
      </c>
      <c r="F26" s="3">
        <f>SUMIFS($J$29:$J$528,$E$29:$E$528,$D26,$I$29:$I$528,"Income")</f>
        <v>0</v>
      </c>
      <c r="G26" s="3">
        <f>SUMIFS($J$29:$J$528,$E$29:$E$528,$D26,$I$29:$I$528,"Opening Balance")</f>
        <v>0</v>
      </c>
    </row>
    <row r="27">
      <c r="A27" s="1" t="inlineStr">
        <is>
          <t>Transactions</t>
        </is>
      </c>
    </row>
    <row r="28">
      <c r="A28" s="2" t="inlineStr">
        <is>
          <t>Date</t>
        </is>
      </c>
      <c r="B28" s="2" t="inlineStr">
        <is>
          <t>Week</t>
        </is>
      </c>
      <c r="C28" s="2" t="inlineStr">
        <is>
          <t>Description</t>
        </is>
      </c>
      <c r="D28" s="2" t="inlineStr">
        <is>
          <t>Merchant</t>
        </is>
      </c>
      <c r="E28" s="2" t="inlineStr">
        <is>
          <t>Category</t>
        </is>
      </c>
      <c r="F28" s="2" t="inlineStr">
        <is>
          <t>Subcategory</t>
        </is>
      </c>
      <c r="G28" s="2" t="inlineStr">
        <is>
          <t>Account</t>
        </is>
      </c>
      <c r="H28" s="2" t="inlineStr">
        <is>
          <t>Payment Method</t>
        </is>
      </c>
      <c r="I28" s="2" t="inlineStr">
        <is>
          <t>Type</t>
        </is>
      </c>
      <c r="J28" s="2" t="inlineStr">
        <is>
          <t>Amount</t>
        </is>
      </c>
      <c r="K28" s="2" t="inlineStr">
        <is>
          <t>Notes</t>
        </is>
      </c>
    </row>
    <row r="29">
      <c r="A29" s="4">
        <v>46296</v>
      </c>
      <c r="B29" s="9">
        <f>IF(A29="","",IF(DAY(A29)&lt;=3,1,INT((DAY(A29)-4)/7)+2))</f>
        <v>1</v>
      </c>
      <c r="C29" s="9" t="inlineStr">
        <is>
          <t>Zelle payment to Joshua 31037164703</t>
        </is>
      </c>
      <c r="D29" s="9" t="inlineStr">
        <is>
          <t>Joshua</t>
        </is>
      </c>
      <c r="E29" s="9" t="inlineStr">
        <is>
          <t>Housing</t>
        </is>
      </c>
      <c r="F29" s="9" t="inlineStr">
        <is>
          <t>Rent</t>
        </is>
      </c>
      <c r="G29" s="9" t="inlineStr">
        <is>
          <t>Checking</t>
        </is>
      </c>
      <c r="H29" s="9" t="inlineStr">
        <is>
          <t>Venmo/Zelle/PayPal</t>
        </is>
      </c>
      <c r="I29" s="9" t="inlineStr">
        <is>
          <t>Expense</t>
        </is>
      </c>
      <c r="J29" s="3">
        <v>100.00</v>
      </c>
      <c r="K29" s="9" t="inlineStr">
        <is>
          <t>10월 1주차; Chase Secure (...0119); Posted 2026-10-01; Balance shown: $8,020.85; Rent (user confirmed)</t>
        </is>
      </c>
    </row>
    <row r="30">
      <c r="A30" s="4">
        <v>46296</v>
      </c>
      <c r="B30" s="9">
        <f>IF(A30="","",IF(DAY(A30)&lt;=3,1,INT((DAY(A30)-4)/7)+2))</f>
        <v>1</v>
      </c>
      <c r="C30" s="9" t="inlineStr">
        <is>
          <t>ATM WITHDRAWAL 002164 10/013359 BROA (...0119)</t>
        </is>
      </c>
      <c r="D30" s="9" t="inlineStr">
        <is>
          <t>ATM</t>
        </is>
      </c>
      <c r="E30" s="9" t="inlineStr">
        <is>
          <t>Housing</t>
        </is>
      </c>
      <c r="F30" s="9" t="inlineStr">
        <is>
          <t>Rent</t>
        </is>
      </c>
      <c r="G30" s="9" t="inlineStr">
        <is>
          <t>Checking</t>
        </is>
      </c>
      <c r="H30" s="9" t="inlineStr">
        <is>
          <t>Other</t>
        </is>
      </c>
      <c r="I30" s="9" t="inlineStr">
        <is>
          <t>Expense</t>
        </is>
      </c>
      <c r="J30" s="3">
        <v>500.00</v>
      </c>
      <c r="K30" s="9" t="inlineStr">
        <is>
          <t>10월 1주차; Chase Secure (...0119); Posted 2026-10-01; Balance shown: $8,120.85; ATM withdrawal used for rent (user confirmed); counted as Housing/Rent expense</t>
        </is>
      </c>
    </row>
    <row r="31">
      <c r="A31" s="4">
        <v>46296</v>
      </c>
      <c r="B31" s="9">
        <f>IF(A31="","",IF(DAY(A31)&lt;=3,1,INT((DAY(A31)-4)/7)+2))</f>
        <v>1</v>
      </c>
      <c r="C31" s="9" t="inlineStr">
        <is>
          <t>ATM WITHDRAWAL 002162 10/013359 BROA (...0119)</t>
        </is>
      </c>
      <c r="D31" s="9" t="inlineStr">
        <is>
          <t>ATM</t>
        </is>
      </c>
      <c r="E31" s="9" t="inlineStr">
        <is>
          <t>Housing</t>
        </is>
      </c>
      <c r="F31" s="9" t="inlineStr">
        <is>
          <t>Rent</t>
        </is>
      </c>
      <c r="G31" s="9" t="inlineStr">
        <is>
          <t>Checking</t>
        </is>
      </c>
      <c r="H31" s="9" t="inlineStr">
        <is>
          <t>Other</t>
        </is>
      </c>
      <c r="I31" s="9" t="inlineStr">
        <is>
          <t>Expense</t>
        </is>
      </c>
      <c r="J31" s="3">
        <v>500.00</v>
      </c>
      <c r="K31" s="9" t="inlineStr">
        <is>
          <t>10월 1주차; Chase Secure (...0119); Posted 2026-10-01; Balance shown: $8,620.85; ATM withdrawal used for rent (user confirmed); counted as Housing/Rent expense</t>
        </is>
      </c>
    </row>
    <row r="32">
      <c r="A32" s="4">
        <v>46296</v>
      </c>
      <c r="B32" s="9">
        <f>IF(A32="","",IF(DAY(A32)&lt;=3,1,INT((DAY(A32)-4)/7)+2))</f>
        <v>1</v>
      </c>
      <c r="C32" s="9" t="inlineStr">
        <is>
          <t>99 CENT SUPREME PIZZA BROOKLYN NY 09/29 (...0119)</t>
        </is>
      </c>
      <c r="D32" s="9" t="inlineStr">
        <is>
          <t>99 Cent Supreme Pizza</t>
        </is>
      </c>
      <c r="E32" s="9" t="inlineStr">
        <is>
          <t>Dining</t>
        </is>
      </c>
      <c r="F32" s="9" t="inlineStr">
        <is>
          <t>Restaurant/Pizza</t>
        </is>
      </c>
      <c r="G32" s="9" t="inlineStr">
        <is>
          <t>Checking</t>
        </is>
      </c>
      <c r="H32" s="9" t="inlineStr">
        <is>
          <t>Debit Card</t>
        </is>
      </c>
      <c r="I32" s="9" t="inlineStr">
        <is>
          <t>Expense</t>
        </is>
      </c>
      <c r="J32" s="3">
        <v>6.21</v>
      </c>
      <c r="K32" s="9" t="inlineStr">
        <is>
          <t>10월 1주차; Chase Secure (...0119); Posted 2026-10-01; Balance shown: $9,120.85</t>
        </is>
      </c>
    </row>
    <row r="33">
      <c r="A33" s="4">
        <v>46297</v>
      </c>
      <c r="B33" s="9">
        <f>IF(A33="","",IF(DAY(A33)&lt;=3,1,INT((DAY(A33)-4)/7)+2))</f>
        <v>1</v>
      </c>
      <c r="C33" s="9" t="inlineStr">
        <is>
          <t>TRADER JOE S #54 445 G NEW YORK NY 172057 10/02 (...0119)</t>
        </is>
      </c>
      <c r="D33" s="9" t="inlineStr">
        <is>
          <t>Trader Joe's</t>
        </is>
      </c>
      <c r="E33" s="9" t="inlineStr">
        <is>
          <t>Groceries</t>
        </is>
      </c>
      <c r="F33" s="9" t="inlineStr">
        <is>
          <t>Groceries</t>
        </is>
      </c>
      <c r="G33" s="9" t="inlineStr">
        <is>
          <t>Checking</t>
        </is>
      </c>
      <c r="H33" s="9" t="inlineStr">
        <is>
          <t>Debit Card</t>
        </is>
      </c>
      <c r="I33" s="9" t="inlineStr">
        <is>
          <t>Expense</t>
        </is>
      </c>
      <c r="J33" s="3">
        <v>46.07</v>
      </c>
      <c r="K33" s="9" t="inlineStr">
        <is>
          <t>10월 1주차; Chase Secure (...0119); Posted 2026-10-02; Balance shown: $7,907.87</t>
        </is>
      </c>
    </row>
    <row r="34">
      <c r="A34" s="4">
        <v>46297</v>
      </c>
      <c r="B34" s="9">
        <f>IF(A34="","",IF(DAY(A34)&lt;=3,1,INT((DAY(A34)-4)/7)+2))</f>
        <v>1</v>
      </c>
      <c r="C34" s="9" t="inlineStr">
        <is>
          <t>MTA*NYCT PAYGO NEW YORK NY 10/01 (...0119)</t>
        </is>
      </c>
      <c r="D34" s="9" t="inlineStr">
        <is>
          <t>MTA NYCT Paygo</t>
        </is>
      </c>
      <c r="E34" s="9" t="inlineStr">
        <is>
          <t>Transportation</t>
        </is>
      </c>
      <c r="F34" s="9" t="inlineStr">
        <is>
          <t>Public transit</t>
        </is>
      </c>
      <c r="G34" s="9" t="inlineStr">
        <is>
          <t>Checking</t>
        </is>
      </c>
      <c r="H34" s="9" t="inlineStr">
        <is>
          <t>Debit Card</t>
        </is>
      </c>
      <c r="I34" s="9" t="inlineStr">
        <is>
          <t>Expense</t>
        </is>
      </c>
      <c r="J34" s="3">
        <v>3.00</v>
      </c>
      <c r="K34" s="9" t="inlineStr">
        <is>
          <t>10월 1주차; Chase Secure (...0119); Posted 2026-10-02; Balance shown: $7,953.94</t>
        </is>
      </c>
    </row>
    <row r="35">
      <c r="A35" s="4">
        <v>46297</v>
      </c>
      <c r="B35" s="9">
        <f>IF(A35="","",IF(DAY(A35)&lt;=3,1,INT((DAY(A35)-4)/7)+2))</f>
        <v>1</v>
      </c>
      <c r="C35" s="9" t="inlineStr">
        <is>
          <t>MTA*NYCT PAYGO NEW YORK NY 10/01 (...0119)</t>
        </is>
      </c>
      <c r="D35" s="9" t="inlineStr">
        <is>
          <t>MTA NYCT Paygo</t>
        </is>
      </c>
      <c r="E35" s="9" t="inlineStr">
        <is>
          <t>Transportation</t>
        </is>
      </c>
      <c r="F35" s="9" t="inlineStr">
        <is>
          <t>Public transit</t>
        </is>
      </c>
      <c r="G35" s="9" t="inlineStr">
        <is>
          <t>Checking</t>
        </is>
      </c>
      <c r="H35" s="9" t="inlineStr">
        <is>
          <t>Debit Card</t>
        </is>
      </c>
      <c r="I35" s="9" t="inlineStr">
        <is>
          <t>Expense</t>
        </is>
      </c>
      <c r="J35" s="3">
        <v>3.00</v>
      </c>
      <c r="K35" s="9" t="inlineStr">
        <is>
          <t>10월 1주차; Chase Secure (...0119); Posted 2026-10-02; Balance shown: $7,956.94</t>
        </is>
      </c>
    </row>
    <row r="36">
      <c r="A36" s="4">
        <v>46297</v>
      </c>
      <c r="B36" s="9">
        <f>IF(A36="","",IF(DAY(A36)&lt;=3,1,INT((DAY(A36)-4)/7)+2))</f>
        <v>1</v>
      </c>
      <c r="C36" s="9" t="inlineStr">
        <is>
          <t>IHOP 3503 OLO BROOKLYN NY 10/01 (...0119)</t>
        </is>
      </c>
      <c r="D36" s="9" t="inlineStr">
        <is>
          <t>IHOP</t>
        </is>
      </c>
      <c r="E36" s="9" t="inlineStr">
        <is>
          <t>Dining</t>
        </is>
      </c>
      <c r="F36" s="9" t="inlineStr">
        <is>
          <t>Restaurant</t>
        </is>
      </c>
      <c r="G36" s="9" t="inlineStr">
        <is>
          <t>Checking</t>
        </is>
      </c>
      <c r="H36" s="9" t="inlineStr">
        <is>
          <t>Debit Card</t>
        </is>
      </c>
      <c r="I36" s="9" t="inlineStr">
        <is>
          <t>Expense</t>
        </is>
      </c>
      <c r="J36" s="3">
        <v>20.24</v>
      </c>
      <c r="K36" s="9" t="inlineStr">
        <is>
          <t>10월 1주차; Chase Secure (...0119); Posted 2026-10-02; Balance shown: $7,959.94</t>
        </is>
      </c>
    </row>
    <row r="37">
      <c r="A37" s="4">
        <v>46297</v>
      </c>
      <c r="B37" s="9">
        <f>IF(A37="","",IF(DAY(A37)&lt;=3,1,INT((DAY(A37)-4)/7)+2))</f>
        <v>1</v>
      </c>
      <c r="C37" s="9" t="inlineStr">
        <is>
          <t>CHIPOTLE 2090 BROOKLYN NY 10/01 (...0119)</t>
        </is>
      </c>
      <c r="D37" s="9" t="inlineStr">
        <is>
          <t>Chipotle</t>
        </is>
      </c>
      <c r="E37" s="9" t="inlineStr">
        <is>
          <t>Dining</t>
        </is>
      </c>
      <c r="F37" s="9" t="inlineStr">
        <is>
          <t>Restaurant</t>
        </is>
      </c>
      <c r="G37" s="9" t="inlineStr">
        <is>
          <t>Checking</t>
        </is>
      </c>
      <c r="H37" s="9" t="inlineStr">
        <is>
          <t>Debit Card</t>
        </is>
      </c>
      <c r="I37" s="9" t="inlineStr">
        <is>
          <t>Expense</t>
        </is>
      </c>
      <c r="J37" s="3">
        <v>15.02</v>
      </c>
      <c r="K37" s="9" t="inlineStr">
        <is>
          <t>10월 1주차; Chase Secure (...0119); Posted 2026-10-02; Balance shown: $7,980.18</t>
        </is>
      </c>
    </row>
    <row r="38">
      <c r="A38" s="4">
        <v>46297</v>
      </c>
      <c r="B38" s="9">
        <f>IF(A38="","",IF(DAY(A38)&lt;=3,1,INT((DAY(A38)-4)/7)+2))</f>
        <v>1</v>
      </c>
      <c r="C38" s="9" t="inlineStr">
        <is>
          <t>MTA*NYCT PAYGO NEW YORK NY 10/01 (...0119)</t>
        </is>
      </c>
      <c r="D38" s="9" t="inlineStr">
        <is>
          <t>MTA NYCT Paygo</t>
        </is>
      </c>
      <c r="E38" s="9" t="inlineStr">
        <is>
          <t>Transportation</t>
        </is>
      </c>
      <c r="F38" s="9" t="inlineStr">
        <is>
          <t>Public transit</t>
        </is>
      </c>
      <c r="G38" s="9" t="inlineStr">
        <is>
          <t>Checking</t>
        </is>
      </c>
      <c r="H38" s="9" t="inlineStr">
        <is>
          <t>Debit Card</t>
        </is>
      </c>
      <c r="I38" s="9" t="inlineStr">
        <is>
          <t>Expense</t>
        </is>
      </c>
      <c r="J38" s="3">
        <v>3.00</v>
      </c>
      <c r="K38" s="9" t="inlineStr">
        <is>
          <t>10월 1주차; Chase Secure (...0119); Posted 2026-10-02; Balance shown: $7,995.20</t>
        </is>
      </c>
    </row>
    <row r="39">
      <c r="A39" s="4">
        <v>46297</v>
      </c>
      <c r="B39" s="9">
        <f>IF(A39="","",IF(DAY(A39)&lt;=3,1,INT((DAY(A39)-4)/7)+2))</f>
        <v>1</v>
      </c>
      <c r="C39" s="9" t="inlineStr">
        <is>
          <t>GOLDEN DELI CORP NEW YORK NY 09/30 (...0119)</t>
        </is>
      </c>
      <c r="D39" s="9" t="inlineStr">
        <is>
          <t>Golden Deli</t>
        </is>
      </c>
      <c r="E39" s="9" t="inlineStr">
        <is>
          <t>Dining</t>
        </is>
      </c>
      <c r="F39" s="9" t="inlineStr">
        <is>
          <t>Deli</t>
        </is>
      </c>
      <c r="G39" s="9" t="inlineStr">
        <is>
          <t>Checking</t>
        </is>
      </c>
      <c r="H39" s="9" t="inlineStr">
        <is>
          <t>Debit Card</t>
        </is>
      </c>
      <c r="I39" s="9" t="inlineStr">
        <is>
          <t>Expense</t>
        </is>
      </c>
      <c r="J39" s="3">
        <v>22.65</v>
      </c>
      <c r="K39" s="9" t="inlineStr">
        <is>
          <t>10월 1주차; Chase Secure (...0119); Posted 2026-10-02; Balance shown: $7,998.20; Category inferred from merchant; purchase details unconfirmed</t>
        </is>
      </c>
    </row>
    <row r="40">
      <c r="A40" s="4">
        <v>46300</v>
      </c>
      <c r="B40" s="9">
        <f>IF(A40="","",IF(DAY(A40)&lt;=3,1,INT((DAY(A40)-4)/7)+2))</f>
        <v>2</v>
      </c>
      <c r="C40" s="9" t="inlineStr">
        <is>
          <t>Amazon.com*5924406G1 Amzn.com/bill WA 10/05 (...0119)</t>
        </is>
      </c>
      <c r="D40" s="9" t="inlineStr">
        <is>
          <t>Amazon</t>
        </is>
      </c>
      <c r="E40" s="9" t="inlineStr">
        <is>
          <t>Shopping</t>
        </is>
      </c>
      <c r="F40" s="9" t="inlineStr">
        <is>
          <t>Retail</t>
        </is>
      </c>
      <c r="G40" s="9" t="inlineStr">
        <is>
          <t>Checking</t>
        </is>
      </c>
      <c r="H40" s="9" t="inlineStr">
        <is>
          <t>Debit Card</t>
        </is>
      </c>
      <c r="I40" s="9" t="inlineStr">
        <is>
          <t>Expense</t>
        </is>
      </c>
      <c r="J40" s="3">
        <v>6.42</v>
      </c>
      <c r="K40" s="9" t="inlineStr">
        <is>
          <t>10월 1주차; Chase Secure (...0119); Posted 2026-10-05; Balance shown: $7,764.09; Category inferred from merchant; purchase details unconfirmed</t>
        </is>
      </c>
    </row>
    <row r="41">
      <c r="A41" s="4">
        <v>46300</v>
      </c>
      <c r="B41" s="9">
        <f>IF(A41="","",IF(DAY(A41)&lt;=3,1,INT((DAY(A41)-4)/7)+2))</f>
        <v>2</v>
      </c>
      <c r="C41" s="9" t="inlineStr">
        <is>
          <t>HANA MART COLUMBIA CORP NEW YORK NY 10/04 (...0119)</t>
        </is>
      </c>
      <c r="D41" s="9" t="inlineStr">
        <is>
          <t>Hana Mart</t>
        </is>
      </c>
      <c r="E41" s="9" t="inlineStr">
        <is>
          <t>Groceries</t>
        </is>
      </c>
      <c r="F41" s="9" t="inlineStr">
        <is>
          <t>Groceries</t>
        </is>
      </c>
      <c r="G41" s="9" t="inlineStr">
        <is>
          <t>Checking</t>
        </is>
      </c>
      <c r="H41" s="9" t="inlineStr">
        <is>
          <t>Debit Card</t>
        </is>
      </c>
      <c r="I41" s="9" t="inlineStr">
        <is>
          <t>Expense</t>
        </is>
      </c>
      <c r="J41" s="3">
        <v>52.69</v>
      </c>
      <c r="K41" s="9" t="inlineStr">
        <is>
          <t>10월 1주차; Chase Secure (...0119); Posted 2026-10-05; Balance shown: $7,770.51</t>
        </is>
      </c>
    </row>
    <row r="42">
      <c r="A42" s="4">
        <v>46300</v>
      </c>
      <c r="B42" s="9">
        <f>IF(A42="","",IF(DAY(A42)&lt;=3,1,INT((DAY(A42)-4)/7)+2))</f>
        <v>2</v>
      </c>
      <c r="C42" s="9" t="inlineStr">
        <is>
          <t>MTA*NYCT PAYGO NEW YORK NY 10/04 (...0119)</t>
        </is>
      </c>
      <c r="D42" s="9" t="inlineStr">
        <is>
          <t>MTA NYCT Paygo</t>
        </is>
      </c>
      <c r="E42" s="9" t="inlineStr">
        <is>
          <t>Transportation</t>
        </is>
      </c>
      <c r="F42" s="9" t="inlineStr">
        <is>
          <t>Public transit</t>
        </is>
      </c>
      <c r="G42" s="9" t="inlineStr">
        <is>
          <t>Checking</t>
        </is>
      </c>
      <c r="H42" s="9" t="inlineStr">
        <is>
          <t>Debit Card</t>
        </is>
      </c>
      <c r="I42" s="9" t="inlineStr">
        <is>
          <t>Expense</t>
        </is>
      </c>
      <c r="J42" s="3">
        <v>3.00</v>
      </c>
      <c r="K42" s="9" t="inlineStr">
        <is>
          <t>10월 1주차; Chase Secure (...0119); Posted 2026-10-05; Balance shown: $7,823.20</t>
        </is>
      </c>
    </row>
    <row r="43">
      <c r="A43" s="4">
        <v>46300</v>
      </c>
      <c r="B43" s="9">
        <f>IF(A43="","",IF(DAY(A43)&lt;=3,1,INT((DAY(A43)-4)/7)+2))</f>
        <v>2</v>
      </c>
      <c r="C43" s="9" t="inlineStr">
        <is>
          <t>STARBUCKS STORE 26286 NEW YORK NY 10/04 (...0119)</t>
        </is>
      </c>
      <c r="D43" s="9" t="inlineStr">
        <is>
          <t>Starbucks</t>
        </is>
      </c>
      <c r="E43" s="9" t="inlineStr">
        <is>
          <t>Dining</t>
        </is>
      </c>
      <c r="F43" s="9" t="inlineStr">
        <is>
          <t>Coffee</t>
        </is>
      </c>
      <c r="G43" s="9" t="inlineStr">
        <is>
          <t>Checking</t>
        </is>
      </c>
      <c r="H43" s="9" t="inlineStr">
        <is>
          <t>Debit Card</t>
        </is>
      </c>
      <c r="I43" s="9" t="inlineStr">
        <is>
          <t>Expense</t>
        </is>
      </c>
      <c r="J43" s="3">
        <v>7.57</v>
      </c>
      <c r="K43" s="9" t="inlineStr">
        <is>
          <t>10월 1주차; Chase Secure (...0119); Posted 2026-10-05; Balance shown: $7,826.20</t>
        </is>
      </c>
    </row>
    <row r="44">
      <c r="A44" s="4">
        <v>46300</v>
      </c>
      <c r="B44" s="9">
        <f>IF(A44="","",IF(DAY(A44)&lt;=3,1,INT((DAY(A44)-4)/7)+2))</f>
        <v>2</v>
      </c>
      <c r="C44" s="9" t="inlineStr">
        <is>
          <t>MTA*NYCT PAYGO NEW YORK NY 10/03 (...0119)</t>
        </is>
      </c>
      <c r="D44" s="9" t="inlineStr">
        <is>
          <t>MTA NYCT Paygo</t>
        </is>
      </c>
      <c r="E44" s="9" t="inlineStr">
        <is>
          <t>Transportation</t>
        </is>
      </c>
      <c r="F44" s="9" t="inlineStr">
        <is>
          <t>Public transit</t>
        </is>
      </c>
      <c r="G44" s="9" t="inlineStr">
        <is>
          <t>Checking</t>
        </is>
      </c>
      <c r="H44" s="9" t="inlineStr">
        <is>
          <t>Debit Card</t>
        </is>
      </c>
      <c r="I44" s="9" t="inlineStr">
        <is>
          <t>Expense</t>
        </is>
      </c>
      <c r="J44" s="3">
        <v>3.00</v>
      </c>
      <c r="K44" s="9" t="inlineStr">
        <is>
          <t>10월 1주차; Chase Secure (...0119); Posted 2026-10-05; Balance shown: $7,833.77</t>
        </is>
      </c>
    </row>
    <row r="45">
      <c r="A45" s="4">
        <v>46300</v>
      </c>
      <c r="B45" s="9">
        <f>IF(A45="","",IF(DAY(A45)&lt;=3,1,INT((DAY(A45)-4)/7)+2))</f>
        <v>2</v>
      </c>
      <c r="C45" s="9" t="inlineStr">
        <is>
          <t>MTA*NYCT PAYGO NEW YORK NY 10/03 (...0119)</t>
        </is>
      </c>
      <c r="D45" s="9" t="inlineStr">
        <is>
          <t>MTA NYCT Paygo</t>
        </is>
      </c>
      <c r="E45" s="9" t="inlineStr">
        <is>
          <t>Transportation</t>
        </is>
      </c>
      <c r="F45" s="9" t="inlineStr">
        <is>
          <t>Public transit</t>
        </is>
      </c>
      <c r="G45" s="9" t="inlineStr">
        <is>
          <t>Checking</t>
        </is>
      </c>
      <c r="H45" s="9" t="inlineStr">
        <is>
          <t>Debit Card</t>
        </is>
      </c>
      <c r="I45" s="9" t="inlineStr">
        <is>
          <t>Expense</t>
        </is>
      </c>
      <c r="J45" s="3">
        <v>3.00</v>
      </c>
      <c r="K45" s="9" t="inlineStr">
        <is>
          <t>10월 1주차; Chase Secure (...0119); Posted 2026-10-05; Balance shown: $7,836.77</t>
        </is>
      </c>
    </row>
    <row r="46">
      <c r="A46" s="4">
        <v>46300</v>
      </c>
      <c r="B46" s="9">
        <f>IF(A46="","",IF(DAY(A46)&lt;=3,1,INT((DAY(A46)-4)/7)+2))</f>
        <v>2</v>
      </c>
      <c r="C46" s="9" t="inlineStr">
        <is>
          <t>TST* SALT AND STRAW - H NEW YORK NY 10/04 (...0119)</t>
        </is>
      </c>
      <c r="D46" s="9" t="inlineStr">
        <is>
          <t>Salt &amp; Straw</t>
        </is>
      </c>
      <c r="E46" s="9" t="inlineStr">
        <is>
          <t>Dining</t>
        </is>
      </c>
      <c r="F46" s="9" t="inlineStr">
        <is>
          <t>Ice cream</t>
        </is>
      </c>
      <c r="G46" s="9" t="inlineStr">
        <is>
          <t>Checking</t>
        </is>
      </c>
      <c r="H46" s="9" t="inlineStr">
        <is>
          <t>Debit Card</t>
        </is>
      </c>
      <c r="I46" s="9" t="inlineStr">
        <is>
          <t>Expense</t>
        </is>
      </c>
      <c r="J46" s="3">
        <v>8.44</v>
      </c>
      <c r="K46" s="9" t="inlineStr">
        <is>
          <t>10월 1주차; Chase Secure (...0119); Posted 2026-10-05; Balance shown: $7,839.77</t>
        </is>
      </c>
    </row>
    <row r="47">
      <c r="A47" s="4">
        <v>46300</v>
      </c>
      <c r="B47" s="9">
        <f>IF(A47="","",IF(DAY(A47)&lt;=3,1,INT((DAY(A47)-4)/7)+2))</f>
        <v>2</v>
      </c>
      <c r="C47" s="9" t="inlineStr">
        <is>
          <t>MTA*NYCT PAYGO NEW YORK NY 10/03 (...0119)</t>
        </is>
      </c>
      <c r="D47" s="9" t="inlineStr">
        <is>
          <t>MTA NYCT Paygo</t>
        </is>
      </c>
      <c r="E47" s="9" t="inlineStr">
        <is>
          <t>Transportation</t>
        </is>
      </c>
      <c r="F47" s="9" t="inlineStr">
        <is>
          <t>Public transit</t>
        </is>
      </c>
      <c r="G47" s="9" t="inlineStr">
        <is>
          <t>Checking</t>
        </is>
      </c>
      <c r="H47" s="9" t="inlineStr">
        <is>
          <t>Debit Card</t>
        </is>
      </c>
      <c r="I47" s="9" t="inlineStr">
        <is>
          <t>Expense</t>
        </is>
      </c>
      <c r="J47" s="3">
        <v>3.00</v>
      </c>
      <c r="K47" s="9" t="inlineStr">
        <is>
          <t>10월 1주차; Chase Secure (...0119); Posted 2026-10-05; Balance shown: $7,848.21</t>
        </is>
      </c>
    </row>
    <row r="48">
      <c r="A48" s="4">
        <v>46300</v>
      </c>
      <c r="B48" s="9">
        <f>IF(A48="","",IF(DAY(A48)&lt;=3,1,INT((DAY(A48)-4)/7)+2))</f>
        <v>2</v>
      </c>
      <c r="C48" s="9" t="inlineStr">
        <is>
          <t>MTA*NYCT PAYGO NEW YORK NY 10/02 (...0119)</t>
        </is>
      </c>
      <c r="D48" s="9" t="inlineStr">
        <is>
          <t>MTA NYCT Paygo</t>
        </is>
      </c>
      <c r="E48" s="9" t="inlineStr">
        <is>
          <t>Transportation</t>
        </is>
      </c>
      <c r="F48" s="9" t="inlineStr">
        <is>
          <t>Public transit</t>
        </is>
      </c>
      <c r="G48" s="9" t="inlineStr">
        <is>
          <t>Checking</t>
        </is>
      </c>
      <c r="H48" s="9" t="inlineStr">
        <is>
          <t>Debit Card</t>
        </is>
      </c>
      <c r="I48" s="9" t="inlineStr">
        <is>
          <t>Expense</t>
        </is>
      </c>
      <c r="J48" s="3">
        <v>3.00</v>
      </c>
      <c r="K48" s="9" t="inlineStr">
        <is>
          <t>10월 1주차; Chase Secure (...0119); Posted 2026-10-05; Balance shown: $7,851.21</t>
        </is>
      </c>
    </row>
    <row r="49">
      <c r="A49" s="4">
        <v>46300</v>
      </c>
      <c r="B49" s="9">
        <f>IF(A49="","",IF(DAY(A49)&lt;=3,1,INT((DAY(A49)-4)/7)+2))</f>
        <v>2</v>
      </c>
      <c r="C49" s="9" t="inlineStr">
        <is>
          <t>TOPIA NEWS STAND BROOKLYN NY 10/02 (...0119)</t>
        </is>
      </c>
      <c r="D49" s="9" t="inlineStr">
        <is>
          <t>Topia News Stand</t>
        </is>
      </c>
      <c r="E49" s="9" t="inlineStr">
        <is>
          <t>Shopping</t>
        </is>
      </c>
      <c r="F49" s="9" t="inlineStr">
        <is>
          <t>Newsstand</t>
        </is>
      </c>
      <c r="G49" s="9" t="inlineStr">
        <is>
          <t>Checking</t>
        </is>
      </c>
      <c r="H49" s="9" t="inlineStr">
        <is>
          <t>Debit Card</t>
        </is>
      </c>
      <c r="I49" s="9" t="inlineStr">
        <is>
          <t>Expense</t>
        </is>
      </c>
      <c r="J49" s="3">
        <v>31.57</v>
      </c>
      <c r="K49" s="9" t="inlineStr">
        <is>
          <t>10월 1주차; Chase Secure (...0119); Posted 2026-10-05; Balance shown: $7,854.21; Category inferred from merchant; purchase details unconfirmed</t>
        </is>
      </c>
    </row>
    <row r="50">
      <c r="A50" s="4">
        <v>46300</v>
      </c>
      <c r="B50" s="9">
        <f>IF(A50="","",IF(DAY(A50)&lt;=3,1,INT((DAY(A50)-4)/7)+2))</f>
        <v>2</v>
      </c>
      <c r="C50" s="9" t="inlineStr">
        <is>
          <t>TST* 7TH STREET BURGER BROOKLYN NY 10/03 (...0119)</t>
        </is>
      </c>
      <c r="D50" s="9" t="inlineStr">
        <is>
          <t>7th Street Burger</t>
        </is>
      </c>
      <c r="E50" s="9" t="inlineStr">
        <is>
          <t>Dining</t>
        </is>
      </c>
      <c r="F50" s="9" t="inlineStr">
        <is>
          <t>Restaurant</t>
        </is>
      </c>
      <c r="G50" s="9" t="inlineStr">
        <is>
          <t>Checking</t>
        </is>
      </c>
      <c r="H50" s="9" t="inlineStr">
        <is>
          <t>Debit Card</t>
        </is>
      </c>
      <c r="I50" s="9" t="inlineStr">
        <is>
          <t>Expense</t>
        </is>
      </c>
      <c r="J50" s="3">
        <v>10.89</v>
      </c>
      <c r="K50" s="9" t="inlineStr">
        <is>
          <t>10월 1주차; Chase Secure (...0119); Posted 2026-10-05; Balance shown: $7,885.78</t>
        </is>
      </c>
    </row>
    <row r="51">
      <c r="A51" s="4">
        <v>46300</v>
      </c>
      <c r="B51" s="9">
        <f>IF(A51="","",IF(DAY(A51)&lt;=3,1,INT((DAY(A51)-4)/7)+2))</f>
        <v>2</v>
      </c>
      <c r="C51" s="9" t="inlineStr">
        <is>
          <t>99 CENT SUPREME PIZZA BROOKLYN NY 10/02 (...0119)</t>
        </is>
      </c>
      <c r="D51" s="9" t="inlineStr">
        <is>
          <t>99 Cent Supreme Pizza</t>
        </is>
      </c>
      <c r="E51" s="9" t="inlineStr">
        <is>
          <t>Dining</t>
        </is>
      </c>
      <c r="F51" s="9" t="inlineStr">
        <is>
          <t>Restaurant/Pizza</t>
        </is>
      </c>
      <c r="G51" s="9" t="inlineStr">
        <is>
          <t>Checking</t>
        </is>
      </c>
      <c r="H51" s="9" t="inlineStr">
        <is>
          <t>Debit Card</t>
        </is>
      </c>
      <c r="I51" s="9" t="inlineStr">
        <is>
          <t>Expense</t>
        </is>
      </c>
      <c r="J51" s="3">
        <v>3.39</v>
      </c>
      <c r="K51" s="9" t="inlineStr">
        <is>
          <t>10월 1주차; Chase Secure (...0119); Posted 2026-10-05; Balance shown: $7,896.67</t>
        </is>
      </c>
    </row>
    <row r="52">
      <c r="A52" s="4">
        <v>46300</v>
      </c>
      <c r="B52" s="9">
        <f>IF(A52="","",IF(DAY(A52)&lt;=3,1,INT((DAY(A52)-4)/7)+2))</f>
        <v>2</v>
      </c>
      <c r="C52" s="9" t="inlineStr">
        <is>
          <t>MTA*NYCT PAYGO NEW YORK NY 10/02 (...0119)</t>
        </is>
      </c>
      <c r="D52" s="9" t="inlineStr">
        <is>
          <t>MTA NYCT Paygo</t>
        </is>
      </c>
      <c r="E52" s="9" t="inlineStr">
        <is>
          <t>Transportation</t>
        </is>
      </c>
      <c r="F52" s="9" t="inlineStr">
        <is>
          <t>Public transit</t>
        </is>
      </c>
      <c r="G52" s="9" t="inlineStr">
        <is>
          <t>Checking</t>
        </is>
      </c>
      <c r="H52" s="9" t="inlineStr">
        <is>
          <t>Debit Card</t>
        </is>
      </c>
      <c r="I52" s="9" t="inlineStr">
        <is>
          <t>Expense</t>
        </is>
      </c>
      <c r="J52" s="3">
        <v>3.00</v>
      </c>
      <c r="K52" s="9" t="inlineStr">
        <is>
          <t>10월 1주차; Chase Secure (...0119); Posted 2026-10-05; Balance shown: $7,900.06</t>
        </is>
      </c>
    </row>
    <row r="53">
      <c r="A53" s="4">
        <v>46300</v>
      </c>
      <c r="B53" s="9">
        <f>IF(A53="","",IF(DAY(A53)&lt;=3,1,INT((DAY(A53)-4)/7)+2))</f>
        <v>2</v>
      </c>
      <c r="C53" s="9" t="inlineStr">
        <is>
          <t>MILANO PIZZA &amp; PASTA NEW YORK NY 10/01 (...0119)</t>
        </is>
      </c>
      <c r="D53" s="9" t="inlineStr">
        <is>
          <t>Milano Pizza &amp; Pasta</t>
        </is>
      </c>
      <c r="E53" s="9" t="inlineStr">
        <is>
          <t>Dining</t>
        </is>
      </c>
      <c r="F53" s="9" t="inlineStr">
        <is>
          <t>Restaurant/Pizza</t>
        </is>
      </c>
      <c r="G53" s="9" t="inlineStr">
        <is>
          <t>Checking</t>
        </is>
      </c>
      <c r="H53" s="9" t="inlineStr">
        <is>
          <t>Debit Card</t>
        </is>
      </c>
      <c r="I53" s="9" t="inlineStr">
        <is>
          <t>Expense</t>
        </is>
      </c>
      <c r="J53" s="3">
        <v>4.81</v>
      </c>
      <c r="K53" s="9" t="inlineStr">
        <is>
          <t>10월 1주차; Chase Secure (...0119); Posted 2026-10-05; Balance shown: $7,903.06</t>
        </is>
      </c>
    </row>
    <row r="54">
      <c r="A54" s="4">
        <v>46301</v>
      </c>
      <c r="B54" s="9">
        <f>IF(A54="","",IF(DAY(A54)&lt;=3,1,INT((DAY(A54)-4)/7)+2))</f>
        <v>2</v>
      </c>
      <c r="C54" s="9" t="inlineStr">
        <is>
          <t>MTA*NYCT PAYGO NEW YORK NY 10/05 (...0119)</t>
        </is>
      </c>
      <c r="D54" s="9" t="inlineStr">
        <is>
          <t>MTA NYCT Paygo</t>
        </is>
      </c>
      <c r="E54" s="9" t="inlineStr">
        <is>
          <t>Transportation</t>
        </is>
      </c>
      <c r="F54" s="9" t="inlineStr">
        <is>
          <t>Public transit</t>
        </is>
      </c>
      <c r="G54" s="9" t="inlineStr">
        <is>
          <t>Checking</t>
        </is>
      </c>
      <c r="H54" s="9" t="inlineStr">
        <is>
          <t>Debit Card</t>
        </is>
      </c>
      <c r="I54" s="9" t="inlineStr">
        <is>
          <t>Expense</t>
        </is>
      </c>
      <c r="J54" s="3">
        <v>2.00</v>
      </c>
      <c r="K54" s="9" t="inlineStr">
        <is>
          <t>10월 1주차; Chase Secure (...0119); Posted 2026-10-06; Balance shown: $7,762.09</t>
        </is>
      </c>
    </row>
    <row r="55">
      <c r="A55" s="4">
        <v>46302</v>
      </c>
      <c r="B55" s="9">
        <f>IF(A55="","",IF(DAY(A55)&lt;=3,1,INT((DAY(A55)-4)/7)+2))</f>
        <v>2</v>
      </c>
      <c r="C55" s="9" t="inlineStr">
        <is>
          <t>MTA*NYCT PAYGO NEW YORK NY 10/06 (...0119)</t>
        </is>
      </c>
      <c r="D55" s="9" t="inlineStr">
        <is>
          <t>MTA NYCT Paygo</t>
        </is>
      </c>
      <c r="E55" s="9" t="inlineStr">
        <is>
          <t>Transportation</t>
        </is>
      </c>
      <c r="F55" s="9" t="inlineStr">
        <is>
          <t>Public transit</t>
        </is>
      </c>
      <c r="G55" s="9" t="inlineStr">
        <is>
          <t>Checking</t>
        </is>
      </c>
      <c r="H55" s="9" t="inlineStr">
        <is>
          <t>Debit Card</t>
        </is>
      </c>
      <c r="I55" s="9" t="inlineStr">
        <is>
          <t>Expense</t>
        </is>
      </c>
      <c r="J55" s="3">
        <v>3.00</v>
      </c>
      <c r="K55" s="9" t="inlineStr">
        <is>
          <t>10월 1주차; Chase Secure (...0119); Posted 2026-10-07; Balance shown: $7,590.59</t>
        </is>
      </c>
    </row>
    <row r="56">
      <c r="A56" s="4">
        <v>46302</v>
      </c>
      <c r="B56" s="9">
        <f>IF(A56="","",IF(DAY(A56)&lt;=3,1,INT((DAY(A56)-4)/7)+2))</f>
        <v>2</v>
      </c>
      <c r="C56" s="9" t="inlineStr">
        <is>
          <t>TST* 7TH STREET BURGER BROOKLYN NY 10/07 (...0119)</t>
        </is>
      </c>
      <c r="D56" s="9" t="inlineStr">
        <is>
          <t>7th Street Burger</t>
        </is>
      </c>
      <c r="E56" s="9" t="inlineStr">
        <is>
          <t>Dining</t>
        </is>
      </c>
      <c r="F56" s="9" t="inlineStr">
        <is>
          <t>Restaurant</t>
        </is>
      </c>
      <c r="G56" s="9" t="inlineStr">
        <is>
          <t>Checking</t>
        </is>
      </c>
      <c r="H56" s="9" t="inlineStr">
        <is>
          <t>Debit Card</t>
        </is>
      </c>
      <c r="I56" s="9" t="inlineStr">
        <is>
          <t>Expense</t>
        </is>
      </c>
      <c r="J56" s="3">
        <v>10.89</v>
      </c>
      <c r="K56" s="9" t="inlineStr">
        <is>
          <t>10월 1주차; Chase Secure (...0119); Posted 2026-10-07; Balance shown: $7,593.59</t>
        </is>
      </c>
    </row>
    <row r="57">
      <c r="A57" s="4">
        <v>46302</v>
      </c>
      <c r="B57" s="9">
        <f>IF(A57="","",IF(DAY(A57)&lt;=3,1,INT((DAY(A57)-4)/7)+2))</f>
        <v>2</v>
      </c>
      <c r="C57" s="9" t="inlineStr">
        <is>
          <t>OPENAI *CHATGPT SUBSCR OPENAI.COM CA 10/06 (...0119)</t>
        </is>
      </c>
      <c r="D57" s="9" t="inlineStr">
        <is>
          <t>OpenAI ChatGPT</t>
        </is>
      </c>
      <c r="E57" s="9" t="inlineStr">
        <is>
          <t>Education</t>
        </is>
      </c>
      <c r="F57" s="9" t="inlineStr">
        <is>
          <t>Software subscription</t>
        </is>
      </c>
      <c r="G57" s="9" t="inlineStr">
        <is>
          <t>Checking</t>
        </is>
      </c>
      <c r="H57" s="9" t="inlineStr">
        <is>
          <t>Debit Card</t>
        </is>
      </c>
      <c r="I57" s="9" t="inlineStr">
        <is>
          <t>Expense</t>
        </is>
      </c>
      <c r="J57" s="3">
        <v>118.78</v>
      </c>
      <c r="K57" s="9" t="inlineStr">
        <is>
          <t>10월 1주차; Chase Secure (...0119); Posted 2026-10-07; Balance shown: $7,604.48</t>
        </is>
      </c>
    </row>
    <row r="58">
      <c r="A58" s="4">
        <v>46302</v>
      </c>
      <c r="B58" s="9">
        <f>IF(A58="","",IF(DAY(A58)&lt;=3,1,INT((DAY(A58)-4)/7)+2))</f>
        <v>2</v>
      </c>
      <c r="C58" s="9" t="inlineStr">
        <is>
          <t>MTA*NYCT PAYGO NEW YORK NY 10/06 (...0119)</t>
        </is>
      </c>
      <c r="D58" s="9" t="inlineStr">
        <is>
          <t>MTA NYCT Paygo</t>
        </is>
      </c>
      <c r="E58" s="9" t="inlineStr">
        <is>
          <t>Transportation</t>
        </is>
      </c>
      <c r="F58" s="9" t="inlineStr">
        <is>
          <t>Public transit</t>
        </is>
      </c>
      <c r="G58" s="9" t="inlineStr">
        <is>
          <t>Checking</t>
        </is>
      </c>
      <c r="H58" s="9" t="inlineStr">
        <is>
          <t>Debit Card</t>
        </is>
      </c>
      <c r="I58" s="9" t="inlineStr">
        <is>
          <t>Expense</t>
        </is>
      </c>
      <c r="J58" s="3">
        <v>3.00</v>
      </c>
      <c r="K58" s="9" t="inlineStr">
        <is>
          <t>10월 1주차; Chase Secure (...0119); Posted 2026-10-07; Balance shown: $7,723.26</t>
        </is>
      </c>
    </row>
    <row r="59">
      <c r="A59" s="4">
        <v>46302</v>
      </c>
      <c r="B59" s="9">
        <f>IF(A59="","",IF(DAY(A59)&lt;=3,1,INT((DAY(A59)-4)/7)+2))</f>
        <v>2</v>
      </c>
      <c r="C59" s="9" t="inlineStr">
        <is>
          <t>GOLDEN DELI CORP NEW YORK NY 10/06 (...0119)</t>
        </is>
      </c>
      <c r="D59" s="9" t="inlineStr">
        <is>
          <t>Golden Deli</t>
        </is>
      </c>
      <c r="E59" s="9" t="inlineStr">
        <is>
          <t>Dining</t>
        </is>
      </c>
      <c r="F59" s="9" t="inlineStr">
        <is>
          <t>Deli</t>
        </is>
      </c>
      <c r="G59" s="9" t="inlineStr">
        <is>
          <t>Checking</t>
        </is>
      </c>
      <c r="H59" s="9" t="inlineStr">
        <is>
          <t>Debit Card</t>
        </is>
      </c>
      <c r="I59" s="9" t="inlineStr">
        <is>
          <t>Expense</t>
        </is>
      </c>
      <c r="J59" s="3">
        <v>22.65</v>
      </c>
      <c r="K59" s="9" t="inlineStr">
        <is>
          <t>10월 1주차; Chase Secure (...0119); Posted 2026-10-07; Balance shown: $7,726.26; Category inferred from merchant; purchase details unconfirmed</t>
        </is>
      </c>
    </row>
    <row r="60">
      <c r="A60" s="4">
        <v>46302</v>
      </c>
      <c r="B60" s="9">
        <f>IF(A60="","",IF(DAY(A60)&lt;=3,1,INT((DAY(A60)-4)/7)+2))</f>
        <v>2</v>
      </c>
      <c r="C60" s="9" t="inlineStr">
        <is>
          <t>AMAZON MKTPL*594TT0X Amzn.com/bill WA 10/06 (...0119)</t>
        </is>
      </c>
      <c r="D60" s="9" t="inlineStr">
        <is>
          <t>Amazon</t>
        </is>
      </c>
      <c r="E60" s="9" t="inlineStr">
        <is>
          <t>Shopping</t>
        </is>
      </c>
      <c r="F60" s="9" t="inlineStr">
        <is>
          <t>Retail</t>
        </is>
      </c>
      <c r="G60" s="9" t="inlineStr">
        <is>
          <t>Checking</t>
        </is>
      </c>
      <c r="H60" s="9" t="inlineStr">
        <is>
          <t>Debit Card</t>
        </is>
      </c>
      <c r="I60" s="9" t="inlineStr">
        <is>
          <t>Expense</t>
        </is>
      </c>
      <c r="J60" s="3">
        <v>9.79</v>
      </c>
      <c r="K60" s="9" t="inlineStr">
        <is>
          <t>10월 1주차; Chase Secure (...0119); Posted 2026-10-07; Balance shown: $7,748.91; Category inferred from merchant; purchase details unconfirmed</t>
        </is>
      </c>
    </row>
    <row r="61">
      <c r="A61" s="4">
        <v>46302</v>
      </c>
      <c r="B61" s="9">
        <f>IF(A61="","",IF(DAY(A61)&lt;=3,1,INT((DAY(A61)-4)/7)+2))</f>
        <v>2</v>
      </c>
      <c r="C61" s="9" t="inlineStr">
        <is>
          <t>99 CENT SUPREME PIZZA BROOKLYN NY 10/05 (...0119)</t>
        </is>
      </c>
      <c r="D61" s="9" t="inlineStr">
        <is>
          <t>99 Cent Supreme Pizza</t>
        </is>
      </c>
      <c r="E61" s="9" t="inlineStr">
        <is>
          <t>Dining</t>
        </is>
      </c>
      <c r="F61" s="9" t="inlineStr">
        <is>
          <t>Restaurant/Pizza</t>
        </is>
      </c>
      <c r="G61" s="9" t="inlineStr">
        <is>
          <t>Checking</t>
        </is>
      </c>
      <c r="H61" s="9" t="inlineStr">
        <is>
          <t>Debit Card</t>
        </is>
      </c>
      <c r="I61" s="9" t="inlineStr">
        <is>
          <t>Expense</t>
        </is>
      </c>
      <c r="J61" s="3">
        <v>3.39</v>
      </c>
      <c r="K61" s="9" t="inlineStr">
        <is>
          <t>10월 1주차; Chase Secure (...0119); Posted 2026-10-07; Balance shown: $7,758.70</t>
        </is>
      </c>
    </row>
    <row r="62">
      <c r="A62" s="4">
        <v>46304</v>
      </c>
      <c r="B62" s="9">
        <f>IF(A62="","",IF(DAY(A62)&lt;=3,1,INT((DAY(A62)-4)/7)+2))</f>
        <v>2</v>
      </c>
      <c r="C62" s="9" t="inlineStr">
        <is>
          <t>Zelle payment to YI HUANG 31139004829</t>
        </is>
      </c>
      <c r="D62" s="9" t="inlineStr">
        <is>
          <t>YI HUANG</t>
        </is>
      </c>
      <c r="E62" s="9" t="inlineStr">
        <is>
          <t>Dining</t>
        </is>
      </c>
      <c r="F62" s="9" t="inlineStr">
        <is>
          <t>Restaurant</t>
        </is>
      </c>
      <c r="G62" s="9" t="inlineStr">
        <is>
          <t>Checking</t>
        </is>
      </c>
      <c r="H62" s="9" t="inlineStr">
        <is>
          <t>Venmo/Zelle/PayPal</t>
        </is>
      </c>
      <c r="I62" s="9" t="inlineStr">
        <is>
          <t>Expense</t>
        </is>
      </c>
      <c r="J62" s="3">
        <v>2.50</v>
      </c>
      <c r="K62" s="9" t="inlineStr">
        <is>
          <t>10월 2주차; Chase Secure (...0119); Posted 2026-10-08; Balance shown: $7,586.09</t>
        </is>
      </c>
    </row>
    <row r="63">
      <c r="A63" s="4">
        <v>46304</v>
      </c>
      <c r="B63" s="9">
        <f>IF(A63="","",IF(DAY(A63)&lt;=3,1,INT((DAY(A63)-4)/7)+2))</f>
        <v>2</v>
      </c>
      <c r="C63" s="9" t="inlineStr">
        <is>
          <t>Zelle payment to SORA KAKIGI JPM99cz7fxgk</t>
        </is>
      </c>
      <c r="D63" s="9" t="inlineStr">
        <is>
          <t>SORA KAKIGI</t>
        </is>
      </c>
      <c r="E63" s="9" t="inlineStr">
        <is>
          <t>Dining</t>
        </is>
      </c>
      <c r="F63" s="9" t="inlineStr">
        <is>
          <t>Restaurant</t>
        </is>
      </c>
      <c r="G63" s="9" t="inlineStr">
        <is>
          <t>Checking</t>
        </is>
      </c>
      <c r="H63" s="9" t="inlineStr">
        <is>
          <t>Venmo/Zelle/PayPal</t>
        </is>
      </c>
      <c r="I63" s="9" t="inlineStr">
        <is>
          <t>Expense</t>
        </is>
      </c>
      <c r="J63" s="3">
        <v>2.00</v>
      </c>
      <c r="K63" s="9" t="inlineStr">
        <is>
          <t>10월 2주차; Chase Secure (...0119); Posted 2026-10-08; Balance shown: $7,588.59</t>
        </is>
      </c>
    </row>
    <row r="64">
      <c r="A64" s="4">
        <v>46305</v>
      </c>
      <c r="B64" s="9">
        <f>IF(A64="","",IF(DAY(A64)&lt;=3,1,INT((DAY(A64)-4)/7)+2))</f>
        <v>2</v>
      </c>
      <c r="C64" s="9" t="inlineStr">
        <is>
          <t>MTA*NYCT PAYGO NEW YORK NY 10/08 (...0119)</t>
        </is>
      </c>
      <c r="D64" s="9" t="inlineStr">
        <is>
          <t>MTA NYCT Paygo</t>
        </is>
      </c>
      <c r="E64" s="9" t="inlineStr">
        <is>
          <t>Transportation</t>
        </is>
      </c>
      <c r="F64" s="9" t="inlineStr">
        <is>
          <t>Public transit</t>
        </is>
      </c>
      <c r="G64" s="9" t="inlineStr">
        <is>
          <t>Checking</t>
        </is>
      </c>
      <c r="H64" s="9" t="inlineStr">
        <is>
          <t>Debit Card</t>
        </is>
      </c>
      <c r="I64" s="9" t="inlineStr">
        <is>
          <t>Expense</t>
        </is>
      </c>
      <c r="J64" s="3">
        <v>3.00</v>
      </c>
      <c r="K64" s="9" t="inlineStr">
        <is>
          <t>10월 2주차; Chase Secure (...0119); Posted 2026-10-09; Balance shown: $7,580.09</t>
        </is>
      </c>
    </row>
    <row r="65">
      <c r="A65" s="4">
        <v>46305</v>
      </c>
      <c r="B65" s="9">
        <f>IF(A65="","",IF(DAY(A65)&lt;=3,1,INT((DAY(A65)-4)/7)+2))</f>
        <v>2</v>
      </c>
      <c r="C65" s="9" t="inlineStr">
        <is>
          <t>MTA*NYCT PAYGO NEW YORK NY 10/08 (...0119)</t>
        </is>
      </c>
      <c r="D65" s="9" t="inlineStr">
        <is>
          <t>MTA NYCT Paygo</t>
        </is>
      </c>
      <c r="E65" s="9" t="inlineStr">
        <is>
          <t>Transportation</t>
        </is>
      </c>
      <c r="F65" s="9" t="inlineStr">
        <is>
          <t>Public transit</t>
        </is>
      </c>
      <c r="G65" s="9" t="inlineStr">
        <is>
          <t>Checking</t>
        </is>
      </c>
      <c r="H65" s="9" t="inlineStr">
        <is>
          <t>Debit Card</t>
        </is>
      </c>
      <c r="I65" s="9" t="inlineStr">
        <is>
          <t>Expense</t>
        </is>
      </c>
      <c r="J65" s="3">
        <v>3.00</v>
      </c>
      <c r="K65" s="9" t="inlineStr">
        <is>
          <t>10월 2주차; Chase Secure (...0119); Posted 2026-10-09; Balance shown: $7,583.09</t>
        </is>
      </c>
    </row>
    <row r="66">
      <c r="A66" s="4">
        <v>46305</v>
      </c>
      <c r="B66" s="9">
        <f>IF(A66="","",IF(DAY(A66)&lt;=3,1,INT((DAY(A66)-4)/7)+2))</f>
        <v>2</v>
      </c>
      <c r="C66" s="9" t="inlineStr">
        <is>
          <t>MTA*NYCT PAYGO NEW YORK NY 10/08 (...0119)</t>
        </is>
      </c>
      <c r="D66" s="9" t="inlineStr">
        <is>
          <t>MTA NYCT Paygo</t>
        </is>
      </c>
      <c r="E66" s="9" t="inlineStr">
        <is>
          <t>Transportation</t>
        </is>
      </c>
      <c r="F66" s="9" t="inlineStr">
        <is>
          <t>Public transit</t>
        </is>
      </c>
      <c r="G66" s="9" t="inlineStr">
        <is>
          <t>Checking</t>
        </is>
      </c>
      <c r="H66" s="9" t="inlineStr">
        <is>
          <t>Debit Card</t>
        </is>
      </c>
      <c r="I66" s="9" t="inlineStr">
        <is>
          <t>Expense</t>
        </is>
      </c>
      <c r="J66" s="3">
        <v>3.00</v>
      </c>
      <c r="K66" s="9" t="inlineStr">
        <is>
          <t>10월 2주차; Chase Secure (...0119); Posted 2026-10-09; Balance shown: $7,577.09</t>
        </is>
      </c>
    </row>
    <row r="67">
      <c r="A67" s="4" t="n"/>
      <c r="B67" s="9">
        <f>IF(A67="","",INT((DAY(A67)-1)/7)+1)</f>
        <v/>
      </c>
      <c r="C67" s="9" t="n"/>
      <c r="D67" s="9" t="n"/>
      <c r="E67" s="9" t="n"/>
      <c r="F67" s="9" t="n"/>
      <c r="G67" s="9" t="n"/>
      <c r="H67" s="9" t="n"/>
      <c r="I67" s="9" t="n"/>
      <c r="J67" s="3" t="n"/>
      <c r="K67" s="9" t="n"/>
    </row>
    <row r="68">
      <c r="A68" s="4" t="n"/>
      <c r="B68" s="9">
        <f>IF(A68="","",INT((DAY(A68)-1)/7)+1)</f>
        <v/>
      </c>
      <c r="C68" s="9" t="n"/>
      <c r="D68" s="9" t="n"/>
      <c r="E68" s="9" t="n"/>
      <c r="F68" s="9" t="n"/>
      <c r="G68" s="9" t="n"/>
      <c r="H68" s="9" t="n"/>
      <c r="I68" s="9" t="n"/>
      <c r="J68" s="3" t="n"/>
      <c r="K68" s="9" t="n"/>
    </row>
    <row r="69">
      <c r="A69" s="4" t="n"/>
      <c r="B69" s="9">
        <f>IF(A69="","",INT((DAY(A69)-1)/7)+1)</f>
        <v/>
      </c>
      <c r="C69" s="9" t="n"/>
      <c r="D69" s="9" t="n"/>
      <c r="E69" s="9" t="n"/>
      <c r="F69" s="9" t="n"/>
      <c r="G69" s="9" t="n"/>
      <c r="H69" s="9" t="n"/>
      <c r="I69" s="9" t="n"/>
      <c r="J69" s="3" t="n"/>
      <c r="K69" s="9" t="n"/>
    </row>
    <row r="70">
      <c r="A70" s="4" t="n"/>
      <c r="B70" s="9">
        <f>IF(A70="","",INT((DAY(A70)-1)/7)+1)</f>
        <v/>
      </c>
      <c r="C70" s="9" t="n"/>
      <c r="D70" s="9" t="n"/>
      <c r="E70" s="9" t="n"/>
      <c r="F70" s="9" t="n"/>
      <c r="G70" s="9" t="n"/>
      <c r="H70" s="9" t="n"/>
      <c r="I70" s="9" t="n"/>
      <c r="J70" s="3" t="n"/>
      <c r="K70" s="9" t="n"/>
    </row>
    <row r="71">
      <c r="A71" s="4" t="n"/>
      <c r="B71" s="9">
        <f>IF(A71="","",INT((DAY(A71)-1)/7)+1)</f>
        <v/>
      </c>
      <c r="C71" s="9" t="n"/>
      <c r="D71" s="9" t="n"/>
      <c r="E71" s="9" t="n"/>
      <c r="F71" s="9" t="n"/>
      <c r="G71" s="9" t="n"/>
      <c r="H71" s="9" t="n"/>
      <c r="I71" s="9" t="n"/>
      <c r="J71" s="3" t="n"/>
      <c r="K71" s="9" t="n"/>
    </row>
    <row r="72">
      <c r="A72" s="4" t="n"/>
      <c r="B72" s="9">
        <f>IF(A72="","",INT((DAY(A72)-1)/7)+1)</f>
        <v/>
      </c>
      <c r="C72" s="9" t="n"/>
      <c r="D72" s="9" t="n"/>
      <c r="E72" s="9" t="n"/>
      <c r="F72" s="9" t="n"/>
      <c r="G72" s="9" t="n"/>
      <c r="H72" s="9" t="n"/>
      <c r="I72" s="9" t="n"/>
      <c r="J72" s="3" t="n"/>
      <c r="K72" s="9" t="n"/>
    </row>
    <row r="73">
      <c r="A73" s="4" t="n"/>
      <c r="B73" s="9">
        <f>IF(A73="","",INT((DAY(A73)-1)/7)+1)</f>
        <v/>
      </c>
      <c r="C73" s="9" t="n"/>
      <c r="D73" s="9" t="n"/>
      <c r="E73" s="9" t="n"/>
      <c r="F73" s="9" t="n"/>
      <c r="G73" s="9" t="n"/>
      <c r="H73" s="9" t="n"/>
      <c r="I73" s="9" t="n"/>
      <c r="J73" s="3" t="n"/>
      <c r="K73" s="9" t="n"/>
    </row>
    <row r="74">
      <c r="A74" s="4" t="n"/>
      <c r="B74" s="9">
        <f>IF(A74="","",INT((DAY(A74)-1)/7)+1)</f>
        <v/>
      </c>
      <c r="C74" s="9" t="n"/>
      <c r="D74" s="9" t="n"/>
      <c r="E74" s="9" t="n"/>
      <c r="F74" s="9" t="n"/>
      <c r="G74" s="9" t="n"/>
      <c r="H74" s="9" t="n"/>
      <c r="I74" s="9" t="n"/>
      <c r="J74" s="3" t="n"/>
      <c r="K74" s="9" t="n"/>
    </row>
    <row r="75">
      <c r="A75" s="4" t="n"/>
      <c r="B75" s="9">
        <f>IF(A75="","",INT((DAY(A75)-1)/7)+1)</f>
        <v/>
      </c>
      <c r="C75" s="9" t="n"/>
      <c r="D75" s="9" t="n"/>
      <c r="E75" s="9" t="n"/>
      <c r="F75" s="9" t="n"/>
      <c r="G75" s="9" t="n"/>
      <c r="H75" s="9" t="n"/>
      <c r="I75" s="9" t="n"/>
      <c r="J75" s="3" t="n"/>
      <c r="K75" s="9" t="n"/>
    </row>
    <row r="76">
      <c r="A76" s="4" t="n"/>
      <c r="B76" s="9">
        <f>IF(A76="","",INT((DAY(A76)-1)/7)+1)</f>
        <v/>
      </c>
      <c r="C76" s="9" t="n"/>
      <c r="D76" s="9" t="n"/>
      <c r="E76" s="9" t="n"/>
      <c r="F76" s="9" t="n"/>
      <c r="G76" s="9" t="n"/>
      <c r="H76" s="9" t="n"/>
      <c r="I76" s="9" t="n"/>
      <c r="J76" s="3" t="n"/>
      <c r="K76" s="9" t="n"/>
    </row>
    <row r="77">
      <c r="A77" s="4" t="n"/>
      <c r="B77" s="9">
        <f>IF(A77="","",INT((DAY(A77)-1)/7)+1)</f>
        <v/>
      </c>
      <c r="C77" s="9" t="n"/>
      <c r="D77" s="9" t="n"/>
      <c r="E77" s="9" t="n"/>
      <c r="F77" s="9" t="n"/>
      <c r="G77" s="9" t="n"/>
      <c r="H77" s="9" t="n"/>
      <c r="I77" s="9" t="n"/>
      <c r="J77" s="3" t="n"/>
      <c r="K77" s="9" t="n"/>
    </row>
    <row r="78">
      <c r="A78" s="4" t="n"/>
      <c r="B78" s="9">
        <f>IF(A78="","",INT((DAY(A78)-1)/7)+1)</f>
        <v/>
      </c>
      <c r="C78" s="9" t="n"/>
      <c r="D78" s="9" t="n"/>
      <c r="E78" s="9" t="n"/>
      <c r="F78" s="9" t="n"/>
      <c r="G78" s="9" t="n"/>
      <c r="H78" s="9" t="n"/>
      <c r="I78" s="9" t="n"/>
      <c r="J78" s="3" t="n"/>
      <c r="K78" s="9" t="n"/>
    </row>
    <row r="79">
      <c r="A79" s="4" t="n"/>
      <c r="B79" s="9">
        <f>IF(A79="","",INT((DAY(A79)-1)/7)+1)</f>
        <v/>
      </c>
      <c r="C79" s="9" t="n"/>
      <c r="D79" s="9" t="n"/>
      <c r="E79" s="9" t="n"/>
      <c r="F79" s="9" t="n"/>
      <c r="G79" s="9" t="n"/>
      <c r="H79" s="9" t="n"/>
      <c r="I79" s="9" t="n"/>
      <c r="J79" s="3" t="n"/>
      <c r="K79" s="9" t="n"/>
    </row>
    <row r="80">
      <c r="A80" s="4" t="n"/>
      <c r="B80" s="9">
        <f>IF(A80="","",INT((DAY(A80)-1)/7)+1)</f>
        <v/>
      </c>
      <c r="C80" s="9" t="n"/>
      <c r="D80" s="9" t="n"/>
      <c r="E80" s="9" t="n"/>
      <c r="F80" s="9" t="n"/>
      <c r="G80" s="9" t="n"/>
      <c r="H80" s="9" t="n"/>
      <c r="I80" s="9" t="n"/>
      <c r="J80" s="3" t="n"/>
      <c r="K80" s="9" t="n"/>
    </row>
    <row r="81">
      <c r="A81" s="4" t="n"/>
      <c r="B81" s="9">
        <f>IF(A81="","",INT((DAY(A81)-1)/7)+1)</f>
        <v/>
      </c>
      <c r="C81" s="9" t="n"/>
      <c r="D81" s="9" t="n"/>
      <c r="E81" s="9" t="n"/>
      <c r="F81" s="9" t="n"/>
      <c r="G81" s="9" t="n"/>
      <c r="H81" s="9" t="n"/>
      <c r="I81" s="9" t="n"/>
      <c r="J81" s="3" t="n"/>
      <c r="K81" s="9" t="n"/>
    </row>
    <row r="82">
      <c r="A82" s="4" t="n"/>
      <c r="B82" s="9">
        <f>IF(A82="","",INT((DAY(A82)-1)/7)+1)</f>
        <v/>
      </c>
      <c r="C82" s="9" t="n"/>
      <c r="D82" s="9" t="n"/>
      <c r="E82" s="9" t="n"/>
      <c r="F82" s="9" t="n"/>
      <c r="G82" s="9" t="n"/>
      <c r="H82" s="9" t="n"/>
      <c r="I82" s="9" t="n"/>
      <c r="J82" s="3" t="n"/>
      <c r="K82" s="9" t="n"/>
    </row>
    <row r="83">
      <c r="A83" s="4" t="n"/>
      <c r="B83" s="9">
        <f>IF(A83="","",INT((DAY(A83)-1)/7)+1)</f>
        <v/>
      </c>
      <c r="C83" s="9" t="n"/>
      <c r="D83" s="9" t="n"/>
      <c r="E83" s="9" t="n"/>
      <c r="F83" s="9" t="n"/>
      <c r="G83" s="9" t="n"/>
      <c r="H83" s="9" t="n"/>
      <c r="I83" s="9" t="n"/>
      <c r="J83" s="3" t="n"/>
      <c r="K83" s="9" t="n"/>
    </row>
    <row r="84">
      <c r="A84" s="4" t="n"/>
      <c r="B84" s="9">
        <f>IF(A84="","",INT((DAY(A84)-1)/7)+1)</f>
        <v/>
      </c>
      <c r="C84" s="9" t="n"/>
      <c r="D84" s="9" t="n"/>
      <c r="E84" s="9" t="n"/>
      <c r="F84" s="9" t="n"/>
      <c r="G84" s="9" t="n"/>
      <c r="H84" s="9" t="n"/>
      <c r="I84" s="9" t="n"/>
      <c r="J84" s="3" t="n"/>
      <c r="K84" s="9" t="n"/>
    </row>
    <row r="85">
      <c r="A85" s="4" t="n"/>
      <c r="B85" s="9">
        <f>IF(A85="","",INT((DAY(A85)-1)/7)+1)</f>
        <v/>
      </c>
      <c r="C85" s="9" t="n"/>
      <c r="D85" s="9" t="n"/>
      <c r="E85" s="9" t="n"/>
      <c r="F85" s="9" t="n"/>
      <c r="G85" s="9" t="n"/>
      <c r="H85" s="9" t="n"/>
      <c r="I85" s="9" t="n"/>
      <c r="J85" s="3" t="n"/>
      <c r="K85" s="9" t="n"/>
    </row>
    <row r="86">
      <c r="A86" s="4" t="n"/>
      <c r="B86" s="9">
        <f>IF(A86="","",INT((DAY(A86)-1)/7)+1)</f>
        <v/>
      </c>
      <c r="C86" s="9" t="n"/>
      <c r="D86" s="9" t="n"/>
      <c r="E86" s="9" t="n"/>
      <c r="F86" s="9" t="n"/>
      <c r="G86" s="9" t="n"/>
      <c r="H86" s="9" t="n"/>
      <c r="I86" s="9" t="n"/>
      <c r="J86" s="3" t="n"/>
      <c r="K86" s="9" t="n"/>
    </row>
    <row r="87">
      <c r="A87" s="4" t="n"/>
      <c r="B87" s="9">
        <f>IF(A87="","",INT((DAY(A87)-1)/7)+1)</f>
        <v/>
      </c>
      <c r="C87" s="9" t="n"/>
      <c r="D87" s="9" t="n"/>
      <c r="E87" s="9" t="n"/>
      <c r="F87" s="9" t="n"/>
      <c r="G87" s="9" t="n"/>
      <c r="H87" s="9" t="n"/>
      <c r="I87" s="9" t="n"/>
      <c r="J87" s="3" t="n"/>
      <c r="K87" s="9" t="n"/>
    </row>
    <row r="88">
      <c r="A88" s="4" t="n"/>
      <c r="B88" s="9">
        <f>IF(A88="","",INT((DAY(A88)-1)/7)+1)</f>
        <v/>
      </c>
      <c r="C88" s="9" t="n"/>
      <c r="D88" s="9" t="n"/>
      <c r="E88" s="9" t="n"/>
      <c r="F88" s="9" t="n"/>
      <c r="G88" s="9" t="n"/>
      <c r="H88" s="9" t="n"/>
      <c r="I88" s="9" t="n"/>
      <c r="J88" s="3" t="n"/>
      <c r="K88" s="9" t="n"/>
    </row>
    <row r="89">
      <c r="A89" s="4" t="n"/>
      <c r="B89" s="9">
        <f>IF(A89="","",INT((DAY(A89)-1)/7)+1)</f>
        <v/>
      </c>
      <c r="C89" s="9" t="n"/>
      <c r="D89" s="9" t="n"/>
      <c r="E89" s="9" t="n"/>
      <c r="F89" s="9" t="n"/>
      <c r="G89" s="9" t="n"/>
      <c r="H89" s="9" t="n"/>
      <c r="I89" s="9" t="n"/>
      <c r="J89" s="3" t="n"/>
      <c r="K89" s="9" t="n"/>
    </row>
    <row r="90">
      <c r="A90" s="4" t="n"/>
      <c r="B90" s="9">
        <f>IF(A90="","",INT((DAY(A90)-1)/7)+1)</f>
        <v/>
      </c>
      <c r="C90" s="9" t="n"/>
      <c r="D90" s="9" t="n"/>
      <c r="E90" s="9" t="n"/>
      <c r="F90" s="9" t="n"/>
      <c r="G90" s="9" t="n"/>
      <c r="H90" s="9" t="n"/>
      <c r="I90" s="9" t="n"/>
      <c r="J90" s="3" t="n"/>
      <c r="K90" s="9" t="n"/>
    </row>
    <row r="91">
      <c r="A91" s="4" t="n"/>
      <c r="B91" s="9">
        <f>IF(A91="","",INT((DAY(A91)-1)/7)+1)</f>
        <v/>
      </c>
      <c r="C91" s="9" t="n"/>
      <c r="D91" s="9" t="n"/>
      <c r="E91" s="9" t="n"/>
      <c r="F91" s="9" t="n"/>
      <c r="G91" s="9" t="n"/>
      <c r="H91" s="9" t="n"/>
      <c r="I91" s="9" t="n"/>
      <c r="J91" s="3" t="n"/>
      <c r="K91" s="9" t="n"/>
    </row>
    <row r="92">
      <c r="A92" s="4" t="n"/>
      <c r="B92" s="9">
        <f>IF(A92="","",INT((DAY(A92)-1)/7)+1)</f>
        <v/>
      </c>
      <c r="C92" s="9" t="n"/>
      <c r="D92" s="9" t="n"/>
      <c r="E92" s="9" t="n"/>
      <c r="F92" s="9" t="n"/>
      <c r="G92" s="9" t="n"/>
      <c r="H92" s="9" t="n"/>
      <c r="I92" s="9" t="n"/>
      <c r="J92" s="3" t="n"/>
      <c r="K92" s="9" t="n"/>
    </row>
    <row r="93">
      <c r="A93" s="4" t="n"/>
      <c r="B93" s="9">
        <f>IF(A93="","",INT((DAY(A93)-1)/7)+1)</f>
        <v/>
      </c>
      <c r="C93" s="9" t="n"/>
      <c r="D93" s="9" t="n"/>
      <c r="E93" s="9" t="n"/>
      <c r="F93" s="9" t="n"/>
      <c r="G93" s="9" t="n"/>
      <c r="H93" s="9" t="n"/>
      <c r="I93" s="9" t="n"/>
      <c r="J93" s="3" t="n"/>
      <c r="K93" s="9" t="n"/>
    </row>
    <row r="94">
      <c r="A94" s="4" t="n"/>
      <c r="B94" s="9">
        <f>IF(A94="","",INT((DAY(A94)-1)/7)+1)</f>
        <v/>
      </c>
      <c r="C94" s="9" t="n"/>
      <c r="D94" s="9" t="n"/>
      <c r="E94" s="9" t="n"/>
      <c r="F94" s="9" t="n"/>
      <c r="G94" s="9" t="n"/>
      <c r="H94" s="9" t="n"/>
      <c r="I94" s="9" t="n"/>
      <c r="J94" s="3" t="n"/>
      <c r="K94" s="9" t="n"/>
    </row>
    <row r="95">
      <c r="A95" s="4" t="n"/>
      <c r="B95" s="9">
        <f>IF(A95="","",INT((DAY(A95)-1)/7)+1)</f>
        <v/>
      </c>
      <c r="C95" s="9" t="n"/>
      <c r="D95" s="9" t="n"/>
      <c r="E95" s="9" t="n"/>
      <c r="F95" s="9" t="n"/>
      <c r="G95" s="9" t="n"/>
      <c r="H95" s="9" t="n"/>
      <c r="I95" s="9" t="n"/>
      <c r="J95" s="3" t="n"/>
      <c r="K95" s="9" t="n"/>
    </row>
    <row r="96">
      <c r="A96" s="4" t="n"/>
      <c r="B96" s="9">
        <f>IF(A96="","",INT((DAY(A96)-1)/7)+1)</f>
        <v/>
      </c>
      <c r="C96" s="9" t="n"/>
      <c r="D96" s="9" t="n"/>
      <c r="E96" s="9" t="n"/>
      <c r="F96" s="9" t="n"/>
      <c r="G96" s="9" t="n"/>
      <c r="H96" s="9" t="n"/>
      <c r="I96" s="9" t="n"/>
      <c r="J96" s="3" t="n"/>
      <c r="K96" s="9" t="n"/>
    </row>
    <row r="97">
      <c r="A97" s="4" t="n"/>
      <c r="B97" s="9">
        <f>IF(A97="","",INT((DAY(A97)-1)/7)+1)</f>
        <v/>
      </c>
      <c r="C97" s="9" t="n"/>
      <c r="D97" s="9" t="n"/>
      <c r="E97" s="9" t="n"/>
      <c r="F97" s="9" t="n"/>
      <c r="G97" s="9" t="n"/>
      <c r="H97" s="9" t="n"/>
      <c r="I97" s="9" t="n"/>
      <c r="J97" s="3" t="n"/>
      <c r="K97" s="9" t="n"/>
    </row>
    <row r="98">
      <c r="A98" s="4" t="n"/>
      <c r="B98" s="9">
        <f>IF(A98="","",INT((DAY(A98)-1)/7)+1)</f>
        <v/>
      </c>
      <c r="C98" s="9" t="n"/>
      <c r="D98" s="9" t="n"/>
      <c r="E98" s="9" t="n"/>
      <c r="F98" s="9" t="n"/>
      <c r="G98" s="9" t="n"/>
      <c r="H98" s="9" t="n"/>
      <c r="I98" s="9" t="n"/>
      <c r="J98" s="3" t="n"/>
      <c r="K98" s="9" t="n"/>
    </row>
    <row r="99">
      <c r="A99" s="4" t="n"/>
      <c r="B99" s="9">
        <f>IF(A99="","",INT((DAY(A99)-1)/7)+1)</f>
        <v/>
      </c>
      <c r="C99" s="9" t="n"/>
      <c r="D99" s="9" t="n"/>
      <c r="E99" s="9" t="n"/>
      <c r="F99" s="9" t="n"/>
      <c r="G99" s="9" t="n"/>
      <c r="H99" s="9" t="n"/>
      <c r="I99" s="9" t="n"/>
      <c r="J99" s="3" t="n"/>
      <c r="K99" s="9" t="n"/>
    </row>
    <row r="100">
      <c r="A100" s="4" t="n"/>
      <c r="B100" s="9">
        <f>IF(A100="","",INT((DAY(A100)-1)/7)+1)</f>
        <v/>
      </c>
      <c r="C100" s="9" t="n"/>
      <c r="D100" s="9" t="n"/>
      <c r="E100" s="9" t="n"/>
      <c r="F100" s="9" t="n"/>
      <c r="G100" s="9" t="n"/>
      <c r="H100" s="9" t="n"/>
      <c r="I100" s="9" t="n"/>
      <c r="J100" s="3" t="n"/>
      <c r="K100" s="9" t="n"/>
    </row>
    <row r="101">
      <c r="A101" s="4" t="n"/>
      <c r="B101" s="9">
        <f>IF(A101="","",INT((DAY(A101)-1)/7)+1)</f>
        <v/>
      </c>
      <c r="C101" s="9" t="n"/>
      <c r="D101" s="9" t="n"/>
      <c r="E101" s="9" t="n"/>
      <c r="F101" s="9" t="n"/>
      <c r="G101" s="9" t="n"/>
      <c r="H101" s="9" t="n"/>
      <c r="I101" s="9" t="n"/>
      <c r="J101" s="3" t="n"/>
      <c r="K101" s="9" t="n"/>
    </row>
    <row r="102">
      <c r="A102" s="4" t="n"/>
      <c r="B102" s="9">
        <f>IF(A102="","",INT((DAY(A102)-1)/7)+1)</f>
        <v/>
      </c>
      <c r="C102" s="9" t="n"/>
      <c r="D102" s="9" t="n"/>
      <c r="E102" s="9" t="n"/>
      <c r="F102" s="9" t="n"/>
      <c r="G102" s="9" t="n"/>
      <c r="H102" s="9" t="n"/>
      <c r="I102" s="9" t="n"/>
      <c r="J102" s="3" t="n"/>
      <c r="K102" s="9" t="n"/>
    </row>
    <row r="103">
      <c r="A103" s="4" t="n"/>
      <c r="B103" s="9">
        <f>IF(A103="","",INT((DAY(A103)-1)/7)+1)</f>
        <v/>
      </c>
      <c r="C103" s="9" t="n"/>
      <c r="D103" s="9" t="n"/>
      <c r="E103" s="9" t="n"/>
      <c r="F103" s="9" t="n"/>
      <c r="G103" s="9" t="n"/>
      <c r="H103" s="9" t="n"/>
      <c r="I103" s="9" t="n"/>
      <c r="J103" s="3" t="n"/>
      <c r="K103" s="9" t="n"/>
    </row>
    <row r="104">
      <c r="A104" s="4" t="n"/>
      <c r="B104" s="9">
        <f>IF(A104="","",INT((DAY(A104)-1)/7)+1)</f>
        <v/>
      </c>
      <c r="C104" s="9" t="n"/>
      <c r="D104" s="9" t="n"/>
      <c r="E104" s="9" t="n"/>
      <c r="F104" s="9" t="n"/>
      <c r="G104" s="9" t="n"/>
      <c r="H104" s="9" t="n"/>
      <c r="I104" s="9" t="n"/>
      <c r="J104" s="3" t="n"/>
      <c r="K104" s="9" t="n"/>
    </row>
    <row r="105">
      <c r="A105" s="4" t="n"/>
      <c r="B105" s="9">
        <f>IF(A105="","",INT((DAY(A105)-1)/7)+1)</f>
        <v/>
      </c>
      <c r="C105" s="9" t="n"/>
      <c r="D105" s="9" t="n"/>
      <c r="E105" s="9" t="n"/>
      <c r="F105" s="9" t="n"/>
      <c r="G105" s="9" t="n"/>
      <c r="H105" s="9" t="n"/>
      <c r="I105" s="9" t="n"/>
      <c r="J105" s="3" t="n"/>
      <c r="K105" s="9" t="n"/>
    </row>
    <row r="106">
      <c r="A106" s="4" t="n"/>
      <c r="B106" s="9">
        <f>IF(A106="","",INT((DAY(A106)-1)/7)+1)</f>
        <v/>
      </c>
      <c r="C106" s="9" t="n"/>
      <c r="D106" s="9" t="n"/>
      <c r="E106" s="9" t="n"/>
      <c r="F106" s="9" t="n"/>
      <c r="G106" s="9" t="n"/>
      <c r="H106" s="9" t="n"/>
      <c r="I106" s="9" t="n"/>
      <c r="J106" s="3" t="n"/>
      <c r="K106" s="9" t="n"/>
    </row>
    <row r="107">
      <c r="A107" s="4" t="n"/>
      <c r="B107" s="9">
        <f>IF(A107="","",INT((DAY(A107)-1)/7)+1)</f>
        <v/>
      </c>
      <c r="C107" s="9" t="n"/>
      <c r="D107" s="9" t="n"/>
      <c r="E107" s="9" t="n"/>
      <c r="F107" s="9" t="n"/>
      <c r="G107" s="9" t="n"/>
      <c r="H107" s="9" t="n"/>
      <c r="I107" s="9" t="n"/>
      <c r="J107" s="3" t="n"/>
      <c r="K107" s="9" t="n"/>
    </row>
    <row r="108">
      <c r="A108" s="4" t="n"/>
      <c r="B108" s="9">
        <f>IF(A108="","",INT((DAY(A108)-1)/7)+1)</f>
        <v/>
      </c>
      <c r="C108" s="9" t="n"/>
      <c r="D108" s="9" t="n"/>
      <c r="E108" s="9" t="n"/>
      <c r="F108" s="9" t="n"/>
      <c r="G108" s="9" t="n"/>
      <c r="H108" s="9" t="n"/>
      <c r="I108" s="9" t="n"/>
      <c r="J108" s="3" t="n"/>
      <c r="K108" s="9" t="n"/>
    </row>
    <row r="109">
      <c r="A109" s="4" t="n"/>
      <c r="B109" s="9">
        <f>IF(A109="","",INT((DAY(A109)-1)/7)+1)</f>
        <v/>
      </c>
      <c r="C109" s="9" t="n"/>
      <c r="D109" s="9" t="n"/>
      <c r="E109" s="9" t="n"/>
      <c r="F109" s="9" t="n"/>
      <c r="G109" s="9" t="n"/>
      <c r="H109" s="9" t="n"/>
      <c r="I109" s="9" t="n"/>
      <c r="J109" s="3" t="n"/>
      <c r="K109" s="9" t="n"/>
    </row>
    <row r="110">
      <c r="A110" s="4" t="n"/>
      <c r="B110" s="9">
        <f>IF(A110="","",INT((DAY(A110)-1)/7)+1)</f>
        <v/>
      </c>
      <c r="C110" s="9" t="n"/>
      <c r="D110" s="9" t="n"/>
      <c r="E110" s="9" t="n"/>
      <c r="F110" s="9" t="n"/>
      <c r="G110" s="9" t="n"/>
      <c r="H110" s="9" t="n"/>
      <c r="I110" s="9" t="n"/>
      <c r="J110" s="3" t="n"/>
      <c r="K110" s="9" t="n"/>
    </row>
    <row r="111">
      <c r="A111" s="4" t="n"/>
      <c r="B111" s="9">
        <f>IF(A111="","",INT((DAY(A111)-1)/7)+1)</f>
        <v/>
      </c>
      <c r="C111" s="9" t="n"/>
      <c r="D111" s="9" t="n"/>
      <c r="E111" s="9" t="n"/>
      <c r="F111" s="9" t="n"/>
      <c r="G111" s="9" t="n"/>
      <c r="H111" s="9" t="n"/>
      <c r="I111" s="9" t="n"/>
      <c r="J111" s="3" t="n"/>
      <c r="K111" s="9" t="n"/>
    </row>
    <row r="112">
      <c r="A112" s="4" t="n"/>
      <c r="B112" s="9">
        <f>IF(A112="","",INT((DAY(A112)-1)/7)+1)</f>
        <v/>
      </c>
      <c r="C112" s="9" t="n"/>
      <c r="D112" s="9" t="n"/>
      <c r="E112" s="9" t="n"/>
      <c r="F112" s="9" t="n"/>
      <c r="G112" s="9" t="n"/>
      <c r="H112" s="9" t="n"/>
      <c r="I112" s="9" t="n"/>
      <c r="J112" s="3" t="n"/>
      <c r="K112" s="9" t="n"/>
    </row>
    <row r="113">
      <c r="A113" s="4" t="n"/>
      <c r="B113" s="9">
        <f>IF(A113="","",INT((DAY(A113)-1)/7)+1)</f>
        <v/>
      </c>
      <c r="C113" s="9" t="n"/>
      <c r="D113" s="9" t="n"/>
      <c r="E113" s="9" t="n"/>
      <c r="F113" s="9" t="n"/>
      <c r="G113" s="9" t="n"/>
      <c r="H113" s="9" t="n"/>
      <c r="I113" s="9" t="n"/>
      <c r="J113" s="3" t="n"/>
      <c r="K113" s="9" t="n"/>
    </row>
    <row r="114">
      <c r="A114" s="4" t="n"/>
      <c r="B114" s="9">
        <f>IF(A114="","",INT((DAY(A114)-1)/7)+1)</f>
        <v/>
      </c>
      <c r="C114" s="9" t="n"/>
      <c r="D114" s="9" t="n"/>
      <c r="E114" s="9" t="n"/>
      <c r="F114" s="9" t="n"/>
      <c r="G114" s="9" t="n"/>
      <c r="H114" s="9" t="n"/>
      <c r="I114" s="9" t="n"/>
      <c r="J114" s="3" t="n"/>
      <c r="K114" s="9" t="n"/>
    </row>
    <row r="115">
      <c r="A115" s="4" t="n"/>
      <c r="B115" s="9">
        <f>IF(A115="","",INT((DAY(A115)-1)/7)+1)</f>
        <v/>
      </c>
      <c r="C115" s="9" t="n"/>
      <c r="D115" s="9" t="n"/>
      <c r="E115" s="9" t="n"/>
      <c r="F115" s="9" t="n"/>
      <c r="G115" s="9" t="n"/>
      <c r="H115" s="9" t="n"/>
      <c r="I115" s="9" t="n"/>
      <c r="J115" s="3" t="n"/>
      <c r="K115" s="9" t="n"/>
    </row>
    <row r="116">
      <c r="A116" s="4" t="n"/>
      <c r="B116" s="9">
        <f>IF(A116="","",INT((DAY(A116)-1)/7)+1)</f>
        <v/>
      </c>
      <c r="C116" s="9" t="n"/>
      <c r="D116" s="9" t="n"/>
      <c r="E116" s="9" t="n"/>
      <c r="F116" s="9" t="n"/>
      <c r="G116" s="9" t="n"/>
      <c r="H116" s="9" t="n"/>
      <c r="I116" s="9" t="n"/>
      <c r="J116" s="3" t="n"/>
      <c r="K116" s="9" t="n"/>
    </row>
    <row r="117">
      <c r="A117" s="4" t="n"/>
      <c r="B117" s="9">
        <f>IF(A117="","",INT((DAY(A117)-1)/7)+1)</f>
        <v/>
      </c>
      <c r="C117" s="9" t="n"/>
      <c r="D117" s="9" t="n"/>
      <c r="E117" s="9" t="n"/>
      <c r="F117" s="9" t="n"/>
      <c r="G117" s="9" t="n"/>
      <c r="H117" s="9" t="n"/>
      <c r="I117" s="9" t="n"/>
      <c r="J117" s="3" t="n"/>
      <c r="K117" s="9" t="n"/>
    </row>
    <row r="118">
      <c r="A118" s="4" t="n"/>
      <c r="B118" s="9">
        <f>IF(A118="","",INT((DAY(A118)-1)/7)+1)</f>
        <v/>
      </c>
      <c r="C118" s="9" t="n"/>
      <c r="D118" s="9" t="n"/>
      <c r="E118" s="9" t="n"/>
      <c r="F118" s="9" t="n"/>
      <c r="G118" s="9" t="n"/>
      <c r="H118" s="9" t="n"/>
      <c r="I118" s="9" t="n"/>
      <c r="J118" s="3" t="n"/>
      <c r="K118" s="9" t="n"/>
    </row>
    <row r="119">
      <c r="A119" s="4" t="n"/>
      <c r="B119" s="9">
        <f>IF(A119="","",INT((DAY(A119)-1)/7)+1)</f>
        <v/>
      </c>
      <c r="C119" s="9" t="n"/>
      <c r="D119" s="9" t="n"/>
      <c r="E119" s="9" t="n"/>
      <c r="F119" s="9" t="n"/>
      <c r="G119" s="9" t="n"/>
      <c r="H119" s="9" t="n"/>
      <c r="I119" s="9" t="n"/>
      <c r="J119" s="3" t="n"/>
      <c r="K119" s="9" t="n"/>
    </row>
    <row r="120">
      <c r="A120" s="4" t="n"/>
      <c r="B120" s="9">
        <f>IF(A120="","",INT((DAY(A120)-1)/7)+1)</f>
        <v/>
      </c>
      <c r="C120" s="9" t="n"/>
      <c r="D120" s="9" t="n"/>
      <c r="E120" s="9" t="n"/>
      <c r="F120" s="9" t="n"/>
      <c r="G120" s="9" t="n"/>
      <c r="H120" s="9" t="n"/>
      <c r="I120" s="9" t="n"/>
      <c r="J120" s="3" t="n"/>
      <c r="K120" s="9" t="n"/>
    </row>
    <row r="121">
      <c r="A121" s="4" t="n"/>
      <c r="B121" s="9">
        <f>IF(A121="","",INT((DAY(A121)-1)/7)+1)</f>
        <v/>
      </c>
      <c r="C121" s="9" t="n"/>
      <c r="D121" s="9" t="n"/>
      <c r="E121" s="9" t="n"/>
      <c r="F121" s="9" t="n"/>
      <c r="G121" s="9" t="n"/>
      <c r="H121" s="9" t="n"/>
      <c r="I121" s="9" t="n"/>
      <c r="J121" s="3" t="n"/>
      <c r="K121" s="9" t="n"/>
    </row>
    <row r="122">
      <c r="A122" s="4" t="n"/>
      <c r="B122" s="9">
        <f>IF(A122="","",INT((DAY(A122)-1)/7)+1)</f>
        <v/>
      </c>
      <c r="C122" s="9" t="n"/>
      <c r="D122" s="9" t="n"/>
      <c r="E122" s="9" t="n"/>
      <c r="F122" s="9" t="n"/>
      <c r="G122" s="9" t="n"/>
      <c r="H122" s="9" t="n"/>
      <c r="I122" s="9" t="n"/>
      <c r="J122" s="3" t="n"/>
      <c r="K122" s="9" t="n"/>
    </row>
    <row r="123">
      <c r="A123" s="4" t="n"/>
      <c r="B123" s="9">
        <f>IF(A123="","",INT((DAY(A123)-1)/7)+1)</f>
        <v/>
      </c>
      <c r="C123" s="9" t="n"/>
      <c r="D123" s="9" t="n"/>
      <c r="E123" s="9" t="n"/>
      <c r="F123" s="9" t="n"/>
      <c r="G123" s="9" t="n"/>
      <c r="H123" s="9" t="n"/>
      <c r="I123" s="9" t="n"/>
      <c r="J123" s="3" t="n"/>
      <c r="K123" s="9" t="n"/>
    </row>
    <row r="124">
      <c r="A124" s="4" t="n"/>
      <c r="B124" s="9">
        <f>IF(A124="","",INT((DAY(A124)-1)/7)+1)</f>
        <v/>
      </c>
      <c r="C124" s="9" t="n"/>
      <c r="D124" s="9" t="n"/>
      <c r="E124" s="9" t="n"/>
      <c r="F124" s="9" t="n"/>
      <c r="G124" s="9" t="n"/>
      <c r="H124" s="9" t="n"/>
      <c r="I124" s="9" t="n"/>
      <c r="J124" s="3" t="n"/>
      <c r="K124" s="9" t="n"/>
    </row>
    <row r="125">
      <c r="A125" s="4" t="n"/>
      <c r="B125" s="9">
        <f>IF(A125="","",INT((DAY(A125)-1)/7)+1)</f>
        <v/>
      </c>
      <c r="C125" s="9" t="n"/>
      <c r="D125" s="9" t="n"/>
      <c r="E125" s="9" t="n"/>
      <c r="F125" s="9" t="n"/>
      <c r="G125" s="9" t="n"/>
      <c r="H125" s="9" t="n"/>
      <c r="I125" s="9" t="n"/>
      <c r="J125" s="3" t="n"/>
      <c r="K125" s="9" t="n"/>
    </row>
    <row r="126">
      <c r="A126" s="4" t="n"/>
      <c r="B126" s="9">
        <f>IF(A126="","",INT((DAY(A126)-1)/7)+1)</f>
        <v/>
      </c>
      <c r="C126" s="9" t="n"/>
      <c r="D126" s="9" t="n"/>
      <c r="E126" s="9" t="n"/>
      <c r="F126" s="9" t="n"/>
      <c r="G126" s="9" t="n"/>
      <c r="H126" s="9" t="n"/>
      <c r="I126" s="9" t="n"/>
      <c r="J126" s="3" t="n"/>
      <c r="K126" s="9" t="n"/>
    </row>
    <row r="127">
      <c r="A127" s="4" t="n"/>
      <c r="B127" s="9">
        <f>IF(A127="","",INT((DAY(A127)-1)/7)+1)</f>
        <v/>
      </c>
      <c r="C127" s="9" t="n"/>
      <c r="D127" s="9" t="n"/>
      <c r="E127" s="9" t="n"/>
      <c r="F127" s="9" t="n"/>
      <c r="G127" s="9" t="n"/>
      <c r="H127" s="9" t="n"/>
      <c r="I127" s="9" t="n"/>
      <c r="J127" s="3" t="n"/>
      <c r="K127" s="9" t="n"/>
    </row>
    <row r="128">
      <c r="A128" s="4" t="n"/>
      <c r="B128" s="9">
        <f>IF(A128="","",INT((DAY(A128)-1)/7)+1)</f>
        <v/>
      </c>
      <c r="C128" s="9" t="n"/>
      <c r="D128" s="9" t="n"/>
      <c r="E128" s="9" t="n"/>
      <c r="F128" s="9" t="n"/>
      <c r="G128" s="9" t="n"/>
      <c r="H128" s="9" t="n"/>
      <c r="I128" s="9" t="n"/>
      <c r="J128" s="3" t="n"/>
      <c r="K128" s="9" t="n"/>
    </row>
    <row r="129">
      <c r="A129" s="4" t="n"/>
      <c r="B129" s="9">
        <f>IF(A129="","",INT((DAY(A129)-1)/7)+1)</f>
        <v/>
      </c>
      <c r="C129" s="9" t="n"/>
      <c r="D129" s="9" t="n"/>
      <c r="E129" s="9" t="n"/>
      <c r="F129" s="9" t="n"/>
      <c r="G129" s="9" t="n"/>
      <c r="H129" s="9" t="n"/>
      <c r="I129" s="9" t="n"/>
      <c r="J129" s="3" t="n"/>
      <c r="K129" s="9" t="n"/>
    </row>
    <row r="130">
      <c r="A130" s="4" t="n"/>
      <c r="B130" s="9">
        <f>IF(A130="","",INT((DAY(A130)-1)/7)+1)</f>
        <v/>
      </c>
      <c r="C130" s="9" t="n"/>
      <c r="D130" s="9" t="n"/>
      <c r="E130" s="9" t="n"/>
      <c r="F130" s="9" t="n"/>
      <c r="G130" s="9" t="n"/>
      <c r="H130" s="9" t="n"/>
      <c r="I130" s="9" t="n"/>
      <c r="J130" s="3" t="n"/>
      <c r="K130" s="9" t="n"/>
    </row>
    <row r="131">
      <c r="A131" s="4" t="n"/>
      <c r="B131" s="9">
        <f>IF(A131="","",INT((DAY(A131)-1)/7)+1)</f>
        <v/>
      </c>
      <c r="C131" s="9" t="n"/>
      <c r="D131" s="9" t="n"/>
      <c r="E131" s="9" t="n"/>
      <c r="F131" s="9" t="n"/>
      <c r="G131" s="9" t="n"/>
      <c r="H131" s="9" t="n"/>
      <c r="I131" s="9" t="n"/>
      <c r="J131" s="3" t="n"/>
      <c r="K131" s="9" t="n"/>
    </row>
    <row r="132">
      <c r="A132" s="4" t="n"/>
      <c r="B132" s="9">
        <f>IF(A132="","",INT((DAY(A132)-1)/7)+1)</f>
        <v/>
      </c>
      <c r="C132" s="9" t="n"/>
      <c r="D132" s="9" t="n"/>
      <c r="E132" s="9" t="n"/>
      <c r="F132" s="9" t="n"/>
      <c r="G132" s="9" t="n"/>
      <c r="H132" s="9" t="n"/>
      <c r="I132" s="9" t="n"/>
      <c r="J132" s="3" t="n"/>
      <c r="K132" s="9" t="n"/>
    </row>
    <row r="133">
      <c r="A133" s="4" t="n"/>
      <c r="B133" s="9">
        <f>IF(A133="","",INT((DAY(A133)-1)/7)+1)</f>
        <v/>
      </c>
      <c r="C133" s="9" t="n"/>
      <c r="D133" s="9" t="n"/>
      <c r="E133" s="9" t="n"/>
      <c r="F133" s="9" t="n"/>
      <c r="G133" s="9" t="n"/>
      <c r="H133" s="9" t="n"/>
      <c r="I133" s="9" t="n"/>
      <c r="J133" s="3" t="n"/>
      <c r="K133" s="9" t="n"/>
    </row>
    <row r="134">
      <c r="A134" s="4" t="n"/>
      <c r="B134" s="9">
        <f>IF(A134="","",INT((DAY(A134)-1)/7)+1)</f>
        <v/>
      </c>
      <c r="C134" s="9" t="n"/>
      <c r="D134" s="9" t="n"/>
      <c r="E134" s="9" t="n"/>
      <c r="F134" s="9" t="n"/>
      <c r="G134" s="9" t="n"/>
      <c r="H134" s="9" t="n"/>
      <c r="I134" s="9" t="n"/>
      <c r="J134" s="3" t="n"/>
      <c r="K134" s="9" t="n"/>
    </row>
    <row r="135">
      <c r="A135" s="4" t="n"/>
      <c r="B135" s="9">
        <f>IF(A135="","",INT((DAY(A135)-1)/7)+1)</f>
        <v/>
      </c>
      <c r="C135" s="9" t="n"/>
      <c r="D135" s="9" t="n"/>
      <c r="E135" s="9" t="n"/>
      <c r="F135" s="9" t="n"/>
      <c r="G135" s="9" t="n"/>
      <c r="H135" s="9" t="n"/>
      <c r="I135" s="9" t="n"/>
      <c r="J135" s="3" t="n"/>
      <c r="K135" s="9" t="n"/>
    </row>
    <row r="136">
      <c r="A136" s="4" t="n"/>
      <c r="B136" s="9">
        <f>IF(A136="","",INT((DAY(A136)-1)/7)+1)</f>
        <v/>
      </c>
      <c r="C136" s="9" t="n"/>
      <c r="D136" s="9" t="n"/>
      <c r="E136" s="9" t="n"/>
      <c r="F136" s="9" t="n"/>
      <c r="G136" s="9" t="n"/>
      <c r="H136" s="9" t="n"/>
      <c r="I136" s="9" t="n"/>
      <c r="J136" s="3" t="n"/>
      <c r="K136" s="9" t="n"/>
    </row>
    <row r="137">
      <c r="A137" s="4" t="n"/>
      <c r="B137" s="9">
        <f>IF(A137="","",INT((DAY(A137)-1)/7)+1)</f>
        <v/>
      </c>
      <c r="C137" s="9" t="n"/>
      <c r="D137" s="9" t="n"/>
      <c r="E137" s="9" t="n"/>
      <c r="F137" s="9" t="n"/>
      <c r="G137" s="9" t="n"/>
      <c r="H137" s="9" t="n"/>
      <c r="I137" s="9" t="n"/>
      <c r="J137" s="3" t="n"/>
      <c r="K137" s="9" t="n"/>
    </row>
    <row r="138">
      <c r="A138" s="4" t="n"/>
      <c r="B138" s="9">
        <f>IF(A138="","",INT((DAY(A138)-1)/7)+1)</f>
        <v/>
      </c>
      <c r="C138" s="9" t="n"/>
      <c r="D138" s="9" t="n"/>
      <c r="E138" s="9" t="n"/>
      <c r="F138" s="9" t="n"/>
      <c r="G138" s="9" t="n"/>
      <c r="H138" s="9" t="n"/>
      <c r="I138" s="9" t="n"/>
      <c r="J138" s="3" t="n"/>
      <c r="K138" s="9" t="n"/>
    </row>
    <row r="139">
      <c r="A139" s="4" t="n"/>
      <c r="B139" s="9">
        <f>IF(A139="","",INT((DAY(A139)-1)/7)+1)</f>
        <v/>
      </c>
      <c r="C139" s="9" t="n"/>
      <c r="D139" s="9" t="n"/>
      <c r="E139" s="9" t="n"/>
      <c r="F139" s="9" t="n"/>
      <c r="G139" s="9" t="n"/>
      <c r="H139" s="9" t="n"/>
      <c r="I139" s="9" t="n"/>
      <c r="J139" s="3" t="n"/>
      <c r="K139" s="9" t="n"/>
    </row>
    <row r="140">
      <c r="A140" s="4" t="n"/>
      <c r="B140" s="9">
        <f>IF(A140="","",INT((DAY(A140)-1)/7)+1)</f>
        <v/>
      </c>
      <c r="C140" s="9" t="n"/>
      <c r="D140" s="9" t="n"/>
      <c r="E140" s="9" t="n"/>
      <c r="F140" s="9" t="n"/>
      <c r="G140" s="9" t="n"/>
      <c r="H140" s="9" t="n"/>
      <c r="I140" s="9" t="n"/>
      <c r="J140" s="3" t="n"/>
      <c r="K140" s="9" t="n"/>
    </row>
    <row r="141">
      <c r="A141" s="4" t="n"/>
      <c r="B141" s="9">
        <f>IF(A141="","",INT((DAY(A141)-1)/7)+1)</f>
        <v/>
      </c>
      <c r="C141" s="9" t="n"/>
      <c r="D141" s="9" t="n"/>
      <c r="E141" s="9" t="n"/>
      <c r="F141" s="9" t="n"/>
      <c r="G141" s="9" t="n"/>
      <c r="H141" s="9" t="n"/>
      <c r="I141" s="9" t="n"/>
      <c r="J141" s="3" t="n"/>
      <c r="K141" s="9" t="n"/>
    </row>
    <row r="142">
      <c r="A142" s="4" t="n"/>
      <c r="B142" s="9">
        <f>IF(A142="","",INT((DAY(A142)-1)/7)+1)</f>
        <v/>
      </c>
      <c r="C142" s="9" t="n"/>
      <c r="D142" s="9" t="n"/>
      <c r="E142" s="9" t="n"/>
      <c r="F142" s="9" t="n"/>
      <c r="G142" s="9" t="n"/>
      <c r="H142" s="9" t="n"/>
      <c r="I142" s="9" t="n"/>
      <c r="J142" s="3" t="n"/>
      <c r="K142" s="9" t="n"/>
    </row>
    <row r="143">
      <c r="A143" s="4" t="n"/>
      <c r="B143" s="9">
        <f>IF(A143="","",INT((DAY(A143)-1)/7)+1)</f>
        <v/>
      </c>
      <c r="C143" s="9" t="n"/>
      <c r="D143" s="9" t="n"/>
      <c r="E143" s="9" t="n"/>
      <c r="F143" s="9" t="n"/>
      <c r="G143" s="9" t="n"/>
      <c r="H143" s="9" t="n"/>
      <c r="I143" s="9" t="n"/>
      <c r="J143" s="3" t="n"/>
      <c r="K143" s="9" t="n"/>
    </row>
    <row r="144">
      <c r="A144" s="4" t="n"/>
      <c r="B144" s="9">
        <f>IF(A144="","",INT((DAY(A144)-1)/7)+1)</f>
        <v/>
      </c>
      <c r="C144" s="9" t="n"/>
      <c r="D144" s="9" t="n"/>
      <c r="E144" s="9" t="n"/>
      <c r="F144" s="9" t="n"/>
      <c r="G144" s="9" t="n"/>
      <c r="H144" s="9" t="n"/>
      <c r="I144" s="9" t="n"/>
      <c r="J144" s="3" t="n"/>
      <c r="K144" s="9" t="n"/>
    </row>
    <row r="145">
      <c r="A145" s="4" t="n"/>
      <c r="B145" s="9">
        <f>IF(A145="","",INT((DAY(A145)-1)/7)+1)</f>
        <v/>
      </c>
      <c r="C145" s="9" t="n"/>
      <c r="D145" s="9" t="n"/>
      <c r="E145" s="9" t="n"/>
      <c r="F145" s="9" t="n"/>
      <c r="G145" s="9" t="n"/>
      <c r="H145" s="9" t="n"/>
      <c r="I145" s="9" t="n"/>
      <c r="J145" s="3" t="n"/>
      <c r="K145" s="9" t="n"/>
    </row>
    <row r="146">
      <c r="A146" s="4" t="n"/>
      <c r="B146" s="9">
        <f>IF(A146="","",INT((DAY(A146)-1)/7)+1)</f>
        <v/>
      </c>
      <c r="C146" s="9" t="n"/>
      <c r="D146" s="9" t="n"/>
      <c r="E146" s="9" t="n"/>
      <c r="F146" s="9" t="n"/>
      <c r="G146" s="9" t="n"/>
      <c r="H146" s="9" t="n"/>
      <c r="I146" s="9" t="n"/>
      <c r="J146" s="3" t="n"/>
      <c r="K146" s="9" t="n"/>
    </row>
    <row r="147">
      <c r="A147" s="4" t="n"/>
      <c r="B147" s="9">
        <f>IF(A147="","",INT((DAY(A147)-1)/7)+1)</f>
        <v/>
      </c>
      <c r="C147" s="9" t="n"/>
      <c r="D147" s="9" t="n"/>
      <c r="E147" s="9" t="n"/>
      <c r="F147" s="9" t="n"/>
      <c r="G147" s="9" t="n"/>
      <c r="H147" s="9" t="n"/>
      <c r="I147" s="9" t="n"/>
      <c r="J147" s="3" t="n"/>
      <c r="K147" s="9" t="n"/>
    </row>
    <row r="148">
      <c r="A148" s="4" t="n"/>
      <c r="B148" s="9">
        <f>IF(A148="","",INT((DAY(A148)-1)/7)+1)</f>
        <v/>
      </c>
      <c r="C148" s="9" t="n"/>
      <c r="D148" s="9" t="n"/>
      <c r="E148" s="9" t="n"/>
      <c r="F148" s="9" t="n"/>
      <c r="G148" s="9" t="n"/>
      <c r="H148" s="9" t="n"/>
      <c r="I148" s="9" t="n"/>
      <c r="J148" s="3" t="n"/>
      <c r="K148" s="9" t="n"/>
    </row>
    <row r="149">
      <c r="A149" s="4" t="n"/>
      <c r="B149" s="9">
        <f>IF(A149="","",INT((DAY(A149)-1)/7)+1)</f>
        <v/>
      </c>
      <c r="C149" s="9" t="n"/>
      <c r="D149" s="9" t="n"/>
      <c r="E149" s="9" t="n"/>
      <c r="F149" s="9" t="n"/>
      <c r="G149" s="9" t="n"/>
      <c r="H149" s="9" t="n"/>
      <c r="I149" s="9" t="n"/>
      <c r="J149" s="3" t="n"/>
      <c r="K149" s="9" t="n"/>
    </row>
    <row r="150">
      <c r="A150" s="4" t="n"/>
      <c r="B150" s="9">
        <f>IF(A150="","",INT((DAY(A150)-1)/7)+1)</f>
        <v/>
      </c>
      <c r="C150" s="9" t="n"/>
      <c r="D150" s="9" t="n"/>
      <c r="E150" s="9" t="n"/>
      <c r="F150" s="9" t="n"/>
      <c r="G150" s="9" t="n"/>
      <c r="H150" s="9" t="n"/>
      <c r="I150" s="9" t="n"/>
      <c r="J150" s="3" t="n"/>
      <c r="K150" s="9" t="n"/>
    </row>
    <row r="151">
      <c r="A151" s="4" t="n"/>
      <c r="B151" s="9">
        <f>IF(A151="","",INT((DAY(A151)-1)/7)+1)</f>
        <v/>
      </c>
      <c r="C151" s="9" t="n"/>
      <c r="D151" s="9" t="n"/>
      <c r="E151" s="9" t="n"/>
      <c r="F151" s="9" t="n"/>
      <c r="G151" s="9" t="n"/>
      <c r="H151" s="9" t="n"/>
      <c r="I151" s="9" t="n"/>
      <c r="J151" s="3" t="n"/>
      <c r="K151" s="9" t="n"/>
    </row>
    <row r="152">
      <c r="A152" s="4" t="n"/>
      <c r="B152" s="9">
        <f>IF(A152="","",INT((DAY(A152)-1)/7)+1)</f>
        <v/>
      </c>
      <c r="C152" s="9" t="n"/>
      <c r="D152" s="9" t="n"/>
      <c r="E152" s="9" t="n"/>
      <c r="F152" s="9" t="n"/>
      <c r="G152" s="9" t="n"/>
      <c r="H152" s="9" t="n"/>
      <c r="I152" s="9" t="n"/>
      <c r="J152" s="3" t="n"/>
      <c r="K152" s="9" t="n"/>
    </row>
    <row r="153">
      <c r="A153" s="4" t="n"/>
      <c r="B153" s="9">
        <f>IF(A153="","",INT((DAY(A153)-1)/7)+1)</f>
        <v/>
      </c>
      <c r="C153" s="9" t="n"/>
      <c r="D153" s="9" t="n"/>
      <c r="E153" s="9" t="n"/>
      <c r="F153" s="9" t="n"/>
      <c r="G153" s="9" t="n"/>
      <c r="H153" s="9" t="n"/>
      <c r="I153" s="9" t="n"/>
      <c r="J153" s="3" t="n"/>
      <c r="K153" s="9" t="n"/>
    </row>
    <row r="154">
      <c r="A154" s="4" t="n"/>
      <c r="B154" s="9">
        <f>IF(A154="","",INT((DAY(A154)-1)/7)+1)</f>
        <v/>
      </c>
      <c r="C154" s="9" t="n"/>
      <c r="D154" s="9" t="n"/>
      <c r="E154" s="9" t="n"/>
      <c r="F154" s="9" t="n"/>
      <c r="G154" s="9" t="n"/>
      <c r="H154" s="9" t="n"/>
      <c r="I154" s="9" t="n"/>
      <c r="J154" s="3" t="n"/>
      <c r="K154" s="9" t="n"/>
    </row>
    <row r="155">
      <c r="A155" s="4" t="n"/>
      <c r="B155" s="9">
        <f>IF(A155="","",INT((DAY(A155)-1)/7)+1)</f>
        <v/>
      </c>
      <c r="C155" s="9" t="n"/>
      <c r="D155" s="9" t="n"/>
      <c r="E155" s="9" t="n"/>
      <c r="F155" s="9" t="n"/>
      <c r="G155" s="9" t="n"/>
      <c r="H155" s="9" t="n"/>
      <c r="I155" s="9" t="n"/>
      <c r="J155" s="3" t="n"/>
      <c r="K155" s="9" t="n"/>
    </row>
    <row r="156">
      <c r="A156" s="4" t="n"/>
      <c r="B156" s="9">
        <f>IF(A156="","",INT((DAY(A156)-1)/7)+1)</f>
        <v/>
      </c>
      <c r="C156" s="9" t="n"/>
      <c r="D156" s="9" t="n"/>
      <c r="E156" s="9" t="n"/>
      <c r="F156" s="9" t="n"/>
      <c r="G156" s="9" t="n"/>
      <c r="H156" s="9" t="n"/>
      <c r="I156" s="9" t="n"/>
      <c r="J156" s="3" t="n"/>
      <c r="K156" s="9" t="n"/>
    </row>
    <row r="157">
      <c r="A157" s="4" t="n"/>
      <c r="B157" s="9">
        <f>IF(A157="","",INT((DAY(A157)-1)/7)+1)</f>
        <v/>
      </c>
      <c r="C157" s="9" t="n"/>
      <c r="D157" s="9" t="n"/>
      <c r="E157" s="9" t="n"/>
      <c r="F157" s="9" t="n"/>
      <c r="G157" s="9" t="n"/>
      <c r="H157" s="9" t="n"/>
      <c r="I157" s="9" t="n"/>
      <c r="J157" s="3" t="n"/>
      <c r="K157" s="9" t="n"/>
    </row>
    <row r="158">
      <c r="A158" s="4" t="n"/>
      <c r="B158" s="9">
        <f>IF(A158="","",INT((DAY(A158)-1)/7)+1)</f>
        <v/>
      </c>
      <c r="C158" s="9" t="n"/>
      <c r="D158" s="9" t="n"/>
      <c r="E158" s="9" t="n"/>
      <c r="F158" s="9" t="n"/>
      <c r="G158" s="9" t="n"/>
      <c r="H158" s="9" t="n"/>
      <c r="I158" s="9" t="n"/>
      <c r="J158" s="3" t="n"/>
      <c r="K158" s="9" t="n"/>
    </row>
    <row r="159">
      <c r="A159" s="4" t="n"/>
      <c r="B159" s="9">
        <f>IF(A159="","",INT((DAY(A159)-1)/7)+1)</f>
        <v/>
      </c>
      <c r="C159" s="9" t="n"/>
      <c r="D159" s="9" t="n"/>
      <c r="E159" s="9" t="n"/>
      <c r="F159" s="9" t="n"/>
      <c r="G159" s="9" t="n"/>
      <c r="H159" s="9" t="n"/>
      <c r="I159" s="9" t="n"/>
      <c r="J159" s="3" t="n"/>
      <c r="K159" s="9" t="n"/>
    </row>
    <row r="160">
      <c r="A160" s="4" t="n"/>
      <c r="B160" s="9">
        <f>IF(A160="","",INT((DAY(A160)-1)/7)+1)</f>
        <v/>
      </c>
      <c r="C160" s="9" t="n"/>
      <c r="D160" s="9" t="n"/>
      <c r="E160" s="9" t="n"/>
      <c r="F160" s="9" t="n"/>
      <c r="G160" s="9" t="n"/>
      <c r="H160" s="9" t="n"/>
      <c r="I160" s="9" t="n"/>
      <c r="J160" s="3" t="n"/>
      <c r="K160" s="9" t="n"/>
    </row>
    <row r="161">
      <c r="A161" s="4" t="n"/>
      <c r="B161" s="9">
        <f>IF(A161="","",INT((DAY(A161)-1)/7)+1)</f>
        <v/>
      </c>
      <c r="C161" s="9" t="n"/>
      <c r="D161" s="9" t="n"/>
      <c r="E161" s="9" t="n"/>
      <c r="F161" s="9" t="n"/>
      <c r="G161" s="9" t="n"/>
      <c r="H161" s="9" t="n"/>
      <c r="I161" s="9" t="n"/>
      <c r="J161" s="3" t="n"/>
      <c r="K161" s="9" t="n"/>
    </row>
    <row r="162">
      <c r="A162" s="4" t="n"/>
      <c r="B162" s="9">
        <f>IF(A162="","",INT((DAY(A162)-1)/7)+1)</f>
        <v/>
      </c>
      <c r="C162" s="9" t="n"/>
      <c r="D162" s="9" t="n"/>
      <c r="E162" s="9" t="n"/>
      <c r="F162" s="9" t="n"/>
      <c r="G162" s="9" t="n"/>
      <c r="H162" s="9" t="n"/>
      <c r="I162" s="9" t="n"/>
      <c r="J162" s="3" t="n"/>
      <c r="K162" s="9" t="n"/>
    </row>
    <row r="163">
      <c r="A163" s="4" t="n"/>
      <c r="B163" s="9">
        <f>IF(A163="","",INT((DAY(A163)-1)/7)+1)</f>
        <v/>
      </c>
      <c r="C163" s="9" t="n"/>
      <c r="D163" s="9" t="n"/>
      <c r="E163" s="9" t="n"/>
      <c r="F163" s="9" t="n"/>
      <c r="G163" s="9" t="n"/>
      <c r="H163" s="9" t="n"/>
      <c r="I163" s="9" t="n"/>
      <c r="J163" s="3" t="n"/>
      <c r="K163" s="9" t="n"/>
    </row>
    <row r="164">
      <c r="A164" s="4" t="n"/>
      <c r="B164" s="9">
        <f>IF(A164="","",INT((DAY(A164)-1)/7)+1)</f>
        <v/>
      </c>
      <c r="C164" s="9" t="n"/>
      <c r="D164" s="9" t="n"/>
      <c r="E164" s="9" t="n"/>
      <c r="F164" s="9" t="n"/>
      <c r="G164" s="9" t="n"/>
      <c r="H164" s="9" t="n"/>
      <c r="I164" s="9" t="n"/>
      <c r="J164" s="3" t="n"/>
      <c r="K164" s="9" t="n"/>
    </row>
    <row r="165">
      <c r="A165" s="4" t="n"/>
      <c r="B165" s="9">
        <f>IF(A165="","",INT((DAY(A165)-1)/7)+1)</f>
        <v/>
      </c>
      <c r="C165" s="9" t="n"/>
      <c r="D165" s="9" t="n"/>
      <c r="E165" s="9" t="n"/>
      <c r="F165" s="9" t="n"/>
      <c r="G165" s="9" t="n"/>
      <c r="H165" s="9" t="n"/>
      <c r="I165" s="9" t="n"/>
      <c r="J165" s="3" t="n"/>
      <c r="K165" s="9" t="n"/>
    </row>
    <row r="166">
      <c r="A166" s="4" t="n"/>
      <c r="B166" s="9">
        <f>IF(A166="","",INT((DAY(A166)-1)/7)+1)</f>
        <v/>
      </c>
      <c r="C166" s="9" t="n"/>
      <c r="D166" s="9" t="n"/>
      <c r="E166" s="9" t="n"/>
      <c r="F166" s="9" t="n"/>
      <c r="G166" s="9" t="n"/>
      <c r="H166" s="9" t="n"/>
      <c r="I166" s="9" t="n"/>
      <c r="J166" s="3" t="n"/>
      <c r="K166" s="9" t="n"/>
    </row>
    <row r="167">
      <c r="A167" s="4" t="n"/>
      <c r="B167" s="9">
        <f>IF(A167="","",INT((DAY(A167)-1)/7)+1)</f>
        <v/>
      </c>
      <c r="C167" s="9" t="n"/>
      <c r="D167" s="9" t="n"/>
      <c r="E167" s="9" t="n"/>
      <c r="F167" s="9" t="n"/>
      <c r="G167" s="9" t="n"/>
      <c r="H167" s="9" t="n"/>
      <c r="I167" s="9" t="n"/>
      <c r="J167" s="3" t="n"/>
      <c r="K167" s="9" t="n"/>
    </row>
    <row r="168">
      <c r="A168" s="4" t="n"/>
      <c r="B168" s="9">
        <f>IF(A168="","",INT((DAY(A168)-1)/7)+1)</f>
        <v/>
      </c>
      <c r="C168" s="9" t="n"/>
      <c r="D168" s="9" t="n"/>
      <c r="E168" s="9" t="n"/>
      <c r="F168" s="9" t="n"/>
      <c r="G168" s="9" t="n"/>
      <c r="H168" s="9" t="n"/>
      <c r="I168" s="9" t="n"/>
      <c r="J168" s="3" t="n"/>
      <c r="K168" s="9" t="n"/>
    </row>
    <row r="169">
      <c r="A169" s="4" t="n"/>
      <c r="B169" s="9">
        <f>IF(A169="","",INT((DAY(A169)-1)/7)+1)</f>
        <v/>
      </c>
      <c r="C169" s="9" t="n"/>
      <c r="D169" s="9" t="n"/>
      <c r="E169" s="9" t="n"/>
      <c r="F169" s="9" t="n"/>
      <c r="G169" s="9" t="n"/>
      <c r="H169" s="9" t="n"/>
      <c r="I169" s="9" t="n"/>
      <c r="J169" s="3" t="n"/>
      <c r="K169" s="9" t="n"/>
    </row>
    <row r="170">
      <c r="A170" s="4" t="n"/>
      <c r="B170" s="9">
        <f>IF(A170="","",INT((DAY(A170)-1)/7)+1)</f>
        <v/>
      </c>
      <c r="C170" s="9" t="n"/>
      <c r="D170" s="9" t="n"/>
      <c r="E170" s="9" t="n"/>
      <c r="F170" s="9" t="n"/>
      <c r="G170" s="9" t="n"/>
      <c r="H170" s="9" t="n"/>
      <c r="I170" s="9" t="n"/>
      <c r="J170" s="3" t="n"/>
      <c r="K170" s="9" t="n"/>
    </row>
    <row r="171">
      <c r="A171" s="4" t="n"/>
      <c r="B171" s="9">
        <f>IF(A171="","",INT((DAY(A171)-1)/7)+1)</f>
        <v/>
      </c>
      <c r="C171" s="9" t="n"/>
      <c r="D171" s="9" t="n"/>
      <c r="E171" s="9" t="n"/>
      <c r="F171" s="9" t="n"/>
      <c r="G171" s="9" t="n"/>
      <c r="H171" s="9" t="n"/>
      <c r="I171" s="9" t="n"/>
      <c r="J171" s="3" t="n"/>
      <c r="K171" s="9" t="n"/>
    </row>
    <row r="172">
      <c r="A172" s="4" t="n"/>
      <c r="B172" s="9">
        <f>IF(A172="","",INT((DAY(A172)-1)/7)+1)</f>
        <v/>
      </c>
      <c r="C172" s="9" t="n"/>
      <c r="D172" s="9" t="n"/>
      <c r="E172" s="9" t="n"/>
      <c r="F172" s="9" t="n"/>
      <c r="G172" s="9" t="n"/>
      <c r="H172" s="9" t="n"/>
      <c r="I172" s="9" t="n"/>
      <c r="J172" s="3" t="n"/>
      <c r="K172" s="9" t="n"/>
    </row>
    <row r="173">
      <c r="A173" s="4" t="n"/>
      <c r="B173" s="9">
        <f>IF(A173="","",INT((DAY(A173)-1)/7)+1)</f>
        <v/>
      </c>
      <c r="C173" s="9" t="n"/>
      <c r="D173" s="9" t="n"/>
      <c r="E173" s="9" t="n"/>
      <c r="F173" s="9" t="n"/>
      <c r="G173" s="9" t="n"/>
      <c r="H173" s="9" t="n"/>
      <c r="I173" s="9" t="n"/>
      <c r="J173" s="3" t="n"/>
      <c r="K173" s="9" t="n"/>
    </row>
    <row r="174">
      <c r="A174" s="4" t="n"/>
      <c r="B174" s="9">
        <f>IF(A174="","",INT((DAY(A174)-1)/7)+1)</f>
        <v/>
      </c>
      <c r="C174" s="9" t="n"/>
      <c r="D174" s="9" t="n"/>
      <c r="E174" s="9" t="n"/>
      <c r="F174" s="9" t="n"/>
      <c r="G174" s="9" t="n"/>
      <c r="H174" s="9" t="n"/>
      <c r="I174" s="9" t="n"/>
      <c r="J174" s="3" t="n"/>
      <c r="K174" s="9" t="n"/>
    </row>
    <row r="175">
      <c r="A175" s="4" t="n"/>
      <c r="B175" s="9">
        <f>IF(A175="","",INT((DAY(A175)-1)/7)+1)</f>
        <v/>
      </c>
      <c r="C175" s="9" t="n"/>
      <c r="D175" s="9" t="n"/>
      <c r="E175" s="9" t="n"/>
      <c r="F175" s="9" t="n"/>
      <c r="G175" s="9" t="n"/>
      <c r="H175" s="9" t="n"/>
      <c r="I175" s="9" t="n"/>
      <c r="J175" s="3" t="n"/>
      <c r="K175" s="9" t="n"/>
    </row>
    <row r="176">
      <c r="A176" s="4" t="n"/>
      <c r="B176" s="9">
        <f>IF(A176="","",INT((DAY(A176)-1)/7)+1)</f>
        <v/>
      </c>
      <c r="C176" s="9" t="n"/>
      <c r="D176" s="9" t="n"/>
      <c r="E176" s="9" t="n"/>
      <c r="F176" s="9" t="n"/>
      <c r="G176" s="9" t="n"/>
      <c r="H176" s="9" t="n"/>
      <c r="I176" s="9" t="n"/>
      <c r="J176" s="3" t="n"/>
      <c r="K176" s="9" t="n"/>
    </row>
    <row r="177">
      <c r="A177" s="4" t="n"/>
      <c r="B177" s="9">
        <f>IF(A177="","",INT((DAY(A177)-1)/7)+1)</f>
        <v/>
      </c>
      <c r="C177" s="9" t="n"/>
      <c r="D177" s="9" t="n"/>
      <c r="E177" s="9" t="n"/>
      <c r="F177" s="9" t="n"/>
      <c r="G177" s="9" t="n"/>
      <c r="H177" s="9" t="n"/>
      <c r="I177" s="9" t="n"/>
      <c r="J177" s="3" t="n"/>
      <c r="K177" s="9" t="n"/>
    </row>
    <row r="178">
      <c r="A178" s="4" t="n"/>
      <c r="B178" s="9">
        <f>IF(A178="","",INT((DAY(A178)-1)/7)+1)</f>
        <v/>
      </c>
      <c r="C178" s="9" t="n"/>
      <c r="D178" s="9" t="n"/>
      <c r="E178" s="9" t="n"/>
      <c r="F178" s="9" t="n"/>
      <c r="G178" s="9" t="n"/>
      <c r="H178" s="9" t="n"/>
      <c r="I178" s="9" t="n"/>
      <c r="J178" s="3" t="n"/>
      <c r="K178" s="9" t="n"/>
    </row>
    <row r="179">
      <c r="A179" s="4" t="n"/>
      <c r="B179" s="9">
        <f>IF(A179="","",INT((DAY(A179)-1)/7)+1)</f>
        <v/>
      </c>
      <c r="C179" s="9" t="n"/>
      <c r="D179" s="9" t="n"/>
      <c r="E179" s="9" t="n"/>
      <c r="F179" s="9" t="n"/>
      <c r="G179" s="9" t="n"/>
      <c r="H179" s="9" t="n"/>
      <c r="I179" s="9" t="n"/>
      <c r="J179" s="3" t="n"/>
      <c r="K179" s="9" t="n"/>
    </row>
    <row r="180">
      <c r="A180" s="4" t="n"/>
      <c r="B180" s="9">
        <f>IF(A180="","",INT((DAY(A180)-1)/7)+1)</f>
        <v/>
      </c>
      <c r="C180" s="9" t="n"/>
      <c r="D180" s="9" t="n"/>
      <c r="E180" s="9" t="n"/>
      <c r="F180" s="9" t="n"/>
      <c r="G180" s="9" t="n"/>
      <c r="H180" s="9" t="n"/>
      <c r="I180" s="9" t="n"/>
      <c r="J180" s="3" t="n"/>
      <c r="K180" s="9" t="n"/>
    </row>
    <row r="181">
      <c r="A181" s="4" t="n"/>
      <c r="B181" s="9">
        <f>IF(A181="","",INT((DAY(A181)-1)/7)+1)</f>
        <v/>
      </c>
      <c r="C181" s="9" t="n"/>
      <c r="D181" s="9" t="n"/>
      <c r="E181" s="9" t="n"/>
      <c r="F181" s="9" t="n"/>
      <c r="G181" s="9" t="n"/>
      <c r="H181" s="9" t="n"/>
      <c r="I181" s="9" t="n"/>
      <c r="J181" s="3" t="n"/>
      <c r="K181" s="9" t="n"/>
    </row>
    <row r="182">
      <c r="A182" s="4" t="n"/>
      <c r="B182" s="9">
        <f>IF(A182="","",INT((DAY(A182)-1)/7)+1)</f>
        <v/>
      </c>
      <c r="C182" s="9" t="n"/>
      <c r="D182" s="9" t="n"/>
      <c r="E182" s="9" t="n"/>
      <c r="F182" s="9" t="n"/>
      <c r="G182" s="9" t="n"/>
      <c r="H182" s="9" t="n"/>
      <c r="I182" s="9" t="n"/>
      <c r="J182" s="3" t="n"/>
      <c r="K182" s="9" t="n"/>
    </row>
    <row r="183">
      <c r="A183" s="4" t="n"/>
      <c r="B183" s="9">
        <f>IF(A183="","",INT((DAY(A183)-1)/7)+1)</f>
        <v/>
      </c>
      <c r="C183" s="9" t="n"/>
      <c r="D183" s="9" t="n"/>
      <c r="E183" s="9" t="n"/>
      <c r="F183" s="9" t="n"/>
      <c r="G183" s="9" t="n"/>
      <c r="H183" s="9" t="n"/>
      <c r="I183" s="9" t="n"/>
      <c r="J183" s="3" t="n"/>
      <c r="K183" s="9" t="n"/>
    </row>
    <row r="184">
      <c r="A184" s="4" t="n"/>
      <c r="B184" s="9">
        <f>IF(A184="","",INT((DAY(A184)-1)/7)+1)</f>
        <v/>
      </c>
      <c r="C184" s="9" t="n"/>
      <c r="D184" s="9" t="n"/>
      <c r="E184" s="9" t="n"/>
      <c r="F184" s="9" t="n"/>
      <c r="G184" s="9" t="n"/>
      <c r="H184" s="9" t="n"/>
      <c r="I184" s="9" t="n"/>
      <c r="J184" s="3" t="n"/>
      <c r="K184" s="9" t="n"/>
    </row>
    <row r="185">
      <c r="A185" s="4" t="n"/>
      <c r="B185" s="9">
        <f>IF(A185="","",INT((DAY(A185)-1)/7)+1)</f>
        <v/>
      </c>
      <c r="C185" s="9" t="n"/>
      <c r="D185" s="9" t="n"/>
      <c r="E185" s="9" t="n"/>
      <c r="F185" s="9" t="n"/>
      <c r="G185" s="9" t="n"/>
      <c r="H185" s="9" t="n"/>
      <c r="I185" s="9" t="n"/>
      <c r="J185" s="3" t="n"/>
      <c r="K185" s="9" t="n"/>
    </row>
    <row r="186">
      <c r="A186" s="4" t="n"/>
      <c r="B186" s="9">
        <f>IF(A186="","",INT((DAY(A186)-1)/7)+1)</f>
        <v/>
      </c>
      <c r="C186" s="9" t="n"/>
      <c r="D186" s="9" t="n"/>
      <c r="E186" s="9" t="n"/>
      <c r="F186" s="9" t="n"/>
      <c r="G186" s="9" t="n"/>
      <c r="H186" s="9" t="n"/>
      <c r="I186" s="9" t="n"/>
      <c r="J186" s="3" t="n"/>
      <c r="K186" s="9" t="n"/>
    </row>
    <row r="187">
      <c r="A187" s="4" t="n"/>
      <c r="B187" s="9">
        <f>IF(A187="","",INT((DAY(A187)-1)/7)+1)</f>
        <v/>
      </c>
      <c r="C187" s="9" t="n"/>
      <c r="D187" s="9" t="n"/>
      <c r="E187" s="9" t="n"/>
      <c r="F187" s="9" t="n"/>
      <c r="G187" s="9" t="n"/>
      <c r="H187" s="9" t="n"/>
      <c r="I187" s="9" t="n"/>
      <c r="J187" s="3" t="n"/>
      <c r="K187" s="9" t="n"/>
    </row>
    <row r="188">
      <c r="A188" s="4" t="n"/>
      <c r="B188" s="9">
        <f>IF(A188="","",INT((DAY(A188)-1)/7)+1)</f>
        <v/>
      </c>
      <c r="C188" s="9" t="n"/>
      <c r="D188" s="9" t="n"/>
      <c r="E188" s="9" t="n"/>
      <c r="F188" s="9" t="n"/>
      <c r="G188" s="9" t="n"/>
      <c r="H188" s="9" t="n"/>
      <c r="I188" s="9" t="n"/>
      <c r="J188" s="3" t="n"/>
      <c r="K188" s="9" t="n"/>
    </row>
    <row r="189">
      <c r="A189" s="4" t="n"/>
      <c r="B189" s="9">
        <f>IF(A189="","",INT((DAY(A189)-1)/7)+1)</f>
        <v/>
      </c>
      <c r="C189" s="9" t="n"/>
      <c r="D189" s="9" t="n"/>
      <c r="E189" s="9" t="n"/>
      <c r="F189" s="9" t="n"/>
      <c r="G189" s="9" t="n"/>
      <c r="H189" s="9" t="n"/>
      <c r="I189" s="9" t="n"/>
      <c r="J189" s="3" t="n"/>
      <c r="K189" s="9" t="n"/>
    </row>
    <row r="190">
      <c r="A190" s="4" t="n"/>
      <c r="B190" s="9">
        <f>IF(A190="","",INT((DAY(A190)-1)/7)+1)</f>
        <v/>
      </c>
      <c r="C190" s="9" t="n"/>
      <c r="D190" s="9" t="n"/>
      <c r="E190" s="9" t="n"/>
      <c r="F190" s="9" t="n"/>
      <c r="G190" s="9" t="n"/>
      <c r="H190" s="9" t="n"/>
      <c r="I190" s="9" t="n"/>
      <c r="J190" s="3" t="n"/>
      <c r="K190" s="9" t="n"/>
    </row>
    <row r="191">
      <c r="A191" s="4" t="n"/>
      <c r="B191" s="9">
        <f>IF(A191="","",INT((DAY(A191)-1)/7)+1)</f>
        <v/>
      </c>
      <c r="C191" s="9" t="n"/>
      <c r="D191" s="9" t="n"/>
      <c r="E191" s="9" t="n"/>
      <c r="F191" s="9" t="n"/>
      <c r="G191" s="9" t="n"/>
      <c r="H191" s="9" t="n"/>
      <c r="I191" s="9" t="n"/>
      <c r="J191" s="3" t="n"/>
      <c r="K191" s="9" t="n"/>
    </row>
    <row r="192">
      <c r="A192" s="4" t="n"/>
      <c r="B192" s="9">
        <f>IF(A192="","",INT((DAY(A192)-1)/7)+1)</f>
        <v/>
      </c>
      <c r="C192" s="9" t="n"/>
      <c r="D192" s="9" t="n"/>
      <c r="E192" s="9" t="n"/>
      <c r="F192" s="9" t="n"/>
      <c r="G192" s="9" t="n"/>
      <c r="H192" s="9" t="n"/>
      <c r="I192" s="9" t="n"/>
      <c r="J192" s="3" t="n"/>
      <c r="K192" s="9" t="n"/>
    </row>
    <row r="193">
      <c r="A193" s="4" t="n"/>
      <c r="B193" s="9">
        <f>IF(A193="","",INT((DAY(A193)-1)/7)+1)</f>
        <v/>
      </c>
      <c r="C193" s="9" t="n"/>
      <c r="D193" s="9" t="n"/>
      <c r="E193" s="9" t="n"/>
      <c r="F193" s="9" t="n"/>
      <c r="G193" s="9" t="n"/>
      <c r="H193" s="9" t="n"/>
      <c r="I193" s="9" t="n"/>
      <c r="J193" s="3" t="n"/>
      <c r="K193" s="9" t="n"/>
    </row>
    <row r="194">
      <c r="A194" s="4" t="n"/>
      <c r="B194" s="9">
        <f>IF(A194="","",INT((DAY(A194)-1)/7)+1)</f>
        <v/>
      </c>
      <c r="C194" s="9" t="n"/>
      <c r="D194" s="9" t="n"/>
      <c r="E194" s="9" t="n"/>
      <c r="F194" s="9" t="n"/>
      <c r="G194" s="9" t="n"/>
      <c r="H194" s="9" t="n"/>
      <c r="I194" s="9" t="n"/>
      <c r="J194" s="3" t="n"/>
      <c r="K194" s="9" t="n"/>
    </row>
    <row r="195">
      <c r="A195" s="4" t="n"/>
      <c r="B195" s="9">
        <f>IF(A195="","",INT((DAY(A195)-1)/7)+1)</f>
        <v/>
      </c>
      <c r="C195" s="9" t="n"/>
      <c r="D195" s="9" t="n"/>
      <c r="E195" s="9" t="n"/>
      <c r="F195" s="9" t="n"/>
      <c r="G195" s="9" t="n"/>
      <c r="H195" s="9" t="n"/>
      <c r="I195" s="9" t="n"/>
      <c r="J195" s="3" t="n"/>
      <c r="K195" s="9" t="n"/>
    </row>
    <row r="196">
      <c r="A196" s="4" t="n"/>
      <c r="B196" s="9">
        <f>IF(A196="","",INT((DAY(A196)-1)/7)+1)</f>
        <v/>
      </c>
      <c r="C196" s="9" t="n"/>
      <c r="D196" s="9" t="n"/>
      <c r="E196" s="9" t="n"/>
      <c r="F196" s="9" t="n"/>
      <c r="G196" s="9" t="n"/>
      <c r="H196" s="9" t="n"/>
      <c r="I196" s="9" t="n"/>
      <c r="J196" s="3" t="n"/>
      <c r="K196" s="9" t="n"/>
    </row>
    <row r="197">
      <c r="A197" s="4" t="n"/>
      <c r="B197" s="9">
        <f>IF(A197="","",INT((DAY(A197)-1)/7)+1)</f>
        <v/>
      </c>
      <c r="C197" s="9" t="n"/>
      <c r="D197" s="9" t="n"/>
      <c r="E197" s="9" t="n"/>
      <c r="F197" s="9" t="n"/>
      <c r="G197" s="9" t="n"/>
      <c r="H197" s="9" t="n"/>
      <c r="I197" s="9" t="n"/>
      <c r="J197" s="3" t="n"/>
      <c r="K197" s="9" t="n"/>
    </row>
    <row r="198">
      <c r="A198" s="4" t="n"/>
      <c r="B198" s="9">
        <f>IF(A198="","",INT((DAY(A198)-1)/7)+1)</f>
        <v/>
      </c>
      <c r="C198" s="9" t="n"/>
      <c r="D198" s="9" t="n"/>
      <c r="E198" s="9" t="n"/>
      <c r="F198" s="9" t="n"/>
      <c r="G198" s="9" t="n"/>
      <c r="H198" s="9" t="n"/>
      <c r="I198" s="9" t="n"/>
      <c r="J198" s="3" t="n"/>
      <c r="K198" s="9" t="n"/>
    </row>
    <row r="199">
      <c r="A199" s="4" t="n"/>
      <c r="B199" s="9">
        <f>IF(A199="","",INT((DAY(A199)-1)/7)+1)</f>
        <v/>
      </c>
      <c r="C199" s="9" t="n"/>
      <c r="D199" s="9" t="n"/>
      <c r="E199" s="9" t="n"/>
      <c r="F199" s="9" t="n"/>
      <c r="G199" s="9" t="n"/>
      <c r="H199" s="9" t="n"/>
      <c r="I199" s="9" t="n"/>
      <c r="J199" s="3" t="n"/>
      <c r="K199" s="9" t="n"/>
    </row>
    <row r="200">
      <c r="A200" s="4" t="n"/>
      <c r="B200" s="9">
        <f>IF(A200="","",INT((DAY(A200)-1)/7)+1)</f>
        <v/>
      </c>
      <c r="C200" s="9" t="n"/>
      <c r="D200" s="9" t="n"/>
      <c r="E200" s="9" t="n"/>
      <c r="F200" s="9" t="n"/>
      <c r="G200" s="9" t="n"/>
      <c r="H200" s="9" t="n"/>
      <c r="I200" s="9" t="n"/>
      <c r="J200" s="3" t="n"/>
      <c r="K200" s="9" t="n"/>
    </row>
    <row r="201">
      <c r="A201" s="4" t="n"/>
      <c r="B201" s="9">
        <f>IF(A201="","",INT((DAY(A201)-1)/7)+1)</f>
        <v/>
      </c>
      <c r="C201" s="9" t="n"/>
      <c r="D201" s="9" t="n"/>
      <c r="E201" s="9" t="n"/>
      <c r="F201" s="9" t="n"/>
      <c r="G201" s="9" t="n"/>
      <c r="H201" s="9" t="n"/>
      <c r="I201" s="9" t="n"/>
      <c r="J201" s="3" t="n"/>
      <c r="K201" s="9" t="n"/>
    </row>
    <row r="202">
      <c r="A202" s="4" t="n"/>
      <c r="B202" s="9">
        <f>IF(A202="","",INT((DAY(A202)-1)/7)+1)</f>
        <v/>
      </c>
      <c r="C202" s="9" t="n"/>
      <c r="D202" s="9" t="n"/>
      <c r="E202" s="9" t="n"/>
      <c r="F202" s="9" t="n"/>
      <c r="G202" s="9" t="n"/>
      <c r="H202" s="9" t="n"/>
      <c r="I202" s="9" t="n"/>
      <c r="J202" s="3" t="n"/>
      <c r="K202" s="9" t="n"/>
    </row>
    <row r="203">
      <c r="A203" s="4" t="n"/>
      <c r="B203" s="9">
        <f>IF(A203="","",INT((DAY(A203)-1)/7)+1)</f>
        <v/>
      </c>
      <c r="C203" s="9" t="n"/>
      <c r="D203" s="9" t="n"/>
      <c r="E203" s="9" t="n"/>
      <c r="F203" s="9" t="n"/>
      <c r="G203" s="9" t="n"/>
      <c r="H203" s="9" t="n"/>
      <c r="I203" s="9" t="n"/>
      <c r="J203" s="3" t="n"/>
      <c r="K203" s="9" t="n"/>
    </row>
    <row r="204">
      <c r="A204" s="4" t="n"/>
      <c r="B204" s="9">
        <f>IF(A204="","",INT((DAY(A204)-1)/7)+1)</f>
        <v/>
      </c>
      <c r="C204" s="9" t="n"/>
      <c r="D204" s="9" t="n"/>
      <c r="E204" s="9" t="n"/>
      <c r="F204" s="9" t="n"/>
      <c r="G204" s="9" t="n"/>
      <c r="H204" s="9" t="n"/>
      <c r="I204" s="9" t="n"/>
      <c r="J204" s="3" t="n"/>
      <c r="K204" s="9" t="n"/>
    </row>
    <row r="205">
      <c r="A205" s="4" t="n"/>
      <c r="B205" s="9">
        <f>IF(A205="","",INT((DAY(A205)-1)/7)+1)</f>
        <v/>
      </c>
      <c r="C205" s="9" t="n"/>
      <c r="D205" s="9" t="n"/>
      <c r="E205" s="9" t="n"/>
      <c r="F205" s="9" t="n"/>
      <c r="G205" s="9" t="n"/>
      <c r="H205" s="9" t="n"/>
      <c r="I205" s="9" t="n"/>
      <c r="J205" s="3" t="n"/>
      <c r="K205" s="9" t="n"/>
    </row>
    <row r="206">
      <c r="A206" s="4" t="n"/>
      <c r="B206" s="9">
        <f>IF(A206="","",INT((DAY(A206)-1)/7)+1)</f>
        <v/>
      </c>
      <c r="C206" s="9" t="n"/>
      <c r="D206" s="9" t="n"/>
      <c r="E206" s="9" t="n"/>
      <c r="F206" s="9" t="n"/>
      <c r="G206" s="9" t="n"/>
      <c r="H206" s="9" t="n"/>
      <c r="I206" s="9" t="n"/>
      <c r="J206" s="3" t="n"/>
      <c r="K206" s="9" t="n"/>
    </row>
    <row r="207">
      <c r="A207" s="4" t="n"/>
      <c r="B207" s="9">
        <f>IF(A207="","",INT((DAY(A207)-1)/7)+1)</f>
        <v/>
      </c>
      <c r="C207" s="9" t="n"/>
      <c r="D207" s="9" t="n"/>
      <c r="E207" s="9" t="n"/>
      <c r="F207" s="9" t="n"/>
      <c r="G207" s="9" t="n"/>
      <c r="H207" s="9" t="n"/>
      <c r="I207" s="9" t="n"/>
      <c r="J207" s="3" t="n"/>
      <c r="K207" s="9" t="n"/>
    </row>
    <row r="208">
      <c r="A208" s="4" t="n"/>
      <c r="B208" s="9">
        <f>IF(A208="","",INT((DAY(A208)-1)/7)+1)</f>
        <v/>
      </c>
      <c r="C208" s="9" t="n"/>
      <c r="D208" s="9" t="n"/>
      <c r="E208" s="9" t="n"/>
      <c r="F208" s="9" t="n"/>
      <c r="G208" s="9" t="n"/>
      <c r="H208" s="9" t="n"/>
      <c r="I208" s="9" t="n"/>
      <c r="J208" s="3" t="n"/>
      <c r="K208" s="9" t="n"/>
    </row>
    <row r="209">
      <c r="A209" s="4" t="n"/>
      <c r="B209" s="9">
        <f>IF(A209="","",INT((DAY(A209)-1)/7)+1)</f>
        <v/>
      </c>
      <c r="C209" s="9" t="n"/>
      <c r="D209" s="9" t="n"/>
      <c r="E209" s="9" t="n"/>
      <c r="F209" s="9" t="n"/>
      <c r="G209" s="9" t="n"/>
      <c r="H209" s="9" t="n"/>
      <c r="I209" s="9" t="n"/>
      <c r="J209" s="3" t="n"/>
      <c r="K209" s="9" t="n"/>
    </row>
    <row r="210">
      <c r="A210" s="4" t="n"/>
      <c r="B210" s="9">
        <f>IF(A210="","",INT((DAY(A210)-1)/7)+1)</f>
        <v/>
      </c>
      <c r="C210" s="9" t="n"/>
      <c r="D210" s="9" t="n"/>
      <c r="E210" s="9" t="n"/>
      <c r="F210" s="9" t="n"/>
      <c r="G210" s="9" t="n"/>
      <c r="H210" s="9" t="n"/>
      <c r="I210" s="9" t="n"/>
      <c r="J210" s="3" t="n"/>
      <c r="K210" s="9" t="n"/>
    </row>
    <row r="211">
      <c r="A211" s="4" t="n"/>
      <c r="B211" s="9">
        <f>IF(A211="","",INT((DAY(A211)-1)/7)+1)</f>
        <v/>
      </c>
      <c r="C211" s="9" t="n"/>
      <c r="D211" s="9" t="n"/>
      <c r="E211" s="9" t="n"/>
      <c r="F211" s="9" t="n"/>
      <c r="G211" s="9" t="n"/>
      <c r="H211" s="9" t="n"/>
      <c r="I211" s="9" t="n"/>
      <c r="J211" s="3" t="n"/>
      <c r="K211" s="9" t="n"/>
    </row>
    <row r="212">
      <c r="A212" s="4" t="n"/>
      <c r="B212" s="9">
        <f>IF(A212="","",INT((DAY(A212)-1)/7)+1)</f>
        <v/>
      </c>
      <c r="C212" s="9" t="n"/>
      <c r="D212" s="9" t="n"/>
      <c r="E212" s="9" t="n"/>
      <c r="F212" s="9" t="n"/>
      <c r="G212" s="9" t="n"/>
      <c r="H212" s="9" t="n"/>
      <c r="I212" s="9" t="n"/>
      <c r="J212" s="3" t="n"/>
      <c r="K212" s="9" t="n"/>
    </row>
    <row r="213">
      <c r="A213" s="4" t="n"/>
      <c r="B213" s="9">
        <f>IF(A213="","",INT((DAY(A213)-1)/7)+1)</f>
        <v/>
      </c>
      <c r="C213" s="9" t="n"/>
      <c r="D213" s="9" t="n"/>
      <c r="E213" s="9" t="n"/>
      <c r="F213" s="9" t="n"/>
      <c r="G213" s="9" t="n"/>
      <c r="H213" s="9" t="n"/>
      <c r="I213" s="9" t="n"/>
      <c r="J213" s="3" t="n"/>
      <c r="K213" s="9" t="n"/>
    </row>
    <row r="214">
      <c r="A214" s="4" t="n"/>
      <c r="B214" s="9">
        <f>IF(A214="","",INT((DAY(A214)-1)/7)+1)</f>
        <v/>
      </c>
      <c r="C214" s="9" t="n"/>
      <c r="D214" s="9" t="n"/>
      <c r="E214" s="9" t="n"/>
      <c r="F214" s="9" t="n"/>
      <c r="G214" s="9" t="n"/>
      <c r="H214" s="9" t="n"/>
      <c r="I214" s="9" t="n"/>
      <c r="J214" s="3" t="n"/>
      <c r="K214" s="9" t="n"/>
    </row>
    <row r="215">
      <c r="A215" s="4" t="n"/>
      <c r="B215" s="9">
        <f>IF(A215="","",INT((DAY(A215)-1)/7)+1)</f>
        <v/>
      </c>
      <c r="C215" s="9" t="n"/>
      <c r="D215" s="9" t="n"/>
      <c r="E215" s="9" t="n"/>
      <c r="F215" s="9" t="n"/>
      <c r="G215" s="9" t="n"/>
      <c r="H215" s="9" t="n"/>
      <c r="I215" s="9" t="n"/>
      <c r="J215" s="3" t="n"/>
      <c r="K215" s="9" t="n"/>
    </row>
    <row r="216">
      <c r="A216" s="4" t="n"/>
      <c r="B216" s="9">
        <f>IF(A216="","",INT((DAY(A216)-1)/7)+1)</f>
        <v/>
      </c>
      <c r="C216" s="9" t="n"/>
      <c r="D216" s="9" t="n"/>
      <c r="E216" s="9" t="n"/>
      <c r="F216" s="9" t="n"/>
      <c r="G216" s="9" t="n"/>
      <c r="H216" s="9" t="n"/>
      <c r="I216" s="9" t="n"/>
      <c r="J216" s="3" t="n"/>
      <c r="K216" s="9" t="n"/>
    </row>
    <row r="217">
      <c r="A217" s="4" t="n"/>
      <c r="B217" s="9">
        <f>IF(A217="","",INT((DAY(A217)-1)/7)+1)</f>
        <v/>
      </c>
      <c r="C217" s="9" t="n"/>
      <c r="D217" s="9" t="n"/>
      <c r="E217" s="9" t="n"/>
      <c r="F217" s="9" t="n"/>
      <c r="G217" s="9" t="n"/>
      <c r="H217" s="9" t="n"/>
      <c r="I217" s="9" t="n"/>
      <c r="J217" s="3" t="n"/>
      <c r="K217" s="9" t="n"/>
    </row>
    <row r="218">
      <c r="A218" s="4" t="n"/>
      <c r="B218" s="9">
        <f>IF(A218="","",INT((DAY(A218)-1)/7)+1)</f>
        <v/>
      </c>
      <c r="C218" s="9" t="n"/>
      <c r="D218" s="9" t="n"/>
      <c r="E218" s="9" t="n"/>
      <c r="F218" s="9" t="n"/>
      <c r="G218" s="9" t="n"/>
      <c r="H218" s="9" t="n"/>
      <c r="I218" s="9" t="n"/>
      <c r="J218" s="3" t="n"/>
      <c r="K218" s="9" t="n"/>
    </row>
    <row r="219">
      <c r="A219" s="4" t="n"/>
      <c r="B219" s="9">
        <f>IF(A219="","",INT((DAY(A219)-1)/7)+1)</f>
        <v/>
      </c>
      <c r="C219" s="9" t="n"/>
      <c r="D219" s="9" t="n"/>
      <c r="E219" s="9" t="n"/>
      <c r="F219" s="9" t="n"/>
      <c r="G219" s="9" t="n"/>
      <c r="H219" s="9" t="n"/>
      <c r="I219" s="9" t="n"/>
      <c r="J219" s="3" t="n"/>
      <c r="K219" s="9" t="n"/>
    </row>
    <row r="220">
      <c r="A220" s="4" t="n"/>
      <c r="B220" s="9">
        <f>IF(A220="","",INT((DAY(A220)-1)/7)+1)</f>
        <v/>
      </c>
      <c r="C220" s="9" t="n"/>
      <c r="D220" s="9" t="n"/>
      <c r="E220" s="9" t="n"/>
      <c r="F220" s="9" t="n"/>
      <c r="G220" s="9" t="n"/>
      <c r="H220" s="9" t="n"/>
      <c r="I220" s="9" t="n"/>
      <c r="J220" s="3" t="n"/>
      <c r="K220" s="9" t="n"/>
    </row>
    <row r="221">
      <c r="A221" s="4" t="n"/>
      <c r="B221" s="9">
        <f>IF(A221="","",INT((DAY(A221)-1)/7)+1)</f>
        <v/>
      </c>
      <c r="C221" s="9" t="n"/>
      <c r="D221" s="9" t="n"/>
      <c r="E221" s="9" t="n"/>
      <c r="F221" s="9" t="n"/>
      <c r="G221" s="9" t="n"/>
      <c r="H221" s="9" t="n"/>
      <c r="I221" s="9" t="n"/>
      <c r="J221" s="3" t="n"/>
      <c r="K221" s="9" t="n"/>
    </row>
    <row r="222">
      <c r="A222" s="4" t="n"/>
      <c r="B222" s="9">
        <f>IF(A222="","",INT((DAY(A222)-1)/7)+1)</f>
        <v/>
      </c>
      <c r="C222" s="9" t="n"/>
      <c r="D222" s="9" t="n"/>
      <c r="E222" s="9" t="n"/>
      <c r="F222" s="9" t="n"/>
      <c r="G222" s="9" t="n"/>
      <c r="H222" s="9" t="n"/>
      <c r="I222" s="9" t="n"/>
      <c r="J222" s="3" t="n"/>
      <c r="K222" s="9" t="n"/>
    </row>
    <row r="223">
      <c r="A223" s="4" t="n"/>
      <c r="B223" s="9">
        <f>IF(A223="","",INT((DAY(A223)-1)/7)+1)</f>
        <v/>
      </c>
      <c r="C223" s="9" t="n"/>
      <c r="D223" s="9" t="n"/>
      <c r="E223" s="9" t="n"/>
      <c r="F223" s="9" t="n"/>
      <c r="G223" s="9" t="n"/>
      <c r="H223" s="9" t="n"/>
      <c r="I223" s="9" t="n"/>
      <c r="J223" s="3" t="n"/>
      <c r="K223" s="9" t="n"/>
    </row>
    <row r="224">
      <c r="A224" s="4" t="n"/>
      <c r="B224" s="9">
        <f>IF(A224="","",INT((DAY(A224)-1)/7)+1)</f>
        <v/>
      </c>
      <c r="C224" s="9" t="n"/>
      <c r="D224" s="9" t="n"/>
      <c r="E224" s="9" t="n"/>
      <c r="F224" s="9" t="n"/>
      <c r="G224" s="9" t="n"/>
      <c r="H224" s="9" t="n"/>
      <c r="I224" s="9" t="n"/>
      <c r="J224" s="3" t="n"/>
      <c r="K224" s="9" t="n"/>
    </row>
    <row r="225">
      <c r="A225" s="4" t="n"/>
      <c r="B225" s="9">
        <f>IF(A225="","",INT((DAY(A225)-1)/7)+1)</f>
        <v/>
      </c>
      <c r="C225" s="9" t="n"/>
      <c r="D225" s="9" t="n"/>
      <c r="E225" s="9" t="n"/>
      <c r="F225" s="9" t="n"/>
      <c r="G225" s="9" t="n"/>
      <c r="H225" s="9" t="n"/>
      <c r="I225" s="9" t="n"/>
      <c r="J225" s="3" t="n"/>
      <c r="K225" s="9" t="n"/>
    </row>
    <row r="226">
      <c r="A226" s="4" t="n"/>
      <c r="B226" s="9">
        <f>IF(A226="","",INT((DAY(A226)-1)/7)+1)</f>
        <v/>
      </c>
      <c r="C226" s="9" t="n"/>
      <c r="D226" s="9" t="n"/>
      <c r="E226" s="9" t="n"/>
      <c r="F226" s="9" t="n"/>
      <c r="G226" s="9" t="n"/>
      <c r="H226" s="9" t="n"/>
      <c r="I226" s="9" t="n"/>
      <c r="J226" s="3" t="n"/>
      <c r="K226" s="9" t="n"/>
    </row>
    <row r="227">
      <c r="A227" s="4" t="n"/>
      <c r="B227" s="9">
        <f>IF(A227="","",INT((DAY(A227)-1)/7)+1)</f>
        <v/>
      </c>
      <c r="C227" s="9" t="n"/>
      <c r="D227" s="9" t="n"/>
      <c r="E227" s="9" t="n"/>
      <c r="F227" s="9" t="n"/>
      <c r="G227" s="9" t="n"/>
      <c r="H227" s="9" t="n"/>
      <c r="I227" s="9" t="n"/>
      <c r="J227" s="3" t="n"/>
      <c r="K227" s="9" t="n"/>
    </row>
    <row r="228">
      <c r="A228" s="4" t="n"/>
      <c r="B228" s="9">
        <f>IF(A228="","",INT((DAY(A228)-1)/7)+1)</f>
        <v/>
      </c>
      <c r="C228" s="9" t="n"/>
      <c r="D228" s="9" t="n"/>
      <c r="E228" s="9" t="n"/>
      <c r="F228" s="9" t="n"/>
      <c r="G228" s="9" t="n"/>
      <c r="H228" s="9" t="n"/>
      <c r="I228" s="9" t="n"/>
      <c r="J228" s="3" t="n"/>
      <c r="K228" s="9" t="n"/>
    </row>
    <row r="229">
      <c r="A229" s="4" t="n"/>
      <c r="B229" s="9">
        <f>IF(A229="","",INT((DAY(A229)-1)/7)+1)</f>
        <v/>
      </c>
      <c r="C229" s="9" t="n"/>
      <c r="D229" s="9" t="n"/>
      <c r="E229" s="9" t="n"/>
      <c r="F229" s="9" t="n"/>
      <c r="G229" s="9" t="n"/>
      <c r="H229" s="9" t="n"/>
      <c r="I229" s="9" t="n"/>
      <c r="J229" s="3" t="n"/>
      <c r="K229" s="9" t="n"/>
    </row>
    <row r="230">
      <c r="A230" s="4" t="n"/>
      <c r="B230" s="9">
        <f>IF(A230="","",INT((DAY(A230)-1)/7)+1)</f>
        <v/>
      </c>
      <c r="C230" s="9" t="n"/>
      <c r="D230" s="9" t="n"/>
      <c r="E230" s="9" t="n"/>
      <c r="F230" s="9" t="n"/>
      <c r="G230" s="9" t="n"/>
      <c r="H230" s="9" t="n"/>
      <c r="I230" s="9" t="n"/>
      <c r="J230" s="3" t="n"/>
      <c r="K230" s="9" t="n"/>
    </row>
    <row r="231">
      <c r="A231" s="4" t="n"/>
      <c r="B231" s="9">
        <f>IF(A231="","",INT((DAY(A231)-1)/7)+1)</f>
        <v/>
      </c>
      <c r="C231" s="9" t="n"/>
      <c r="D231" s="9" t="n"/>
      <c r="E231" s="9" t="n"/>
      <c r="F231" s="9" t="n"/>
      <c r="G231" s="9" t="n"/>
      <c r="H231" s="9" t="n"/>
      <c r="I231" s="9" t="n"/>
      <c r="J231" s="3" t="n"/>
      <c r="K231" s="9" t="n"/>
    </row>
    <row r="232">
      <c r="A232" s="4" t="n"/>
      <c r="B232" s="9">
        <f>IF(A232="","",INT((DAY(A232)-1)/7)+1)</f>
        <v/>
      </c>
      <c r="C232" s="9" t="n"/>
      <c r="D232" s="9" t="n"/>
      <c r="E232" s="9" t="n"/>
      <c r="F232" s="9" t="n"/>
      <c r="G232" s="9" t="n"/>
      <c r="H232" s="9" t="n"/>
      <c r="I232" s="9" t="n"/>
      <c r="J232" s="3" t="n"/>
      <c r="K232" s="9" t="n"/>
    </row>
    <row r="233">
      <c r="A233" s="4" t="n"/>
      <c r="B233" s="9">
        <f>IF(A233="","",INT((DAY(A233)-1)/7)+1)</f>
        <v/>
      </c>
      <c r="C233" s="9" t="n"/>
      <c r="D233" s="9" t="n"/>
      <c r="E233" s="9" t="n"/>
      <c r="F233" s="9" t="n"/>
      <c r="G233" s="9" t="n"/>
      <c r="H233" s="9" t="n"/>
      <c r="I233" s="9" t="n"/>
      <c r="J233" s="3" t="n"/>
      <c r="K233" s="9" t="n"/>
    </row>
    <row r="234">
      <c r="A234" s="4" t="n"/>
      <c r="B234" s="9">
        <f>IF(A234="","",INT((DAY(A234)-1)/7)+1)</f>
        <v/>
      </c>
      <c r="C234" s="9" t="n"/>
      <c r="D234" s="9" t="n"/>
      <c r="E234" s="9" t="n"/>
      <c r="F234" s="9" t="n"/>
      <c r="G234" s="9" t="n"/>
      <c r="H234" s="9" t="n"/>
      <c r="I234" s="9" t="n"/>
      <c r="J234" s="3" t="n"/>
      <c r="K234" s="9" t="n"/>
    </row>
    <row r="235">
      <c r="A235" s="4" t="n"/>
      <c r="B235" s="9">
        <f>IF(A235="","",INT((DAY(A235)-1)/7)+1)</f>
        <v/>
      </c>
      <c r="C235" s="9" t="n"/>
      <c r="D235" s="9" t="n"/>
      <c r="E235" s="9" t="n"/>
      <c r="F235" s="9" t="n"/>
      <c r="G235" s="9" t="n"/>
      <c r="H235" s="9" t="n"/>
      <c r="I235" s="9" t="n"/>
      <c r="J235" s="3" t="n"/>
      <c r="K235" s="9" t="n"/>
    </row>
    <row r="236">
      <c r="A236" s="4" t="n"/>
      <c r="B236" s="9">
        <f>IF(A236="","",INT((DAY(A236)-1)/7)+1)</f>
        <v/>
      </c>
      <c r="C236" s="9" t="n"/>
      <c r="D236" s="9" t="n"/>
      <c r="E236" s="9" t="n"/>
      <c r="F236" s="9" t="n"/>
      <c r="G236" s="9" t="n"/>
      <c r="H236" s="9" t="n"/>
      <c r="I236" s="9" t="n"/>
      <c r="J236" s="3" t="n"/>
      <c r="K236" s="9" t="n"/>
    </row>
    <row r="237">
      <c r="A237" s="4" t="n"/>
      <c r="B237" s="9">
        <f>IF(A237="","",INT((DAY(A237)-1)/7)+1)</f>
        <v/>
      </c>
      <c r="C237" s="9" t="n"/>
      <c r="D237" s="9" t="n"/>
      <c r="E237" s="9" t="n"/>
      <c r="F237" s="9" t="n"/>
      <c r="G237" s="9" t="n"/>
      <c r="H237" s="9" t="n"/>
      <c r="I237" s="9" t="n"/>
      <c r="J237" s="3" t="n"/>
      <c r="K237" s="9" t="n"/>
    </row>
    <row r="238">
      <c r="A238" s="4" t="n"/>
      <c r="B238" s="9">
        <f>IF(A238="","",INT((DAY(A238)-1)/7)+1)</f>
        <v/>
      </c>
      <c r="C238" s="9" t="n"/>
      <c r="D238" s="9" t="n"/>
      <c r="E238" s="9" t="n"/>
      <c r="F238" s="9" t="n"/>
      <c r="G238" s="9" t="n"/>
      <c r="H238" s="9" t="n"/>
      <c r="I238" s="9" t="n"/>
      <c r="J238" s="3" t="n"/>
      <c r="K238" s="9" t="n"/>
    </row>
    <row r="239">
      <c r="A239" s="4" t="n"/>
      <c r="B239" s="9">
        <f>IF(A239="","",INT((DAY(A239)-1)/7)+1)</f>
        <v/>
      </c>
      <c r="C239" s="9" t="n"/>
      <c r="D239" s="9" t="n"/>
      <c r="E239" s="9" t="n"/>
      <c r="F239" s="9" t="n"/>
      <c r="G239" s="9" t="n"/>
      <c r="H239" s="9" t="n"/>
      <c r="I239" s="9" t="n"/>
      <c r="J239" s="3" t="n"/>
      <c r="K239" s="9" t="n"/>
    </row>
    <row r="240">
      <c r="A240" s="4" t="n"/>
      <c r="B240" s="9">
        <f>IF(A240="","",INT((DAY(A240)-1)/7)+1)</f>
        <v/>
      </c>
      <c r="C240" s="9" t="n"/>
      <c r="D240" s="9" t="n"/>
      <c r="E240" s="9" t="n"/>
      <c r="F240" s="9" t="n"/>
      <c r="G240" s="9" t="n"/>
      <c r="H240" s="9" t="n"/>
      <c r="I240" s="9" t="n"/>
      <c r="J240" s="3" t="n"/>
      <c r="K240" s="9" t="n"/>
    </row>
    <row r="241">
      <c r="A241" s="4" t="n"/>
      <c r="B241" s="9">
        <f>IF(A241="","",INT((DAY(A241)-1)/7)+1)</f>
        <v/>
      </c>
      <c r="C241" s="9" t="n"/>
      <c r="D241" s="9" t="n"/>
      <c r="E241" s="9" t="n"/>
      <c r="F241" s="9" t="n"/>
      <c r="G241" s="9" t="n"/>
      <c r="H241" s="9" t="n"/>
      <c r="I241" s="9" t="n"/>
      <c r="J241" s="3" t="n"/>
      <c r="K241" s="9" t="n"/>
    </row>
    <row r="242">
      <c r="A242" s="4" t="n"/>
      <c r="B242" s="9">
        <f>IF(A242="","",INT((DAY(A242)-1)/7)+1)</f>
        <v/>
      </c>
      <c r="C242" s="9" t="n"/>
      <c r="D242" s="9" t="n"/>
      <c r="E242" s="9" t="n"/>
      <c r="F242" s="9" t="n"/>
      <c r="G242" s="9" t="n"/>
      <c r="H242" s="9" t="n"/>
      <c r="I242" s="9" t="n"/>
      <c r="J242" s="3" t="n"/>
      <c r="K242" s="9" t="n"/>
    </row>
    <row r="243">
      <c r="A243" s="4" t="n"/>
      <c r="B243" s="9">
        <f>IF(A243="","",INT((DAY(A243)-1)/7)+1)</f>
        <v/>
      </c>
      <c r="C243" s="9" t="n"/>
      <c r="D243" s="9" t="n"/>
      <c r="E243" s="9" t="n"/>
      <c r="F243" s="9" t="n"/>
      <c r="G243" s="9" t="n"/>
      <c r="H243" s="9" t="n"/>
      <c r="I243" s="9" t="n"/>
      <c r="J243" s="3" t="n"/>
      <c r="K243" s="9" t="n"/>
    </row>
    <row r="244">
      <c r="A244" s="4" t="n"/>
      <c r="B244" s="9">
        <f>IF(A244="","",INT((DAY(A244)-1)/7)+1)</f>
        <v/>
      </c>
      <c r="C244" s="9" t="n"/>
      <c r="D244" s="9" t="n"/>
      <c r="E244" s="9" t="n"/>
      <c r="F244" s="9" t="n"/>
      <c r="G244" s="9" t="n"/>
      <c r="H244" s="9" t="n"/>
      <c r="I244" s="9" t="n"/>
      <c r="J244" s="3" t="n"/>
      <c r="K244" s="9" t="n"/>
    </row>
    <row r="245">
      <c r="A245" s="4" t="n"/>
      <c r="B245" s="9">
        <f>IF(A245="","",INT((DAY(A245)-1)/7)+1)</f>
        <v/>
      </c>
      <c r="C245" s="9" t="n"/>
      <c r="D245" s="9" t="n"/>
      <c r="E245" s="9" t="n"/>
      <c r="F245" s="9" t="n"/>
      <c r="G245" s="9" t="n"/>
      <c r="H245" s="9" t="n"/>
      <c r="I245" s="9" t="n"/>
      <c r="J245" s="3" t="n"/>
      <c r="K245" s="9" t="n"/>
    </row>
    <row r="246">
      <c r="A246" s="4" t="n"/>
      <c r="B246" s="9">
        <f>IF(A246="","",INT((DAY(A246)-1)/7)+1)</f>
        <v/>
      </c>
      <c r="C246" s="9" t="n"/>
      <c r="D246" s="9" t="n"/>
      <c r="E246" s="9" t="n"/>
      <c r="F246" s="9" t="n"/>
      <c r="G246" s="9" t="n"/>
      <c r="H246" s="9" t="n"/>
      <c r="I246" s="9" t="n"/>
      <c r="J246" s="3" t="n"/>
      <c r="K246" s="9" t="n"/>
    </row>
    <row r="247">
      <c r="A247" s="4" t="n"/>
      <c r="B247" s="9">
        <f>IF(A247="","",INT((DAY(A247)-1)/7)+1)</f>
        <v/>
      </c>
      <c r="C247" s="9" t="n"/>
      <c r="D247" s="9" t="n"/>
      <c r="E247" s="9" t="n"/>
      <c r="F247" s="9" t="n"/>
      <c r="G247" s="9" t="n"/>
      <c r="H247" s="9" t="n"/>
      <c r="I247" s="9" t="n"/>
      <c r="J247" s="3" t="n"/>
      <c r="K247" s="9" t="n"/>
    </row>
    <row r="248">
      <c r="A248" s="4" t="n"/>
      <c r="B248" s="9">
        <f>IF(A248="","",INT((DAY(A248)-1)/7)+1)</f>
        <v/>
      </c>
      <c r="C248" s="9" t="n"/>
      <c r="D248" s="9" t="n"/>
      <c r="E248" s="9" t="n"/>
      <c r="F248" s="9" t="n"/>
      <c r="G248" s="9" t="n"/>
      <c r="H248" s="9" t="n"/>
      <c r="I248" s="9" t="n"/>
      <c r="J248" s="3" t="n"/>
      <c r="K248" s="9" t="n"/>
    </row>
    <row r="249">
      <c r="A249" s="4" t="n"/>
      <c r="B249" s="9">
        <f>IF(A249="","",INT((DAY(A249)-1)/7)+1)</f>
        <v/>
      </c>
      <c r="C249" s="9" t="n"/>
      <c r="D249" s="9" t="n"/>
      <c r="E249" s="9" t="n"/>
      <c r="F249" s="9" t="n"/>
      <c r="G249" s="9" t="n"/>
      <c r="H249" s="9" t="n"/>
      <c r="I249" s="9" t="n"/>
      <c r="J249" s="3" t="n"/>
      <c r="K249" s="9" t="n"/>
    </row>
    <row r="250">
      <c r="A250" s="4" t="n"/>
      <c r="B250" s="9">
        <f>IF(A250="","",INT((DAY(A250)-1)/7)+1)</f>
        <v/>
      </c>
      <c r="C250" s="9" t="n"/>
      <c r="D250" s="9" t="n"/>
      <c r="E250" s="9" t="n"/>
      <c r="F250" s="9" t="n"/>
      <c r="G250" s="9" t="n"/>
      <c r="H250" s="9" t="n"/>
      <c r="I250" s="9" t="n"/>
      <c r="J250" s="3" t="n"/>
      <c r="K250" s="9" t="n"/>
    </row>
    <row r="251">
      <c r="A251" s="4" t="n"/>
      <c r="B251" s="9">
        <f>IF(A251="","",INT((DAY(A251)-1)/7)+1)</f>
        <v/>
      </c>
      <c r="C251" s="9" t="n"/>
      <c r="D251" s="9" t="n"/>
      <c r="E251" s="9" t="n"/>
      <c r="F251" s="9" t="n"/>
      <c r="G251" s="9" t="n"/>
      <c r="H251" s="9" t="n"/>
      <c r="I251" s="9" t="n"/>
      <c r="J251" s="3" t="n"/>
      <c r="K251" s="9" t="n"/>
    </row>
    <row r="252">
      <c r="A252" s="4" t="n"/>
      <c r="B252" s="9">
        <f>IF(A252="","",INT((DAY(A252)-1)/7)+1)</f>
        <v/>
      </c>
      <c r="C252" s="9" t="n"/>
      <c r="D252" s="9" t="n"/>
      <c r="E252" s="9" t="n"/>
      <c r="F252" s="9" t="n"/>
      <c r="G252" s="9" t="n"/>
      <c r="H252" s="9" t="n"/>
      <c r="I252" s="9" t="n"/>
      <c r="J252" s="3" t="n"/>
      <c r="K252" s="9" t="n"/>
    </row>
    <row r="253">
      <c r="A253" s="4" t="n"/>
      <c r="B253" s="9">
        <f>IF(A253="","",INT((DAY(A253)-1)/7)+1)</f>
        <v/>
      </c>
      <c r="C253" s="9" t="n"/>
      <c r="D253" s="9" t="n"/>
      <c r="E253" s="9" t="n"/>
      <c r="F253" s="9" t="n"/>
      <c r="G253" s="9" t="n"/>
      <c r="H253" s="9" t="n"/>
      <c r="I253" s="9" t="n"/>
      <c r="J253" s="3" t="n"/>
      <c r="K253" s="9" t="n"/>
    </row>
    <row r="254">
      <c r="A254" s="4" t="n"/>
      <c r="B254" s="9">
        <f>IF(A254="","",INT((DAY(A254)-1)/7)+1)</f>
        <v/>
      </c>
      <c r="C254" s="9" t="n"/>
      <c r="D254" s="9" t="n"/>
      <c r="E254" s="9" t="n"/>
      <c r="F254" s="9" t="n"/>
      <c r="G254" s="9" t="n"/>
      <c r="H254" s="9" t="n"/>
      <c r="I254" s="9" t="n"/>
      <c r="J254" s="3" t="n"/>
      <c r="K254" s="9" t="n"/>
    </row>
    <row r="255">
      <c r="A255" s="4" t="n"/>
      <c r="B255" s="9">
        <f>IF(A255="","",INT((DAY(A255)-1)/7)+1)</f>
        <v/>
      </c>
      <c r="C255" s="9" t="n"/>
      <c r="D255" s="9" t="n"/>
      <c r="E255" s="9" t="n"/>
      <c r="F255" s="9" t="n"/>
      <c r="G255" s="9" t="n"/>
      <c r="H255" s="9" t="n"/>
      <c r="I255" s="9" t="n"/>
      <c r="J255" s="3" t="n"/>
      <c r="K255" s="9" t="n"/>
    </row>
    <row r="256">
      <c r="A256" s="4" t="n"/>
      <c r="B256" s="9">
        <f>IF(A256="","",INT((DAY(A256)-1)/7)+1)</f>
        <v/>
      </c>
      <c r="C256" s="9" t="n"/>
      <c r="D256" s="9" t="n"/>
      <c r="E256" s="9" t="n"/>
      <c r="F256" s="9" t="n"/>
      <c r="G256" s="9" t="n"/>
      <c r="H256" s="9" t="n"/>
      <c r="I256" s="9" t="n"/>
      <c r="J256" s="3" t="n"/>
      <c r="K256" s="9" t="n"/>
    </row>
    <row r="257">
      <c r="A257" s="4" t="n"/>
      <c r="B257" s="9">
        <f>IF(A257="","",INT((DAY(A257)-1)/7)+1)</f>
        <v/>
      </c>
      <c r="C257" s="9" t="n"/>
      <c r="D257" s="9" t="n"/>
      <c r="E257" s="9" t="n"/>
      <c r="F257" s="9" t="n"/>
      <c r="G257" s="9" t="n"/>
      <c r="H257" s="9" t="n"/>
      <c r="I257" s="9" t="n"/>
      <c r="J257" s="3" t="n"/>
      <c r="K257" s="9" t="n"/>
    </row>
    <row r="258">
      <c r="A258" s="4" t="n"/>
      <c r="B258" s="9">
        <f>IF(A258="","",INT((DAY(A258)-1)/7)+1)</f>
        <v/>
      </c>
      <c r="C258" s="9" t="n"/>
      <c r="D258" s="9" t="n"/>
      <c r="E258" s="9" t="n"/>
      <c r="F258" s="9" t="n"/>
      <c r="G258" s="9" t="n"/>
      <c r="H258" s="9" t="n"/>
      <c r="I258" s="9" t="n"/>
      <c r="J258" s="3" t="n"/>
      <c r="K258" s="9" t="n"/>
    </row>
    <row r="259">
      <c r="A259" s="4" t="n"/>
      <c r="B259" s="9">
        <f>IF(A259="","",INT((DAY(A259)-1)/7)+1)</f>
        <v/>
      </c>
      <c r="C259" s="9" t="n"/>
      <c r="D259" s="9" t="n"/>
      <c r="E259" s="9" t="n"/>
      <c r="F259" s="9" t="n"/>
      <c r="G259" s="9" t="n"/>
      <c r="H259" s="9" t="n"/>
      <c r="I259" s="9" t="n"/>
      <c r="J259" s="3" t="n"/>
      <c r="K259" s="9" t="n"/>
    </row>
    <row r="260">
      <c r="A260" s="4" t="n"/>
      <c r="B260" s="9">
        <f>IF(A260="","",INT((DAY(A260)-1)/7)+1)</f>
        <v/>
      </c>
      <c r="C260" s="9" t="n"/>
      <c r="D260" s="9" t="n"/>
      <c r="E260" s="9" t="n"/>
      <c r="F260" s="9" t="n"/>
      <c r="G260" s="9" t="n"/>
      <c r="H260" s="9" t="n"/>
      <c r="I260" s="9" t="n"/>
      <c r="J260" s="3" t="n"/>
      <c r="K260" s="9" t="n"/>
    </row>
    <row r="261">
      <c r="A261" s="4" t="n"/>
      <c r="B261" s="9">
        <f>IF(A261="","",INT((DAY(A261)-1)/7)+1)</f>
        <v/>
      </c>
      <c r="C261" s="9" t="n"/>
      <c r="D261" s="9" t="n"/>
      <c r="E261" s="9" t="n"/>
      <c r="F261" s="9" t="n"/>
      <c r="G261" s="9" t="n"/>
      <c r="H261" s="9" t="n"/>
      <c r="I261" s="9" t="n"/>
      <c r="J261" s="3" t="n"/>
      <c r="K261" s="9" t="n"/>
    </row>
    <row r="262">
      <c r="A262" s="4" t="n"/>
      <c r="B262" s="9">
        <f>IF(A262="","",INT((DAY(A262)-1)/7)+1)</f>
        <v/>
      </c>
      <c r="C262" s="9" t="n"/>
      <c r="D262" s="9" t="n"/>
      <c r="E262" s="9" t="n"/>
      <c r="F262" s="9" t="n"/>
      <c r="G262" s="9" t="n"/>
      <c r="H262" s="9" t="n"/>
      <c r="I262" s="9" t="n"/>
      <c r="J262" s="3" t="n"/>
      <c r="K262" s="9" t="n"/>
    </row>
    <row r="263">
      <c r="A263" s="4" t="n"/>
      <c r="B263" s="9">
        <f>IF(A263="","",INT((DAY(A263)-1)/7)+1)</f>
        <v/>
      </c>
      <c r="C263" s="9" t="n"/>
      <c r="D263" s="9" t="n"/>
      <c r="E263" s="9" t="n"/>
      <c r="F263" s="9" t="n"/>
      <c r="G263" s="9" t="n"/>
      <c r="H263" s="9" t="n"/>
      <c r="I263" s="9" t="n"/>
      <c r="J263" s="3" t="n"/>
      <c r="K263" s="9" t="n"/>
    </row>
    <row r="264">
      <c r="A264" s="4" t="n"/>
      <c r="B264" s="9">
        <f>IF(A264="","",INT((DAY(A264)-1)/7)+1)</f>
        <v/>
      </c>
      <c r="C264" s="9" t="n"/>
      <c r="D264" s="9" t="n"/>
      <c r="E264" s="9" t="n"/>
      <c r="F264" s="9" t="n"/>
      <c r="G264" s="9" t="n"/>
      <c r="H264" s="9" t="n"/>
      <c r="I264" s="9" t="n"/>
      <c r="J264" s="3" t="n"/>
      <c r="K264" s="9" t="n"/>
    </row>
    <row r="265">
      <c r="A265" s="4" t="n"/>
      <c r="B265" s="9">
        <f>IF(A265="","",INT((DAY(A265)-1)/7)+1)</f>
        <v/>
      </c>
      <c r="C265" s="9" t="n"/>
      <c r="D265" s="9" t="n"/>
      <c r="E265" s="9" t="n"/>
      <c r="F265" s="9" t="n"/>
      <c r="G265" s="9" t="n"/>
      <c r="H265" s="9" t="n"/>
      <c r="I265" s="9" t="n"/>
      <c r="J265" s="3" t="n"/>
      <c r="K265" s="9" t="n"/>
    </row>
    <row r="266">
      <c r="A266" s="4" t="n"/>
      <c r="B266" s="9">
        <f>IF(A266="","",INT((DAY(A266)-1)/7)+1)</f>
        <v/>
      </c>
      <c r="C266" s="9" t="n"/>
      <c r="D266" s="9" t="n"/>
      <c r="E266" s="9" t="n"/>
      <c r="F266" s="9" t="n"/>
      <c r="G266" s="9" t="n"/>
      <c r="H266" s="9" t="n"/>
      <c r="I266" s="9" t="n"/>
      <c r="J266" s="3" t="n"/>
      <c r="K266" s="9" t="n"/>
    </row>
    <row r="267">
      <c r="A267" s="4" t="n"/>
      <c r="B267" s="9">
        <f>IF(A267="","",INT((DAY(A267)-1)/7)+1)</f>
        <v/>
      </c>
      <c r="C267" s="9" t="n"/>
      <c r="D267" s="9" t="n"/>
      <c r="E267" s="9" t="n"/>
      <c r="F267" s="9" t="n"/>
      <c r="G267" s="9" t="n"/>
      <c r="H267" s="9" t="n"/>
      <c r="I267" s="9" t="n"/>
      <c r="J267" s="3" t="n"/>
      <c r="K267" s="9" t="n"/>
    </row>
    <row r="268">
      <c r="A268" s="4" t="n"/>
      <c r="B268" s="9">
        <f>IF(A268="","",INT((DAY(A268)-1)/7)+1)</f>
        <v/>
      </c>
      <c r="C268" s="9" t="n"/>
      <c r="D268" s="9" t="n"/>
      <c r="E268" s="9" t="n"/>
      <c r="F268" s="9" t="n"/>
      <c r="G268" s="9" t="n"/>
      <c r="H268" s="9" t="n"/>
      <c r="I268" s="9" t="n"/>
      <c r="J268" s="3" t="n"/>
      <c r="K268" s="9" t="n"/>
    </row>
    <row r="269">
      <c r="A269" s="4" t="n"/>
      <c r="B269" s="9">
        <f>IF(A269="","",INT((DAY(A269)-1)/7)+1)</f>
        <v/>
      </c>
      <c r="C269" s="9" t="n"/>
      <c r="D269" s="9" t="n"/>
      <c r="E269" s="9" t="n"/>
      <c r="F269" s="9" t="n"/>
      <c r="G269" s="9" t="n"/>
      <c r="H269" s="9" t="n"/>
      <c r="I269" s="9" t="n"/>
      <c r="J269" s="3" t="n"/>
      <c r="K269" s="9" t="n"/>
    </row>
    <row r="270">
      <c r="A270" s="4" t="n"/>
      <c r="B270" s="9">
        <f>IF(A270="","",INT((DAY(A270)-1)/7)+1)</f>
        <v/>
      </c>
      <c r="C270" s="9" t="n"/>
      <c r="D270" s="9" t="n"/>
      <c r="E270" s="9" t="n"/>
      <c r="F270" s="9" t="n"/>
      <c r="G270" s="9" t="n"/>
      <c r="H270" s="9" t="n"/>
      <c r="I270" s="9" t="n"/>
      <c r="J270" s="3" t="n"/>
      <c r="K270" s="9" t="n"/>
    </row>
    <row r="271">
      <c r="A271" s="4" t="n"/>
      <c r="B271" s="9">
        <f>IF(A271="","",INT((DAY(A271)-1)/7)+1)</f>
        <v/>
      </c>
      <c r="C271" s="9" t="n"/>
      <c r="D271" s="9" t="n"/>
      <c r="E271" s="9" t="n"/>
      <c r="F271" s="9" t="n"/>
      <c r="G271" s="9" t="n"/>
      <c r="H271" s="9" t="n"/>
      <c r="I271" s="9" t="n"/>
      <c r="J271" s="3" t="n"/>
      <c r="K271" s="9" t="n"/>
    </row>
    <row r="272">
      <c r="A272" s="4" t="n"/>
      <c r="B272" s="9">
        <f>IF(A272="","",INT((DAY(A272)-1)/7)+1)</f>
        <v/>
      </c>
      <c r="C272" s="9" t="n"/>
      <c r="D272" s="9" t="n"/>
      <c r="E272" s="9" t="n"/>
      <c r="F272" s="9" t="n"/>
      <c r="G272" s="9" t="n"/>
      <c r="H272" s="9" t="n"/>
      <c r="I272" s="9" t="n"/>
      <c r="J272" s="3" t="n"/>
      <c r="K272" s="9" t="n"/>
    </row>
    <row r="273">
      <c r="A273" s="4" t="n"/>
      <c r="B273" s="9">
        <f>IF(A273="","",INT((DAY(A273)-1)/7)+1)</f>
        <v/>
      </c>
      <c r="C273" s="9" t="n"/>
      <c r="D273" s="9" t="n"/>
      <c r="E273" s="9" t="n"/>
      <c r="F273" s="9" t="n"/>
      <c r="G273" s="9" t="n"/>
      <c r="H273" s="9" t="n"/>
      <c r="I273" s="9" t="n"/>
      <c r="J273" s="3" t="n"/>
      <c r="K273" s="9" t="n"/>
    </row>
    <row r="274">
      <c r="A274" s="4" t="n"/>
      <c r="B274" s="9">
        <f>IF(A274="","",INT((DAY(A274)-1)/7)+1)</f>
        <v/>
      </c>
      <c r="C274" s="9" t="n"/>
      <c r="D274" s="9" t="n"/>
      <c r="E274" s="9" t="n"/>
      <c r="F274" s="9" t="n"/>
      <c r="G274" s="9" t="n"/>
      <c r="H274" s="9" t="n"/>
      <c r="I274" s="9" t="n"/>
      <c r="J274" s="3" t="n"/>
      <c r="K274" s="9" t="n"/>
    </row>
    <row r="275">
      <c r="A275" s="4" t="n"/>
      <c r="B275" s="9">
        <f>IF(A275="","",INT((DAY(A275)-1)/7)+1)</f>
        <v/>
      </c>
      <c r="C275" s="9" t="n"/>
      <c r="D275" s="9" t="n"/>
      <c r="E275" s="9" t="n"/>
      <c r="F275" s="9" t="n"/>
      <c r="G275" s="9" t="n"/>
      <c r="H275" s="9" t="n"/>
      <c r="I275" s="9" t="n"/>
      <c r="J275" s="3" t="n"/>
      <c r="K275" s="9" t="n"/>
    </row>
    <row r="276">
      <c r="A276" s="4" t="n"/>
      <c r="B276" s="9">
        <f>IF(A276="","",INT((DAY(A276)-1)/7)+1)</f>
        <v/>
      </c>
      <c r="C276" s="9" t="n"/>
      <c r="D276" s="9" t="n"/>
      <c r="E276" s="9" t="n"/>
      <c r="F276" s="9" t="n"/>
      <c r="G276" s="9" t="n"/>
      <c r="H276" s="9" t="n"/>
      <c r="I276" s="9" t="n"/>
      <c r="J276" s="3" t="n"/>
      <c r="K276" s="9" t="n"/>
    </row>
    <row r="277">
      <c r="A277" s="4" t="n"/>
      <c r="B277" s="9">
        <f>IF(A277="","",INT((DAY(A277)-1)/7)+1)</f>
        <v/>
      </c>
      <c r="C277" s="9" t="n"/>
      <c r="D277" s="9" t="n"/>
      <c r="E277" s="9" t="n"/>
      <c r="F277" s="9" t="n"/>
      <c r="G277" s="9" t="n"/>
      <c r="H277" s="9" t="n"/>
      <c r="I277" s="9" t="n"/>
      <c r="J277" s="3" t="n"/>
      <c r="K277" s="9" t="n"/>
    </row>
    <row r="278">
      <c r="A278" s="4" t="n"/>
      <c r="B278" s="9">
        <f>IF(A278="","",INT((DAY(A278)-1)/7)+1)</f>
        <v/>
      </c>
      <c r="C278" s="9" t="n"/>
      <c r="D278" s="9" t="n"/>
      <c r="E278" s="9" t="n"/>
      <c r="F278" s="9" t="n"/>
      <c r="G278" s="9" t="n"/>
      <c r="H278" s="9" t="n"/>
      <c r="I278" s="9" t="n"/>
      <c r="J278" s="3" t="n"/>
      <c r="K278" s="9" t="n"/>
    </row>
    <row r="279">
      <c r="A279" s="4" t="n"/>
      <c r="B279" s="9">
        <f>IF(A279="","",INT((DAY(A279)-1)/7)+1)</f>
        <v/>
      </c>
      <c r="C279" s="9" t="n"/>
      <c r="D279" s="9" t="n"/>
      <c r="E279" s="9" t="n"/>
      <c r="F279" s="9" t="n"/>
      <c r="G279" s="9" t="n"/>
      <c r="H279" s="9" t="n"/>
      <c r="I279" s="9" t="n"/>
      <c r="J279" s="3" t="n"/>
      <c r="K279" s="9" t="n"/>
    </row>
    <row r="280">
      <c r="A280" s="4" t="n"/>
      <c r="B280" s="9">
        <f>IF(A280="","",INT((DAY(A280)-1)/7)+1)</f>
        <v/>
      </c>
      <c r="C280" s="9" t="n"/>
      <c r="D280" s="9" t="n"/>
      <c r="E280" s="9" t="n"/>
      <c r="F280" s="9" t="n"/>
      <c r="G280" s="9" t="n"/>
      <c r="H280" s="9" t="n"/>
      <c r="I280" s="9" t="n"/>
      <c r="J280" s="3" t="n"/>
      <c r="K280" s="9" t="n"/>
    </row>
    <row r="281">
      <c r="A281" s="4" t="n"/>
      <c r="B281" s="9">
        <f>IF(A281="","",INT((DAY(A281)-1)/7)+1)</f>
        <v/>
      </c>
      <c r="C281" s="9" t="n"/>
      <c r="D281" s="9" t="n"/>
      <c r="E281" s="9" t="n"/>
      <c r="F281" s="9" t="n"/>
      <c r="G281" s="9" t="n"/>
      <c r="H281" s="9" t="n"/>
      <c r="I281" s="9" t="n"/>
      <c r="J281" s="3" t="n"/>
      <c r="K281" s="9" t="n"/>
    </row>
    <row r="282">
      <c r="A282" s="4" t="n"/>
      <c r="B282" s="9">
        <f>IF(A282="","",INT((DAY(A282)-1)/7)+1)</f>
        <v/>
      </c>
      <c r="C282" s="9" t="n"/>
      <c r="D282" s="9" t="n"/>
      <c r="E282" s="9" t="n"/>
      <c r="F282" s="9" t="n"/>
      <c r="G282" s="9" t="n"/>
      <c r="H282" s="9" t="n"/>
      <c r="I282" s="9" t="n"/>
      <c r="J282" s="3" t="n"/>
      <c r="K282" s="9" t="n"/>
    </row>
    <row r="283">
      <c r="A283" s="4" t="n"/>
      <c r="B283" s="9">
        <f>IF(A283="","",INT((DAY(A283)-1)/7)+1)</f>
        <v/>
      </c>
      <c r="C283" s="9" t="n"/>
      <c r="D283" s="9" t="n"/>
      <c r="E283" s="9" t="n"/>
      <c r="F283" s="9" t="n"/>
      <c r="G283" s="9" t="n"/>
      <c r="H283" s="9" t="n"/>
      <c r="I283" s="9" t="n"/>
      <c r="J283" s="3" t="n"/>
      <c r="K283" s="9" t="n"/>
    </row>
    <row r="284">
      <c r="A284" s="4" t="n"/>
      <c r="B284" s="9">
        <f>IF(A284="","",INT((DAY(A284)-1)/7)+1)</f>
        <v/>
      </c>
      <c r="C284" s="9" t="n"/>
      <c r="D284" s="9" t="n"/>
      <c r="E284" s="9" t="n"/>
      <c r="F284" s="9" t="n"/>
      <c r="G284" s="9" t="n"/>
      <c r="H284" s="9" t="n"/>
      <c r="I284" s="9" t="n"/>
      <c r="J284" s="3" t="n"/>
      <c r="K284" s="9" t="n"/>
    </row>
    <row r="285">
      <c r="A285" s="4" t="n"/>
      <c r="B285" s="9">
        <f>IF(A285="","",INT((DAY(A285)-1)/7)+1)</f>
        <v/>
      </c>
      <c r="C285" s="9" t="n"/>
      <c r="D285" s="9" t="n"/>
      <c r="E285" s="9" t="n"/>
      <c r="F285" s="9" t="n"/>
      <c r="G285" s="9" t="n"/>
      <c r="H285" s="9" t="n"/>
      <c r="I285" s="9" t="n"/>
      <c r="J285" s="3" t="n"/>
      <c r="K285" s="9" t="n"/>
    </row>
    <row r="286">
      <c r="A286" s="4" t="n"/>
      <c r="B286" s="9">
        <f>IF(A286="","",INT((DAY(A286)-1)/7)+1)</f>
        <v/>
      </c>
      <c r="C286" s="9" t="n"/>
      <c r="D286" s="9" t="n"/>
      <c r="E286" s="9" t="n"/>
      <c r="F286" s="9" t="n"/>
      <c r="G286" s="9" t="n"/>
      <c r="H286" s="9" t="n"/>
      <c r="I286" s="9" t="n"/>
      <c r="J286" s="3" t="n"/>
      <c r="K286" s="9" t="n"/>
    </row>
    <row r="287">
      <c r="A287" s="4" t="n"/>
      <c r="B287" s="9">
        <f>IF(A287="","",INT((DAY(A287)-1)/7)+1)</f>
        <v/>
      </c>
      <c r="C287" s="9" t="n"/>
      <c r="D287" s="9" t="n"/>
      <c r="E287" s="9" t="n"/>
      <c r="F287" s="9" t="n"/>
      <c r="G287" s="9" t="n"/>
      <c r="H287" s="9" t="n"/>
      <c r="I287" s="9" t="n"/>
      <c r="J287" s="3" t="n"/>
      <c r="K287" s="9" t="n"/>
    </row>
    <row r="288">
      <c r="A288" s="4" t="n"/>
      <c r="B288" s="9">
        <f>IF(A288="","",INT((DAY(A288)-1)/7)+1)</f>
        <v/>
      </c>
      <c r="C288" s="9" t="n"/>
      <c r="D288" s="9" t="n"/>
      <c r="E288" s="9" t="n"/>
      <c r="F288" s="9" t="n"/>
      <c r="G288" s="9" t="n"/>
      <c r="H288" s="9" t="n"/>
      <c r="I288" s="9" t="n"/>
      <c r="J288" s="3" t="n"/>
      <c r="K288" s="9" t="n"/>
    </row>
    <row r="289">
      <c r="A289" s="4" t="n"/>
      <c r="B289" s="9">
        <f>IF(A289="","",INT((DAY(A289)-1)/7)+1)</f>
        <v/>
      </c>
      <c r="C289" s="9" t="n"/>
      <c r="D289" s="9" t="n"/>
      <c r="E289" s="9" t="n"/>
      <c r="F289" s="9" t="n"/>
      <c r="G289" s="9" t="n"/>
      <c r="H289" s="9" t="n"/>
      <c r="I289" s="9" t="n"/>
      <c r="J289" s="3" t="n"/>
      <c r="K289" s="9" t="n"/>
    </row>
    <row r="290">
      <c r="A290" s="4" t="n"/>
      <c r="B290" s="9">
        <f>IF(A290="","",INT((DAY(A290)-1)/7)+1)</f>
        <v/>
      </c>
      <c r="C290" s="9" t="n"/>
      <c r="D290" s="9" t="n"/>
      <c r="E290" s="9" t="n"/>
      <c r="F290" s="9" t="n"/>
      <c r="G290" s="9" t="n"/>
      <c r="H290" s="9" t="n"/>
      <c r="I290" s="9" t="n"/>
      <c r="J290" s="3" t="n"/>
      <c r="K290" s="9" t="n"/>
    </row>
    <row r="291">
      <c r="A291" s="4" t="n"/>
      <c r="B291" s="9">
        <f>IF(A291="","",INT((DAY(A291)-1)/7)+1)</f>
        <v/>
      </c>
      <c r="C291" s="9" t="n"/>
      <c r="D291" s="9" t="n"/>
      <c r="E291" s="9" t="n"/>
      <c r="F291" s="9" t="n"/>
      <c r="G291" s="9" t="n"/>
      <c r="H291" s="9" t="n"/>
      <c r="I291" s="9" t="n"/>
      <c r="J291" s="3" t="n"/>
      <c r="K291" s="9" t="n"/>
    </row>
    <row r="292">
      <c r="A292" s="4" t="n"/>
      <c r="B292" s="9">
        <f>IF(A292="","",INT((DAY(A292)-1)/7)+1)</f>
        <v/>
      </c>
      <c r="C292" s="9" t="n"/>
      <c r="D292" s="9" t="n"/>
      <c r="E292" s="9" t="n"/>
      <c r="F292" s="9" t="n"/>
      <c r="G292" s="9" t="n"/>
      <c r="H292" s="9" t="n"/>
      <c r="I292" s="9" t="n"/>
      <c r="J292" s="3" t="n"/>
      <c r="K292" s="9" t="n"/>
    </row>
    <row r="293">
      <c r="A293" s="4" t="n"/>
      <c r="B293" s="9">
        <f>IF(A293="","",INT((DAY(A293)-1)/7)+1)</f>
        <v/>
      </c>
      <c r="C293" s="9" t="n"/>
      <c r="D293" s="9" t="n"/>
      <c r="E293" s="9" t="n"/>
      <c r="F293" s="9" t="n"/>
      <c r="G293" s="9" t="n"/>
      <c r="H293" s="9" t="n"/>
      <c r="I293" s="9" t="n"/>
      <c r="J293" s="3" t="n"/>
      <c r="K293" s="9" t="n"/>
    </row>
    <row r="294">
      <c r="A294" s="4" t="n"/>
      <c r="B294" s="9">
        <f>IF(A294="","",INT((DAY(A294)-1)/7)+1)</f>
        <v/>
      </c>
      <c r="C294" s="9" t="n"/>
      <c r="D294" s="9" t="n"/>
      <c r="E294" s="9" t="n"/>
      <c r="F294" s="9" t="n"/>
      <c r="G294" s="9" t="n"/>
      <c r="H294" s="9" t="n"/>
      <c r="I294" s="9" t="n"/>
      <c r="J294" s="3" t="n"/>
      <c r="K294" s="9" t="n"/>
    </row>
    <row r="295">
      <c r="A295" s="4" t="n"/>
      <c r="B295" s="9">
        <f>IF(A295="","",INT((DAY(A295)-1)/7)+1)</f>
        <v/>
      </c>
      <c r="C295" s="9" t="n"/>
      <c r="D295" s="9" t="n"/>
      <c r="E295" s="9" t="n"/>
      <c r="F295" s="9" t="n"/>
      <c r="G295" s="9" t="n"/>
      <c r="H295" s="9" t="n"/>
      <c r="I295" s="9" t="n"/>
      <c r="J295" s="3" t="n"/>
      <c r="K295" s="9" t="n"/>
    </row>
    <row r="296">
      <c r="A296" s="4" t="n"/>
      <c r="B296" s="9">
        <f>IF(A296="","",INT((DAY(A296)-1)/7)+1)</f>
        <v/>
      </c>
      <c r="C296" s="9" t="n"/>
      <c r="D296" s="9" t="n"/>
      <c r="E296" s="9" t="n"/>
      <c r="F296" s="9" t="n"/>
      <c r="G296" s="9" t="n"/>
      <c r="H296" s="9" t="n"/>
      <c r="I296" s="9" t="n"/>
      <c r="J296" s="3" t="n"/>
      <c r="K296" s="9" t="n"/>
    </row>
    <row r="297">
      <c r="A297" s="4" t="n"/>
      <c r="B297" s="9">
        <f>IF(A297="","",INT((DAY(A297)-1)/7)+1)</f>
        <v/>
      </c>
      <c r="C297" s="9" t="n"/>
      <c r="D297" s="9" t="n"/>
      <c r="E297" s="9" t="n"/>
      <c r="F297" s="9" t="n"/>
      <c r="G297" s="9" t="n"/>
      <c r="H297" s="9" t="n"/>
      <c r="I297" s="9" t="n"/>
      <c r="J297" s="3" t="n"/>
      <c r="K297" s="9" t="n"/>
    </row>
    <row r="298">
      <c r="A298" s="4" t="n"/>
      <c r="B298" s="9">
        <f>IF(A298="","",INT((DAY(A298)-1)/7)+1)</f>
        <v/>
      </c>
      <c r="C298" s="9" t="n"/>
      <c r="D298" s="9" t="n"/>
      <c r="E298" s="9" t="n"/>
      <c r="F298" s="9" t="n"/>
      <c r="G298" s="9" t="n"/>
      <c r="H298" s="9" t="n"/>
      <c r="I298" s="9" t="n"/>
      <c r="J298" s="3" t="n"/>
      <c r="K298" s="9" t="n"/>
    </row>
    <row r="299">
      <c r="A299" s="4" t="n"/>
      <c r="B299" s="9">
        <f>IF(A299="","",INT((DAY(A299)-1)/7)+1)</f>
        <v/>
      </c>
      <c r="C299" s="9" t="n"/>
      <c r="D299" s="9" t="n"/>
      <c r="E299" s="9" t="n"/>
      <c r="F299" s="9" t="n"/>
      <c r="G299" s="9" t="n"/>
      <c r="H299" s="9" t="n"/>
      <c r="I299" s="9" t="n"/>
      <c r="J299" s="3" t="n"/>
      <c r="K299" s="9" t="n"/>
    </row>
    <row r="300">
      <c r="A300" s="4" t="n"/>
      <c r="B300" s="9">
        <f>IF(A300="","",INT((DAY(A300)-1)/7)+1)</f>
        <v/>
      </c>
      <c r="C300" s="9" t="n"/>
      <c r="D300" s="9" t="n"/>
      <c r="E300" s="9" t="n"/>
      <c r="F300" s="9" t="n"/>
      <c r="G300" s="9" t="n"/>
      <c r="H300" s="9" t="n"/>
      <c r="I300" s="9" t="n"/>
      <c r="J300" s="3" t="n"/>
      <c r="K300" s="9" t="n"/>
    </row>
    <row r="301">
      <c r="A301" s="4" t="n"/>
      <c r="B301" s="9">
        <f>IF(A301="","",INT((DAY(A301)-1)/7)+1)</f>
        <v/>
      </c>
      <c r="C301" s="9" t="n"/>
      <c r="D301" s="9" t="n"/>
      <c r="E301" s="9" t="n"/>
      <c r="F301" s="9" t="n"/>
      <c r="G301" s="9" t="n"/>
      <c r="H301" s="9" t="n"/>
      <c r="I301" s="9" t="n"/>
      <c r="J301" s="3" t="n"/>
      <c r="K301" s="9" t="n"/>
    </row>
    <row r="302">
      <c r="A302" s="4" t="n"/>
      <c r="B302" s="9">
        <f>IF(A302="","",INT((DAY(A302)-1)/7)+1)</f>
        <v/>
      </c>
      <c r="C302" s="9" t="n"/>
      <c r="D302" s="9" t="n"/>
      <c r="E302" s="9" t="n"/>
      <c r="F302" s="9" t="n"/>
      <c r="G302" s="9" t="n"/>
      <c r="H302" s="9" t="n"/>
      <c r="I302" s="9" t="n"/>
      <c r="J302" s="3" t="n"/>
      <c r="K302" s="9" t="n"/>
    </row>
    <row r="303">
      <c r="A303" s="4" t="n"/>
      <c r="B303" s="9">
        <f>IF(A303="","",INT((DAY(A303)-1)/7)+1)</f>
        <v/>
      </c>
      <c r="C303" s="9" t="n"/>
      <c r="D303" s="9" t="n"/>
      <c r="E303" s="9" t="n"/>
      <c r="F303" s="9" t="n"/>
      <c r="G303" s="9" t="n"/>
      <c r="H303" s="9" t="n"/>
      <c r="I303" s="9" t="n"/>
      <c r="J303" s="3" t="n"/>
      <c r="K303" s="9" t="n"/>
    </row>
    <row r="304">
      <c r="A304" s="4" t="n"/>
      <c r="B304" s="9">
        <f>IF(A304="","",INT((DAY(A304)-1)/7)+1)</f>
        <v/>
      </c>
      <c r="C304" s="9" t="n"/>
      <c r="D304" s="9" t="n"/>
      <c r="E304" s="9" t="n"/>
      <c r="F304" s="9" t="n"/>
      <c r="G304" s="9" t="n"/>
      <c r="H304" s="9" t="n"/>
      <c r="I304" s="9" t="n"/>
      <c r="J304" s="3" t="n"/>
      <c r="K304" s="9" t="n"/>
    </row>
    <row r="305">
      <c r="A305" s="4" t="n"/>
      <c r="B305" s="9">
        <f>IF(A305="","",INT((DAY(A305)-1)/7)+1)</f>
        <v/>
      </c>
      <c r="C305" s="9" t="n"/>
      <c r="D305" s="9" t="n"/>
      <c r="E305" s="9" t="n"/>
      <c r="F305" s="9" t="n"/>
      <c r="G305" s="9" t="n"/>
      <c r="H305" s="9" t="n"/>
      <c r="I305" s="9" t="n"/>
      <c r="J305" s="3" t="n"/>
      <c r="K305" s="9" t="n"/>
    </row>
    <row r="306">
      <c r="A306" s="4" t="n"/>
      <c r="B306" s="9">
        <f>IF(A306="","",INT((DAY(A306)-1)/7)+1)</f>
        <v/>
      </c>
      <c r="C306" s="9" t="n"/>
      <c r="D306" s="9" t="n"/>
      <c r="E306" s="9" t="n"/>
      <c r="F306" s="9" t="n"/>
      <c r="G306" s="9" t="n"/>
      <c r="H306" s="9" t="n"/>
      <c r="I306" s="9" t="n"/>
      <c r="J306" s="3" t="n"/>
      <c r="K306" s="9" t="n"/>
    </row>
    <row r="307">
      <c r="A307" s="4" t="n"/>
      <c r="B307" s="9">
        <f>IF(A307="","",INT((DAY(A307)-1)/7)+1)</f>
        <v/>
      </c>
      <c r="C307" s="9" t="n"/>
      <c r="D307" s="9" t="n"/>
      <c r="E307" s="9" t="n"/>
      <c r="F307" s="9" t="n"/>
      <c r="G307" s="9" t="n"/>
      <c r="H307" s="9" t="n"/>
      <c r="I307" s="9" t="n"/>
      <c r="J307" s="3" t="n"/>
      <c r="K307" s="9" t="n"/>
    </row>
    <row r="308">
      <c r="A308" s="4" t="n"/>
      <c r="B308" s="9">
        <f>IF(A308="","",INT((DAY(A308)-1)/7)+1)</f>
        <v/>
      </c>
      <c r="C308" s="9" t="n"/>
      <c r="D308" s="9" t="n"/>
      <c r="E308" s="9" t="n"/>
      <c r="F308" s="9" t="n"/>
      <c r="G308" s="9" t="n"/>
      <c r="H308" s="9" t="n"/>
      <c r="I308" s="9" t="n"/>
      <c r="J308" s="3" t="n"/>
      <c r="K308" s="9" t="n"/>
    </row>
    <row r="309">
      <c r="A309" s="4" t="n"/>
      <c r="B309" s="9">
        <f>IF(A309="","",INT((DAY(A309)-1)/7)+1)</f>
        <v/>
      </c>
      <c r="C309" s="9" t="n"/>
      <c r="D309" s="9" t="n"/>
      <c r="E309" s="9" t="n"/>
      <c r="F309" s="9" t="n"/>
      <c r="G309" s="9" t="n"/>
      <c r="H309" s="9" t="n"/>
      <c r="I309" s="9" t="n"/>
      <c r="J309" s="3" t="n"/>
      <c r="K309" s="9" t="n"/>
    </row>
    <row r="310">
      <c r="A310" s="4" t="n"/>
      <c r="B310" s="9">
        <f>IF(A310="","",INT((DAY(A310)-1)/7)+1)</f>
        <v/>
      </c>
      <c r="C310" s="9" t="n"/>
      <c r="D310" s="9" t="n"/>
      <c r="E310" s="9" t="n"/>
      <c r="F310" s="9" t="n"/>
      <c r="G310" s="9" t="n"/>
      <c r="H310" s="9" t="n"/>
      <c r="I310" s="9" t="n"/>
      <c r="J310" s="3" t="n"/>
      <c r="K310" s="9" t="n"/>
    </row>
    <row r="311">
      <c r="A311" s="4" t="n"/>
      <c r="B311" s="9">
        <f>IF(A311="","",INT((DAY(A311)-1)/7)+1)</f>
        <v/>
      </c>
      <c r="C311" s="9" t="n"/>
      <c r="D311" s="9" t="n"/>
      <c r="E311" s="9" t="n"/>
      <c r="F311" s="9" t="n"/>
      <c r="G311" s="9" t="n"/>
      <c r="H311" s="9" t="n"/>
      <c r="I311" s="9" t="n"/>
      <c r="J311" s="3" t="n"/>
      <c r="K311" s="9" t="n"/>
    </row>
    <row r="312">
      <c r="A312" s="4" t="n"/>
      <c r="B312" s="9">
        <f>IF(A312="","",INT((DAY(A312)-1)/7)+1)</f>
        <v/>
      </c>
      <c r="C312" s="9" t="n"/>
      <c r="D312" s="9" t="n"/>
      <c r="E312" s="9" t="n"/>
      <c r="F312" s="9" t="n"/>
      <c r="G312" s="9" t="n"/>
      <c r="H312" s="9" t="n"/>
      <c r="I312" s="9" t="n"/>
      <c r="J312" s="3" t="n"/>
      <c r="K312" s="9" t="n"/>
    </row>
    <row r="313">
      <c r="A313" s="4" t="n"/>
      <c r="B313" s="9">
        <f>IF(A313="","",INT((DAY(A313)-1)/7)+1)</f>
        <v/>
      </c>
      <c r="C313" s="9" t="n"/>
      <c r="D313" s="9" t="n"/>
      <c r="E313" s="9" t="n"/>
      <c r="F313" s="9" t="n"/>
      <c r="G313" s="9" t="n"/>
      <c r="H313" s="9" t="n"/>
      <c r="I313" s="9" t="n"/>
      <c r="J313" s="3" t="n"/>
      <c r="K313" s="9" t="n"/>
    </row>
    <row r="314">
      <c r="A314" s="4" t="n"/>
      <c r="B314" s="9">
        <f>IF(A314="","",INT((DAY(A314)-1)/7)+1)</f>
        <v/>
      </c>
      <c r="C314" s="9" t="n"/>
      <c r="D314" s="9" t="n"/>
      <c r="E314" s="9" t="n"/>
      <c r="F314" s="9" t="n"/>
      <c r="G314" s="9" t="n"/>
      <c r="H314" s="9" t="n"/>
      <c r="I314" s="9" t="n"/>
      <c r="J314" s="3" t="n"/>
      <c r="K314" s="9" t="n"/>
    </row>
    <row r="315">
      <c r="A315" s="4" t="n"/>
      <c r="B315" s="9">
        <f>IF(A315="","",INT((DAY(A315)-1)/7)+1)</f>
        <v/>
      </c>
      <c r="C315" s="9" t="n"/>
      <c r="D315" s="9" t="n"/>
      <c r="E315" s="9" t="n"/>
      <c r="F315" s="9" t="n"/>
      <c r="G315" s="9" t="n"/>
      <c r="H315" s="9" t="n"/>
      <c r="I315" s="9" t="n"/>
      <c r="J315" s="3" t="n"/>
      <c r="K315" s="9" t="n"/>
    </row>
    <row r="316">
      <c r="A316" s="4" t="n"/>
      <c r="B316" s="9">
        <f>IF(A316="","",INT((DAY(A316)-1)/7)+1)</f>
        <v/>
      </c>
      <c r="C316" s="9" t="n"/>
      <c r="D316" s="9" t="n"/>
      <c r="E316" s="9" t="n"/>
      <c r="F316" s="9" t="n"/>
      <c r="G316" s="9" t="n"/>
      <c r="H316" s="9" t="n"/>
      <c r="I316" s="9" t="n"/>
      <c r="J316" s="3" t="n"/>
      <c r="K316" s="9" t="n"/>
    </row>
    <row r="317">
      <c r="A317" s="4" t="n"/>
      <c r="B317" s="9">
        <f>IF(A317="","",INT((DAY(A317)-1)/7)+1)</f>
        <v/>
      </c>
      <c r="C317" s="9" t="n"/>
      <c r="D317" s="9" t="n"/>
      <c r="E317" s="9" t="n"/>
      <c r="F317" s="9" t="n"/>
      <c r="G317" s="9" t="n"/>
      <c r="H317" s="9" t="n"/>
      <c r="I317" s="9" t="n"/>
      <c r="J317" s="3" t="n"/>
      <c r="K317" s="9" t="n"/>
    </row>
    <row r="318">
      <c r="A318" s="4" t="n"/>
      <c r="B318" s="9">
        <f>IF(A318="","",INT((DAY(A318)-1)/7)+1)</f>
        <v/>
      </c>
      <c r="C318" s="9" t="n"/>
      <c r="D318" s="9" t="n"/>
      <c r="E318" s="9" t="n"/>
      <c r="F318" s="9" t="n"/>
      <c r="G318" s="9" t="n"/>
      <c r="H318" s="9" t="n"/>
      <c r="I318" s="9" t="n"/>
      <c r="J318" s="3" t="n"/>
      <c r="K318" s="9" t="n"/>
    </row>
    <row r="319">
      <c r="A319" s="4" t="n"/>
      <c r="B319" s="9">
        <f>IF(A319="","",INT((DAY(A319)-1)/7)+1)</f>
        <v/>
      </c>
      <c r="C319" s="9" t="n"/>
      <c r="D319" s="9" t="n"/>
      <c r="E319" s="9" t="n"/>
      <c r="F319" s="9" t="n"/>
      <c r="G319" s="9" t="n"/>
      <c r="H319" s="9" t="n"/>
      <c r="I319" s="9" t="n"/>
      <c r="J319" s="3" t="n"/>
      <c r="K319" s="9" t="n"/>
    </row>
    <row r="320">
      <c r="A320" s="4" t="n"/>
      <c r="B320" s="9">
        <f>IF(A320="","",INT((DAY(A320)-1)/7)+1)</f>
        <v/>
      </c>
      <c r="C320" s="9" t="n"/>
      <c r="D320" s="9" t="n"/>
      <c r="E320" s="9" t="n"/>
      <c r="F320" s="9" t="n"/>
      <c r="G320" s="9" t="n"/>
      <c r="H320" s="9" t="n"/>
      <c r="I320" s="9" t="n"/>
      <c r="J320" s="3" t="n"/>
      <c r="K320" s="9" t="n"/>
    </row>
    <row r="321">
      <c r="A321" s="4" t="n"/>
      <c r="B321" s="9">
        <f>IF(A321="","",INT((DAY(A321)-1)/7)+1)</f>
        <v/>
      </c>
      <c r="C321" s="9" t="n"/>
      <c r="D321" s="9" t="n"/>
      <c r="E321" s="9" t="n"/>
      <c r="F321" s="9" t="n"/>
      <c r="G321" s="9" t="n"/>
      <c r="H321" s="9" t="n"/>
      <c r="I321" s="9" t="n"/>
      <c r="J321" s="3" t="n"/>
      <c r="K321" s="9" t="n"/>
    </row>
    <row r="322">
      <c r="A322" s="4" t="n"/>
      <c r="B322" s="9">
        <f>IF(A322="","",INT((DAY(A322)-1)/7)+1)</f>
        <v/>
      </c>
      <c r="C322" s="9" t="n"/>
      <c r="D322" s="9" t="n"/>
      <c r="E322" s="9" t="n"/>
      <c r="F322" s="9" t="n"/>
      <c r="G322" s="9" t="n"/>
      <c r="H322" s="9" t="n"/>
      <c r="I322" s="9" t="n"/>
      <c r="J322" s="3" t="n"/>
      <c r="K322" s="9" t="n"/>
    </row>
    <row r="323">
      <c r="A323" s="4" t="n"/>
      <c r="B323" s="9">
        <f>IF(A323="","",INT((DAY(A323)-1)/7)+1)</f>
        <v/>
      </c>
      <c r="C323" s="9" t="n"/>
      <c r="D323" s="9" t="n"/>
      <c r="E323" s="9" t="n"/>
      <c r="F323" s="9" t="n"/>
      <c r="G323" s="9" t="n"/>
      <c r="H323" s="9" t="n"/>
      <c r="I323" s="9" t="n"/>
      <c r="J323" s="3" t="n"/>
      <c r="K323" s="9" t="n"/>
    </row>
    <row r="324">
      <c r="A324" s="4" t="n"/>
      <c r="B324" s="9">
        <f>IF(A324="","",INT((DAY(A324)-1)/7)+1)</f>
        <v/>
      </c>
      <c r="C324" s="9" t="n"/>
      <c r="D324" s="9" t="n"/>
      <c r="E324" s="9" t="n"/>
      <c r="F324" s="9" t="n"/>
      <c r="G324" s="9" t="n"/>
      <c r="H324" s="9" t="n"/>
      <c r="I324" s="9" t="n"/>
      <c r="J324" s="3" t="n"/>
      <c r="K324" s="9" t="n"/>
    </row>
    <row r="325">
      <c r="A325" s="4" t="n"/>
      <c r="B325" s="9">
        <f>IF(A325="","",INT((DAY(A325)-1)/7)+1)</f>
        <v/>
      </c>
      <c r="C325" s="9" t="n"/>
      <c r="D325" s="9" t="n"/>
      <c r="E325" s="9" t="n"/>
      <c r="F325" s="9" t="n"/>
      <c r="G325" s="9" t="n"/>
      <c r="H325" s="9" t="n"/>
      <c r="I325" s="9" t="n"/>
      <c r="J325" s="3" t="n"/>
      <c r="K325" s="9" t="n"/>
    </row>
    <row r="326">
      <c r="A326" s="4" t="n"/>
      <c r="B326" s="9">
        <f>IF(A326="","",INT((DAY(A326)-1)/7)+1)</f>
        <v/>
      </c>
      <c r="C326" s="9" t="n"/>
      <c r="D326" s="9" t="n"/>
      <c r="E326" s="9" t="n"/>
      <c r="F326" s="9" t="n"/>
      <c r="G326" s="9" t="n"/>
      <c r="H326" s="9" t="n"/>
      <c r="I326" s="9" t="n"/>
      <c r="J326" s="3" t="n"/>
      <c r="K326" s="9" t="n"/>
    </row>
    <row r="327">
      <c r="A327" s="4" t="n"/>
      <c r="B327" s="9">
        <f>IF(A327="","",INT((DAY(A327)-1)/7)+1)</f>
        <v/>
      </c>
      <c r="C327" s="9" t="n"/>
      <c r="D327" s="9" t="n"/>
      <c r="E327" s="9" t="n"/>
      <c r="F327" s="9" t="n"/>
      <c r="G327" s="9" t="n"/>
      <c r="H327" s="9" t="n"/>
      <c r="I327" s="9" t="n"/>
      <c r="J327" s="3" t="n"/>
      <c r="K327" s="9" t="n"/>
    </row>
    <row r="328">
      <c r="A328" s="4" t="n"/>
      <c r="B328" s="9">
        <f>IF(A328="","",INT((DAY(A328)-1)/7)+1)</f>
        <v/>
      </c>
      <c r="C328" s="9" t="n"/>
      <c r="D328" s="9" t="n"/>
      <c r="E328" s="9" t="n"/>
      <c r="F328" s="9" t="n"/>
      <c r="G328" s="9" t="n"/>
      <c r="H328" s="9" t="n"/>
      <c r="I328" s="9" t="n"/>
      <c r="J328" s="3" t="n"/>
      <c r="K328" s="9" t="n"/>
    </row>
    <row r="329">
      <c r="A329" s="4" t="n"/>
      <c r="B329" s="9">
        <f>IF(A329="","",INT((DAY(A329)-1)/7)+1)</f>
        <v/>
      </c>
      <c r="C329" s="9" t="n"/>
      <c r="D329" s="9" t="n"/>
      <c r="E329" s="9" t="n"/>
      <c r="F329" s="9" t="n"/>
      <c r="G329" s="9" t="n"/>
      <c r="H329" s="9" t="n"/>
      <c r="I329" s="9" t="n"/>
      <c r="J329" s="3" t="n"/>
      <c r="K329" s="9" t="n"/>
    </row>
    <row r="330">
      <c r="A330" s="4" t="n"/>
      <c r="B330" s="9">
        <f>IF(A330="","",INT((DAY(A330)-1)/7)+1)</f>
        <v/>
      </c>
      <c r="C330" s="9" t="n"/>
      <c r="D330" s="9" t="n"/>
      <c r="E330" s="9" t="n"/>
      <c r="F330" s="9" t="n"/>
      <c r="G330" s="9" t="n"/>
      <c r="H330" s="9" t="n"/>
      <c r="I330" s="9" t="n"/>
      <c r="J330" s="3" t="n"/>
      <c r="K330" s="9" t="n"/>
    </row>
    <row r="331">
      <c r="A331" s="4" t="n"/>
      <c r="B331" s="9">
        <f>IF(A331="","",INT((DAY(A331)-1)/7)+1)</f>
        <v/>
      </c>
      <c r="C331" s="9" t="n"/>
      <c r="D331" s="9" t="n"/>
      <c r="E331" s="9" t="n"/>
      <c r="F331" s="9" t="n"/>
      <c r="G331" s="9" t="n"/>
      <c r="H331" s="9" t="n"/>
      <c r="I331" s="9" t="n"/>
      <c r="J331" s="3" t="n"/>
      <c r="K331" s="9" t="n"/>
    </row>
    <row r="332">
      <c r="A332" s="4" t="n"/>
      <c r="B332" s="9">
        <f>IF(A332="","",INT((DAY(A332)-1)/7)+1)</f>
        <v/>
      </c>
      <c r="C332" s="9" t="n"/>
      <c r="D332" s="9" t="n"/>
      <c r="E332" s="9" t="n"/>
      <c r="F332" s="9" t="n"/>
      <c r="G332" s="9" t="n"/>
      <c r="H332" s="9" t="n"/>
      <c r="I332" s="9" t="n"/>
      <c r="J332" s="3" t="n"/>
      <c r="K332" s="9" t="n"/>
    </row>
    <row r="333">
      <c r="A333" s="4" t="n"/>
      <c r="B333" s="9">
        <f>IF(A333="","",INT((DAY(A333)-1)/7)+1)</f>
        <v/>
      </c>
      <c r="C333" s="9" t="n"/>
      <c r="D333" s="9" t="n"/>
      <c r="E333" s="9" t="n"/>
      <c r="F333" s="9" t="n"/>
      <c r="G333" s="9" t="n"/>
      <c r="H333" s="9" t="n"/>
      <c r="I333" s="9" t="n"/>
      <c r="J333" s="3" t="n"/>
      <c r="K333" s="9" t="n"/>
    </row>
    <row r="334">
      <c r="A334" s="4" t="n"/>
      <c r="B334" s="9">
        <f>IF(A334="","",INT((DAY(A334)-1)/7)+1)</f>
        <v/>
      </c>
      <c r="C334" s="9" t="n"/>
      <c r="D334" s="9" t="n"/>
      <c r="E334" s="9" t="n"/>
      <c r="F334" s="9" t="n"/>
      <c r="G334" s="9" t="n"/>
      <c r="H334" s="9" t="n"/>
      <c r="I334" s="9" t="n"/>
      <c r="J334" s="3" t="n"/>
      <c r="K334" s="9" t="n"/>
    </row>
    <row r="335">
      <c r="A335" s="4" t="n"/>
      <c r="B335" s="9">
        <f>IF(A335="","",INT((DAY(A335)-1)/7)+1)</f>
        <v/>
      </c>
      <c r="C335" s="9" t="n"/>
      <c r="D335" s="9" t="n"/>
      <c r="E335" s="9" t="n"/>
      <c r="F335" s="9" t="n"/>
      <c r="G335" s="9" t="n"/>
      <c r="H335" s="9" t="n"/>
      <c r="I335" s="9" t="n"/>
      <c r="J335" s="3" t="n"/>
      <c r="K335" s="9" t="n"/>
    </row>
    <row r="336">
      <c r="A336" s="4" t="n"/>
      <c r="B336" s="9">
        <f>IF(A336="","",INT((DAY(A336)-1)/7)+1)</f>
        <v/>
      </c>
      <c r="C336" s="9" t="n"/>
      <c r="D336" s="9" t="n"/>
      <c r="E336" s="9" t="n"/>
      <c r="F336" s="9" t="n"/>
      <c r="G336" s="9" t="n"/>
      <c r="H336" s="9" t="n"/>
      <c r="I336" s="9" t="n"/>
      <c r="J336" s="3" t="n"/>
      <c r="K336" s="9" t="n"/>
    </row>
    <row r="337">
      <c r="A337" s="4" t="n"/>
      <c r="B337" s="9">
        <f>IF(A337="","",INT((DAY(A337)-1)/7)+1)</f>
        <v/>
      </c>
      <c r="C337" s="9" t="n"/>
      <c r="D337" s="9" t="n"/>
      <c r="E337" s="9" t="n"/>
      <c r="F337" s="9" t="n"/>
      <c r="G337" s="9" t="n"/>
      <c r="H337" s="9" t="n"/>
      <c r="I337" s="9" t="n"/>
      <c r="J337" s="3" t="n"/>
      <c r="K337" s="9" t="n"/>
    </row>
    <row r="338">
      <c r="A338" s="4" t="n"/>
      <c r="B338" s="9">
        <f>IF(A338="","",INT((DAY(A338)-1)/7)+1)</f>
        <v/>
      </c>
      <c r="C338" s="9" t="n"/>
      <c r="D338" s="9" t="n"/>
      <c r="E338" s="9" t="n"/>
      <c r="F338" s="9" t="n"/>
      <c r="G338" s="9" t="n"/>
      <c r="H338" s="9" t="n"/>
      <c r="I338" s="9" t="n"/>
      <c r="J338" s="3" t="n"/>
      <c r="K338" s="9" t="n"/>
    </row>
    <row r="339">
      <c r="A339" s="4" t="n"/>
      <c r="B339" s="9">
        <f>IF(A339="","",INT((DAY(A339)-1)/7)+1)</f>
        <v/>
      </c>
      <c r="C339" s="9" t="n"/>
      <c r="D339" s="9" t="n"/>
      <c r="E339" s="9" t="n"/>
      <c r="F339" s="9" t="n"/>
      <c r="G339" s="9" t="n"/>
      <c r="H339" s="9" t="n"/>
      <c r="I339" s="9" t="n"/>
      <c r="J339" s="3" t="n"/>
      <c r="K339" s="9" t="n"/>
    </row>
    <row r="340">
      <c r="A340" s="4" t="n"/>
      <c r="B340" s="9">
        <f>IF(A340="","",INT((DAY(A340)-1)/7)+1)</f>
        <v/>
      </c>
      <c r="C340" s="9" t="n"/>
      <c r="D340" s="9" t="n"/>
      <c r="E340" s="9" t="n"/>
      <c r="F340" s="9" t="n"/>
      <c r="G340" s="9" t="n"/>
      <c r="H340" s="9" t="n"/>
      <c r="I340" s="9" t="n"/>
      <c r="J340" s="3" t="n"/>
      <c r="K340" s="9" t="n"/>
    </row>
    <row r="341">
      <c r="A341" s="4" t="n"/>
      <c r="B341" s="9">
        <f>IF(A341="","",INT((DAY(A341)-1)/7)+1)</f>
        <v/>
      </c>
      <c r="C341" s="9" t="n"/>
      <c r="D341" s="9" t="n"/>
      <c r="E341" s="9" t="n"/>
      <c r="F341" s="9" t="n"/>
      <c r="G341" s="9" t="n"/>
      <c r="H341" s="9" t="n"/>
      <c r="I341" s="9" t="n"/>
      <c r="J341" s="3" t="n"/>
      <c r="K341" s="9" t="n"/>
    </row>
    <row r="342">
      <c r="A342" s="4" t="n"/>
      <c r="B342" s="9">
        <f>IF(A342="","",INT((DAY(A342)-1)/7)+1)</f>
        <v/>
      </c>
      <c r="C342" s="9" t="n"/>
      <c r="D342" s="9" t="n"/>
      <c r="E342" s="9" t="n"/>
      <c r="F342" s="9" t="n"/>
      <c r="G342" s="9" t="n"/>
      <c r="H342" s="9" t="n"/>
      <c r="I342" s="9" t="n"/>
      <c r="J342" s="3" t="n"/>
      <c r="K342" s="9" t="n"/>
    </row>
    <row r="343">
      <c r="A343" s="4" t="n"/>
      <c r="B343" s="9">
        <f>IF(A343="","",INT((DAY(A343)-1)/7)+1)</f>
        <v/>
      </c>
      <c r="C343" s="9" t="n"/>
      <c r="D343" s="9" t="n"/>
      <c r="E343" s="9" t="n"/>
      <c r="F343" s="9" t="n"/>
      <c r="G343" s="9" t="n"/>
      <c r="H343" s="9" t="n"/>
      <c r="I343" s="9" t="n"/>
      <c r="J343" s="3" t="n"/>
      <c r="K343" s="9" t="n"/>
    </row>
    <row r="344">
      <c r="A344" s="4" t="n"/>
      <c r="B344" s="9">
        <f>IF(A344="","",INT((DAY(A344)-1)/7)+1)</f>
        <v/>
      </c>
      <c r="C344" s="9" t="n"/>
      <c r="D344" s="9" t="n"/>
      <c r="E344" s="9" t="n"/>
      <c r="F344" s="9" t="n"/>
      <c r="G344" s="9" t="n"/>
      <c r="H344" s="9" t="n"/>
      <c r="I344" s="9" t="n"/>
      <c r="J344" s="3" t="n"/>
      <c r="K344" s="9" t="n"/>
    </row>
    <row r="345">
      <c r="A345" s="4" t="n"/>
      <c r="B345" s="9">
        <f>IF(A345="","",INT((DAY(A345)-1)/7)+1)</f>
        <v/>
      </c>
      <c r="C345" s="9" t="n"/>
      <c r="D345" s="9" t="n"/>
      <c r="E345" s="9" t="n"/>
      <c r="F345" s="9" t="n"/>
      <c r="G345" s="9" t="n"/>
      <c r="H345" s="9" t="n"/>
      <c r="I345" s="9" t="n"/>
      <c r="J345" s="3" t="n"/>
      <c r="K345" s="9" t="n"/>
    </row>
    <row r="346">
      <c r="A346" s="4" t="n"/>
      <c r="B346" s="9">
        <f>IF(A346="","",INT((DAY(A346)-1)/7)+1)</f>
        <v/>
      </c>
      <c r="C346" s="9" t="n"/>
      <c r="D346" s="9" t="n"/>
      <c r="E346" s="9" t="n"/>
      <c r="F346" s="9" t="n"/>
      <c r="G346" s="9" t="n"/>
      <c r="H346" s="9" t="n"/>
      <c r="I346" s="9" t="n"/>
      <c r="J346" s="3" t="n"/>
      <c r="K346" s="9" t="n"/>
    </row>
    <row r="347">
      <c r="A347" s="4" t="n"/>
      <c r="B347" s="9">
        <f>IF(A347="","",INT((DAY(A347)-1)/7)+1)</f>
        <v/>
      </c>
      <c r="C347" s="9" t="n"/>
      <c r="D347" s="9" t="n"/>
      <c r="E347" s="9" t="n"/>
      <c r="F347" s="9" t="n"/>
      <c r="G347" s="9" t="n"/>
      <c r="H347" s="9" t="n"/>
      <c r="I347" s="9" t="n"/>
      <c r="J347" s="3" t="n"/>
      <c r="K347" s="9" t="n"/>
    </row>
    <row r="348">
      <c r="A348" s="4" t="n"/>
      <c r="B348" s="9">
        <f>IF(A348="","",INT((DAY(A348)-1)/7)+1)</f>
        <v/>
      </c>
      <c r="C348" s="9" t="n"/>
      <c r="D348" s="9" t="n"/>
      <c r="E348" s="9" t="n"/>
      <c r="F348" s="9" t="n"/>
      <c r="G348" s="9" t="n"/>
      <c r="H348" s="9" t="n"/>
      <c r="I348" s="9" t="n"/>
      <c r="J348" s="3" t="n"/>
      <c r="K348" s="9" t="n"/>
    </row>
    <row r="349">
      <c r="A349" s="4" t="n"/>
      <c r="B349" s="9">
        <f>IF(A349="","",INT((DAY(A349)-1)/7)+1)</f>
        <v/>
      </c>
      <c r="C349" s="9" t="n"/>
      <c r="D349" s="9" t="n"/>
      <c r="E349" s="9" t="n"/>
      <c r="F349" s="9" t="n"/>
      <c r="G349" s="9" t="n"/>
      <c r="H349" s="9" t="n"/>
      <c r="I349" s="9" t="n"/>
      <c r="J349" s="3" t="n"/>
      <c r="K349" s="9" t="n"/>
    </row>
    <row r="350">
      <c r="A350" s="4" t="n"/>
      <c r="B350" s="9">
        <f>IF(A350="","",INT((DAY(A350)-1)/7)+1)</f>
        <v/>
      </c>
      <c r="C350" s="9" t="n"/>
      <c r="D350" s="9" t="n"/>
      <c r="E350" s="9" t="n"/>
      <c r="F350" s="9" t="n"/>
      <c r="G350" s="9" t="n"/>
      <c r="H350" s="9" t="n"/>
      <c r="I350" s="9" t="n"/>
      <c r="J350" s="3" t="n"/>
      <c r="K350" s="9" t="n"/>
    </row>
    <row r="351">
      <c r="A351" s="4" t="n"/>
      <c r="B351" s="9">
        <f>IF(A351="","",INT((DAY(A351)-1)/7)+1)</f>
        <v/>
      </c>
      <c r="C351" s="9" t="n"/>
      <c r="D351" s="9" t="n"/>
      <c r="E351" s="9" t="n"/>
      <c r="F351" s="9" t="n"/>
      <c r="G351" s="9" t="n"/>
      <c r="H351" s="9" t="n"/>
      <c r="I351" s="9" t="n"/>
      <c r="J351" s="3" t="n"/>
      <c r="K351" s="9" t="n"/>
    </row>
    <row r="352">
      <c r="A352" s="4" t="n"/>
      <c r="B352" s="9">
        <f>IF(A352="","",INT((DAY(A352)-1)/7)+1)</f>
        <v/>
      </c>
      <c r="C352" s="9" t="n"/>
      <c r="D352" s="9" t="n"/>
      <c r="E352" s="9" t="n"/>
      <c r="F352" s="9" t="n"/>
      <c r="G352" s="9" t="n"/>
      <c r="H352" s="9" t="n"/>
      <c r="I352" s="9" t="n"/>
      <c r="J352" s="3" t="n"/>
      <c r="K352" s="9" t="n"/>
    </row>
    <row r="353">
      <c r="A353" s="4" t="n"/>
      <c r="B353" s="9">
        <f>IF(A353="","",INT((DAY(A353)-1)/7)+1)</f>
        <v/>
      </c>
      <c r="C353" s="9" t="n"/>
      <c r="D353" s="9" t="n"/>
      <c r="E353" s="9" t="n"/>
      <c r="F353" s="9" t="n"/>
      <c r="G353" s="9" t="n"/>
      <c r="H353" s="9" t="n"/>
      <c r="I353" s="9" t="n"/>
      <c r="J353" s="3" t="n"/>
      <c r="K353" s="9" t="n"/>
    </row>
    <row r="354">
      <c r="A354" s="4" t="n"/>
      <c r="B354" s="9">
        <f>IF(A354="","",INT((DAY(A354)-1)/7)+1)</f>
        <v/>
      </c>
      <c r="C354" s="9" t="n"/>
      <c r="D354" s="9" t="n"/>
      <c r="E354" s="9" t="n"/>
      <c r="F354" s="9" t="n"/>
      <c r="G354" s="9" t="n"/>
      <c r="H354" s="9" t="n"/>
      <c r="I354" s="9" t="n"/>
      <c r="J354" s="3" t="n"/>
      <c r="K354" s="9" t="n"/>
    </row>
    <row r="355">
      <c r="A355" s="4" t="n"/>
      <c r="B355" s="9">
        <f>IF(A355="","",INT((DAY(A355)-1)/7)+1)</f>
        <v/>
      </c>
      <c r="C355" s="9" t="n"/>
      <c r="D355" s="9" t="n"/>
      <c r="E355" s="9" t="n"/>
      <c r="F355" s="9" t="n"/>
      <c r="G355" s="9" t="n"/>
      <c r="H355" s="9" t="n"/>
      <c r="I355" s="9" t="n"/>
      <c r="J355" s="3" t="n"/>
      <c r="K355" s="9" t="n"/>
    </row>
    <row r="356">
      <c r="A356" s="4" t="n"/>
      <c r="B356" s="9">
        <f>IF(A356="","",INT((DAY(A356)-1)/7)+1)</f>
        <v/>
      </c>
      <c r="C356" s="9" t="n"/>
      <c r="D356" s="9" t="n"/>
      <c r="E356" s="9" t="n"/>
      <c r="F356" s="9" t="n"/>
      <c r="G356" s="9" t="n"/>
      <c r="H356" s="9" t="n"/>
      <c r="I356" s="9" t="n"/>
      <c r="J356" s="3" t="n"/>
      <c r="K356" s="9" t="n"/>
    </row>
    <row r="357">
      <c r="A357" s="4" t="n"/>
      <c r="B357" s="9">
        <f>IF(A357="","",INT((DAY(A357)-1)/7)+1)</f>
        <v/>
      </c>
      <c r="C357" s="9" t="n"/>
      <c r="D357" s="9" t="n"/>
      <c r="E357" s="9" t="n"/>
      <c r="F357" s="9" t="n"/>
      <c r="G357" s="9" t="n"/>
      <c r="H357" s="9" t="n"/>
      <c r="I357" s="9" t="n"/>
      <c r="J357" s="3" t="n"/>
      <c r="K357" s="9" t="n"/>
    </row>
    <row r="358">
      <c r="A358" s="4" t="n"/>
      <c r="B358" s="9">
        <f>IF(A358="","",INT((DAY(A358)-1)/7)+1)</f>
        <v/>
      </c>
      <c r="C358" s="9" t="n"/>
      <c r="D358" s="9" t="n"/>
      <c r="E358" s="9" t="n"/>
      <c r="F358" s="9" t="n"/>
      <c r="G358" s="9" t="n"/>
      <c r="H358" s="9" t="n"/>
      <c r="I358" s="9" t="n"/>
      <c r="J358" s="3" t="n"/>
      <c r="K358" s="9" t="n"/>
    </row>
    <row r="359">
      <c r="A359" s="4" t="n"/>
      <c r="B359" s="9">
        <f>IF(A359="","",INT((DAY(A359)-1)/7)+1)</f>
        <v/>
      </c>
      <c r="C359" s="9" t="n"/>
      <c r="D359" s="9" t="n"/>
      <c r="E359" s="9" t="n"/>
      <c r="F359" s="9" t="n"/>
      <c r="G359" s="9" t="n"/>
      <c r="H359" s="9" t="n"/>
      <c r="I359" s="9" t="n"/>
      <c r="J359" s="3" t="n"/>
      <c r="K359" s="9" t="n"/>
    </row>
    <row r="360">
      <c r="A360" s="4" t="n"/>
      <c r="B360" s="9">
        <f>IF(A360="","",INT((DAY(A360)-1)/7)+1)</f>
        <v/>
      </c>
      <c r="C360" s="9" t="n"/>
      <c r="D360" s="9" t="n"/>
      <c r="E360" s="9" t="n"/>
      <c r="F360" s="9" t="n"/>
      <c r="G360" s="9" t="n"/>
      <c r="H360" s="9" t="n"/>
      <c r="I360" s="9" t="n"/>
      <c r="J360" s="3" t="n"/>
      <c r="K360" s="9" t="n"/>
    </row>
    <row r="361">
      <c r="A361" s="4" t="n"/>
      <c r="B361" s="9">
        <f>IF(A361="","",INT((DAY(A361)-1)/7)+1)</f>
        <v/>
      </c>
      <c r="C361" s="9" t="n"/>
      <c r="D361" s="9" t="n"/>
      <c r="E361" s="9" t="n"/>
      <c r="F361" s="9" t="n"/>
      <c r="G361" s="9" t="n"/>
      <c r="H361" s="9" t="n"/>
      <c r="I361" s="9" t="n"/>
      <c r="J361" s="3" t="n"/>
      <c r="K361" s="9" t="n"/>
    </row>
    <row r="362">
      <c r="A362" s="4" t="n"/>
      <c r="B362" s="9">
        <f>IF(A362="","",INT((DAY(A362)-1)/7)+1)</f>
        <v/>
      </c>
      <c r="C362" s="9" t="n"/>
      <c r="D362" s="9" t="n"/>
      <c r="E362" s="9" t="n"/>
      <c r="F362" s="9" t="n"/>
      <c r="G362" s="9" t="n"/>
      <c r="H362" s="9" t="n"/>
      <c r="I362" s="9" t="n"/>
      <c r="J362" s="3" t="n"/>
      <c r="K362" s="9" t="n"/>
    </row>
    <row r="363">
      <c r="A363" s="4" t="n"/>
      <c r="B363" s="9">
        <f>IF(A363="","",INT((DAY(A363)-1)/7)+1)</f>
        <v/>
      </c>
      <c r="C363" s="9" t="n"/>
      <c r="D363" s="9" t="n"/>
      <c r="E363" s="9" t="n"/>
      <c r="F363" s="9" t="n"/>
      <c r="G363" s="9" t="n"/>
      <c r="H363" s="9" t="n"/>
      <c r="I363" s="9" t="n"/>
      <c r="J363" s="3" t="n"/>
      <c r="K363" s="9" t="n"/>
    </row>
    <row r="364">
      <c r="A364" s="4" t="n"/>
      <c r="B364" s="9">
        <f>IF(A364="","",INT((DAY(A364)-1)/7)+1)</f>
        <v/>
      </c>
      <c r="C364" s="9" t="n"/>
      <c r="D364" s="9" t="n"/>
      <c r="E364" s="9" t="n"/>
      <c r="F364" s="9" t="n"/>
      <c r="G364" s="9" t="n"/>
      <c r="H364" s="9" t="n"/>
      <c r="I364" s="9" t="n"/>
      <c r="J364" s="3" t="n"/>
      <c r="K364" s="9" t="n"/>
    </row>
    <row r="365">
      <c r="A365" s="4" t="n"/>
      <c r="B365" s="9">
        <f>IF(A365="","",INT((DAY(A365)-1)/7)+1)</f>
        <v/>
      </c>
      <c r="C365" s="9" t="n"/>
      <c r="D365" s="9" t="n"/>
      <c r="E365" s="9" t="n"/>
      <c r="F365" s="9" t="n"/>
      <c r="G365" s="9" t="n"/>
      <c r="H365" s="9" t="n"/>
      <c r="I365" s="9" t="n"/>
      <c r="J365" s="3" t="n"/>
      <c r="K365" s="9" t="n"/>
    </row>
    <row r="366">
      <c r="A366" s="4" t="n"/>
      <c r="B366" s="9">
        <f>IF(A366="","",INT((DAY(A366)-1)/7)+1)</f>
        <v/>
      </c>
      <c r="C366" s="9" t="n"/>
      <c r="D366" s="9" t="n"/>
      <c r="E366" s="9" t="n"/>
      <c r="F366" s="9" t="n"/>
      <c r="G366" s="9" t="n"/>
      <c r="H366" s="9" t="n"/>
      <c r="I366" s="9" t="n"/>
      <c r="J366" s="3" t="n"/>
      <c r="K366" s="9" t="n"/>
    </row>
    <row r="367">
      <c r="A367" s="4" t="n"/>
      <c r="B367" s="9">
        <f>IF(A367="","",INT((DAY(A367)-1)/7)+1)</f>
        <v/>
      </c>
      <c r="C367" s="9" t="n"/>
      <c r="D367" s="9" t="n"/>
      <c r="E367" s="9" t="n"/>
      <c r="F367" s="9" t="n"/>
      <c r="G367" s="9" t="n"/>
      <c r="H367" s="9" t="n"/>
      <c r="I367" s="9" t="n"/>
      <c r="J367" s="3" t="n"/>
      <c r="K367" s="9" t="n"/>
    </row>
    <row r="368">
      <c r="A368" s="4" t="n"/>
      <c r="B368" s="9">
        <f>IF(A368="","",INT((DAY(A368)-1)/7)+1)</f>
        <v/>
      </c>
      <c r="C368" s="9" t="n"/>
      <c r="D368" s="9" t="n"/>
      <c r="E368" s="9" t="n"/>
      <c r="F368" s="9" t="n"/>
      <c r="G368" s="9" t="n"/>
      <c r="H368" s="9" t="n"/>
      <c r="I368" s="9" t="n"/>
      <c r="J368" s="3" t="n"/>
      <c r="K368" s="9" t="n"/>
    </row>
    <row r="369">
      <c r="A369" s="4" t="n"/>
      <c r="B369" s="9">
        <f>IF(A369="","",INT((DAY(A369)-1)/7)+1)</f>
        <v/>
      </c>
      <c r="C369" s="9" t="n"/>
      <c r="D369" s="9" t="n"/>
      <c r="E369" s="9" t="n"/>
      <c r="F369" s="9" t="n"/>
      <c r="G369" s="9" t="n"/>
      <c r="H369" s="9" t="n"/>
      <c r="I369" s="9" t="n"/>
      <c r="J369" s="3" t="n"/>
      <c r="K369" s="9" t="n"/>
    </row>
    <row r="370">
      <c r="A370" s="4" t="n"/>
      <c r="B370" s="9">
        <f>IF(A370="","",INT((DAY(A370)-1)/7)+1)</f>
        <v/>
      </c>
      <c r="C370" s="9" t="n"/>
      <c r="D370" s="9" t="n"/>
      <c r="E370" s="9" t="n"/>
      <c r="F370" s="9" t="n"/>
      <c r="G370" s="9" t="n"/>
      <c r="H370" s="9" t="n"/>
      <c r="I370" s="9" t="n"/>
      <c r="J370" s="3" t="n"/>
      <c r="K370" s="9" t="n"/>
    </row>
    <row r="371">
      <c r="A371" s="4" t="n"/>
      <c r="B371" s="9">
        <f>IF(A371="","",INT((DAY(A371)-1)/7)+1)</f>
        <v/>
      </c>
      <c r="C371" s="9" t="n"/>
      <c r="D371" s="9" t="n"/>
      <c r="E371" s="9" t="n"/>
      <c r="F371" s="9" t="n"/>
      <c r="G371" s="9" t="n"/>
      <c r="H371" s="9" t="n"/>
      <c r="I371" s="9" t="n"/>
      <c r="J371" s="3" t="n"/>
      <c r="K371" s="9" t="n"/>
    </row>
    <row r="372">
      <c r="A372" s="4" t="n"/>
      <c r="B372" s="9">
        <f>IF(A372="","",INT((DAY(A372)-1)/7)+1)</f>
        <v/>
      </c>
      <c r="C372" s="9" t="n"/>
      <c r="D372" s="9" t="n"/>
      <c r="E372" s="9" t="n"/>
      <c r="F372" s="9" t="n"/>
      <c r="G372" s="9" t="n"/>
      <c r="H372" s="9" t="n"/>
      <c r="I372" s="9" t="n"/>
      <c r="J372" s="3" t="n"/>
      <c r="K372" s="9" t="n"/>
    </row>
    <row r="373">
      <c r="A373" s="4" t="n"/>
      <c r="B373" s="9">
        <f>IF(A373="","",INT((DAY(A373)-1)/7)+1)</f>
        <v/>
      </c>
      <c r="C373" s="9" t="n"/>
      <c r="D373" s="9" t="n"/>
      <c r="E373" s="9" t="n"/>
      <c r="F373" s="9" t="n"/>
      <c r="G373" s="9" t="n"/>
      <c r="H373" s="9" t="n"/>
      <c r="I373" s="9" t="n"/>
      <c r="J373" s="3" t="n"/>
      <c r="K373" s="9" t="n"/>
    </row>
    <row r="374">
      <c r="A374" s="4" t="n"/>
      <c r="B374" s="9">
        <f>IF(A374="","",INT((DAY(A374)-1)/7)+1)</f>
        <v/>
      </c>
      <c r="C374" s="9" t="n"/>
      <c r="D374" s="9" t="n"/>
      <c r="E374" s="9" t="n"/>
      <c r="F374" s="9" t="n"/>
      <c r="G374" s="9" t="n"/>
      <c r="H374" s="9" t="n"/>
      <c r="I374" s="9" t="n"/>
      <c r="J374" s="3" t="n"/>
      <c r="K374" s="9" t="n"/>
    </row>
    <row r="375">
      <c r="A375" s="4" t="n"/>
      <c r="B375" s="9">
        <f>IF(A375="","",INT((DAY(A375)-1)/7)+1)</f>
        <v/>
      </c>
      <c r="C375" s="9" t="n"/>
      <c r="D375" s="9" t="n"/>
      <c r="E375" s="9" t="n"/>
      <c r="F375" s="9" t="n"/>
      <c r="G375" s="9" t="n"/>
      <c r="H375" s="9" t="n"/>
      <c r="I375" s="9" t="n"/>
      <c r="J375" s="3" t="n"/>
      <c r="K375" s="9" t="n"/>
    </row>
    <row r="376">
      <c r="A376" s="4" t="n"/>
      <c r="B376" s="9">
        <f>IF(A376="","",INT((DAY(A376)-1)/7)+1)</f>
        <v/>
      </c>
      <c r="C376" s="9" t="n"/>
      <c r="D376" s="9" t="n"/>
      <c r="E376" s="9" t="n"/>
      <c r="F376" s="9" t="n"/>
      <c r="G376" s="9" t="n"/>
      <c r="H376" s="9" t="n"/>
      <c r="I376" s="9" t="n"/>
      <c r="J376" s="3" t="n"/>
      <c r="K376" s="9" t="n"/>
    </row>
    <row r="377">
      <c r="A377" s="4" t="n"/>
      <c r="B377" s="9">
        <f>IF(A377="","",INT((DAY(A377)-1)/7)+1)</f>
        <v/>
      </c>
      <c r="C377" s="9" t="n"/>
      <c r="D377" s="9" t="n"/>
      <c r="E377" s="9" t="n"/>
      <c r="F377" s="9" t="n"/>
      <c r="G377" s="9" t="n"/>
      <c r="H377" s="9" t="n"/>
      <c r="I377" s="9" t="n"/>
      <c r="J377" s="3" t="n"/>
      <c r="K377" s="9" t="n"/>
    </row>
    <row r="378">
      <c r="A378" s="4" t="n"/>
      <c r="B378" s="9">
        <f>IF(A378="","",INT((DAY(A378)-1)/7)+1)</f>
        <v/>
      </c>
      <c r="C378" s="9" t="n"/>
      <c r="D378" s="9" t="n"/>
      <c r="E378" s="9" t="n"/>
      <c r="F378" s="9" t="n"/>
      <c r="G378" s="9" t="n"/>
      <c r="H378" s="9" t="n"/>
      <c r="I378" s="9" t="n"/>
      <c r="J378" s="3" t="n"/>
      <c r="K378" s="9" t="n"/>
    </row>
    <row r="379">
      <c r="A379" s="4" t="n"/>
      <c r="B379" s="9">
        <f>IF(A379="","",INT((DAY(A379)-1)/7)+1)</f>
        <v/>
      </c>
      <c r="C379" s="9" t="n"/>
      <c r="D379" s="9" t="n"/>
      <c r="E379" s="9" t="n"/>
      <c r="F379" s="9" t="n"/>
      <c r="G379" s="9" t="n"/>
      <c r="H379" s="9" t="n"/>
      <c r="I379" s="9" t="n"/>
      <c r="J379" s="3" t="n"/>
      <c r="K379" s="9" t="n"/>
    </row>
    <row r="380">
      <c r="A380" s="4" t="n"/>
      <c r="B380" s="9">
        <f>IF(A380="","",INT((DAY(A380)-1)/7)+1)</f>
        <v/>
      </c>
      <c r="C380" s="9" t="n"/>
      <c r="D380" s="9" t="n"/>
      <c r="E380" s="9" t="n"/>
      <c r="F380" s="9" t="n"/>
      <c r="G380" s="9" t="n"/>
      <c r="H380" s="9" t="n"/>
      <c r="I380" s="9" t="n"/>
      <c r="J380" s="3" t="n"/>
      <c r="K380" s="9" t="n"/>
    </row>
    <row r="381">
      <c r="A381" s="4" t="n"/>
      <c r="B381" s="9">
        <f>IF(A381="","",INT((DAY(A381)-1)/7)+1)</f>
        <v/>
      </c>
      <c r="C381" s="9" t="n"/>
      <c r="D381" s="9" t="n"/>
      <c r="E381" s="9" t="n"/>
      <c r="F381" s="9" t="n"/>
      <c r="G381" s="9" t="n"/>
      <c r="H381" s="9" t="n"/>
      <c r="I381" s="9" t="n"/>
      <c r="J381" s="3" t="n"/>
      <c r="K381" s="9" t="n"/>
    </row>
    <row r="382">
      <c r="A382" s="4" t="n"/>
      <c r="B382" s="9">
        <f>IF(A382="","",INT((DAY(A382)-1)/7)+1)</f>
        <v/>
      </c>
      <c r="C382" s="9" t="n"/>
      <c r="D382" s="9" t="n"/>
      <c r="E382" s="9" t="n"/>
      <c r="F382" s="9" t="n"/>
      <c r="G382" s="9" t="n"/>
      <c r="H382" s="9" t="n"/>
      <c r="I382" s="9" t="n"/>
      <c r="J382" s="3" t="n"/>
      <c r="K382" s="9" t="n"/>
    </row>
    <row r="383">
      <c r="A383" s="4" t="n"/>
      <c r="B383" s="9">
        <f>IF(A383="","",INT((DAY(A383)-1)/7)+1)</f>
        <v/>
      </c>
      <c r="C383" s="9" t="n"/>
      <c r="D383" s="9" t="n"/>
      <c r="E383" s="9" t="n"/>
      <c r="F383" s="9" t="n"/>
      <c r="G383" s="9" t="n"/>
      <c r="H383" s="9" t="n"/>
      <c r="I383" s="9" t="n"/>
      <c r="J383" s="3" t="n"/>
      <c r="K383" s="9" t="n"/>
    </row>
    <row r="384">
      <c r="A384" s="4" t="n"/>
      <c r="B384" s="9">
        <f>IF(A384="","",INT((DAY(A384)-1)/7)+1)</f>
        <v/>
      </c>
      <c r="C384" s="9" t="n"/>
      <c r="D384" s="9" t="n"/>
      <c r="E384" s="9" t="n"/>
      <c r="F384" s="9" t="n"/>
      <c r="G384" s="9" t="n"/>
      <c r="H384" s="9" t="n"/>
      <c r="I384" s="9" t="n"/>
      <c r="J384" s="3" t="n"/>
      <c r="K384" s="9" t="n"/>
    </row>
    <row r="385">
      <c r="A385" s="4" t="n"/>
      <c r="B385" s="9">
        <f>IF(A385="","",INT((DAY(A385)-1)/7)+1)</f>
        <v/>
      </c>
      <c r="C385" s="9" t="n"/>
      <c r="D385" s="9" t="n"/>
      <c r="E385" s="9" t="n"/>
      <c r="F385" s="9" t="n"/>
      <c r="G385" s="9" t="n"/>
      <c r="H385" s="9" t="n"/>
      <c r="I385" s="9" t="n"/>
      <c r="J385" s="3" t="n"/>
      <c r="K385" s="9" t="n"/>
    </row>
    <row r="386">
      <c r="A386" s="4" t="n"/>
      <c r="B386" s="9">
        <f>IF(A386="","",INT((DAY(A386)-1)/7)+1)</f>
        <v/>
      </c>
      <c r="C386" s="9" t="n"/>
      <c r="D386" s="9" t="n"/>
      <c r="E386" s="9" t="n"/>
      <c r="F386" s="9" t="n"/>
      <c r="G386" s="9" t="n"/>
      <c r="H386" s="9" t="n"/>
      <c r="I386" s="9" t="n"/>
      <c r="J386" s="3" t="n"/>
      <c r="K386" s="9" t="n"/>
    </row>
    <row r="387">
      <c r="A387" s="4" t="n"/>
      <c r="B387" s="9">
        <f>IF(A387="","",INT((DAY(A387)-1)/7)+1)</f>
        <v/>
      </c>
      <c r="C387" s="9" t="n"/>
      <c r="D387" s="9" t="n"/>
      <c r="E387" s="9" t="n"/>
      <c r="F387" s="9" t="n"/>
      <c r="G387" s="9" t="n"/>
      <c r="H387" s="9" t="n"/>
      <c r="I387" s="9" t="n"/>
      <c r="J387" s="3" t="n"/>
      <c r="K387" s="9" t="n"/>
    </row>
    <row r="388">
      <c r="A388" s="4" t="n"/>
      <c r="B388" s="9">
        <f>IF(A388="","",INT((DAY(A388)-1)/7)+1)</f>
        <v/>
      </c>
      <c r="C388" s="9" t="n"/>
      <c r="D388" s="9" t="n"/>
      <c r="E388" s="9" t="n"/>
      <c r="F388" s="9" t="n"/>
      <c r="G388" s="9" t="n"/>
      <c r="H388" s="9" t="n"/>
      <c r="I388" s="9" t="n"/>
      <c r="J388" s="3" t="n"/>
      <c r="K388" s="9" t="n"/>
    </row>
    <row r="389">
      <c r="A389" s="4" t="n"/>
      <c r="B389" s="9">
        <f>IF(A389="","",INT((DAY(A389)-1)/7)+1)</f>
        <v/>
      </c>
      <c r="C389" s="9" t="n"/>
      <c r="D389" s="9" t="n"/>
      <c r="E389" s="9" t="n"/>
      <c r="F389" s="9" t="n"/>
      <c r="G389" s="9" t="n"/>
      <c r="H389" s="9" t="n"/>
      <c r="I389" s="9" t="n"/>
      <c r="J389" s="3" t="n"/>
      <c r="K389" s="9" t="n"/>
    </row>
    <row r="390">
      <c r="A390" s="4" t="n"/>
      <c r="B390" s="9">
        <f>IF(A390="","",INT((DAY(A390)-1)/7)+1)</f>
        <v/>
      </c>
      <c r="C390" s="9" t="n"/>
      <c r="D390" s="9" t="n"/>
      <c r="E390" s="9" t="n"/>
      <c r="F390" s="9" t="n"/>
      <c r="G390" s="9" t="n"/>
      <c r="H390" s="9" t="n"/>
      <c r="I390" s="9" t="n"/>
      <c r="J390" s="3" t="n"/>
      <c r="K390" s="9" t="n"/>
    </row>
    <row r="391">
      <c r="A391" s="4" t="n"/>
      <c r="B391" s="9">
        <f>IF(A391="","",INT((DAY(A391)-1)/7)+1)</f>
        <v/>
      </c>
      <c r="C391" s="9" t="n"/>
      <c r="D391" s="9" t="n"/>
      <c r="E391" s="9" t="n"/>
      <c r="F391" s="9" t="n"/>
      <c r="G391" s="9" t="n"/>
      <c r="H391" s="9" t="n"/>
      <c r="I391" s="9" t="n"/>
      <c r="J391" s="3" t="n"/>
      <c r="K391" s="9" t="n"/>
    </row>
    <row r="392">
      <c r="A392" s="4" t="n"/>
      <c r="B392" s="9">
        <f>IF(A392="","",INT((DAY(A392)-1)/7)+1)</f>
        <v/>
      </c>
      <c r="C392" s="9" t="n"/>
      <c r="D392" s="9" t="n"/>
      <c r="E392" s="9" t="n"/>
      <c r="F392" s="9" t="n"/>
      <c r="G392" s="9" t="n"/>
      <c r="H392" s="9" t="n"/>
      <c r="I392" s="9" t="n"/>
      <c r="J392" s="3" t="n"/>
      <c r="K392" s="9" t="n"/>
    </row>
    <row r="393">
      <c r="A393" s="4" t="n"/>
      <c r="B393" s="9">
        <f>IF(A393="","",INT((DAY(A393)-1)/7)+1)</f>
        <v/>
      </c>
      <c r="C393" s="9" t="n"/>
      <c r="D393" s="9" t="n"/>
      <c r="E393" s="9" t="n"/>
      <c r="F393" s="9" t="n"/>
      <c r="G393" s="9" t="n"/>
      <c r="H393" s="9" t="n"/>
      <c r="I393" s="9" t="n"/>
      <c r="J393" s="3" t="n"/>
      <c r="K393" s="9" t="n"/>
    </row>
    <row r="394">
      <c r="A394" s="4" t="n"/>
      <c r="B394" s="9">
        <f>IF(A394="","",INT((DAY(A394)-1)/7)+1)</f>
        <v/>
      </c>
      <c r="C394" s="9" t="n"/>
      <c r="D394" s="9" t="n"/>
      <c r="E394" s="9" t="n"/>
      <c r="F394" s="9" t="n"/>
      <c r="G394" s="9" t="n"/>
      <c r="H394" s="9" t="n"/>
      <c r="I394" s="9" t="n"/>
      <c r="J394" s="3" t="n"/>
      <c r="K394" s="9" t="n"/>
    </row>
    <row r="395">
      <c r="A395" s="4" t="n"/>
      <c r="B395" s="9">
        <f>IF(A395="","",INT((DAY(A395)-1)/7)+1)</f>
        <v/>
      </c>
      <c r="C395" s="9" t="n"/>
      <c r="D395" s="9" t="n"/>
      <c r="E395" s="9" t="n"/>
      <c r="F395" s="9" t="n"/>
      <c r="G395" s="9" t="n"/>
      <c r="H395" s="9" t="n"/>
      <c r="I395" s="9" t="n"/>
      <c r="J395" s="3" t="n"/>
      <c r="K395" s="9" t="n"/>
    </row>
    <row r="396">
      <c r="A396" s="4" t="n"/>
      <c r="B396" s="9">
        <f>IF(A396="","",INT((DAY(A396)-1)/7)+1)</f>
        <v/>
      </c>
      <c r="C396" s="9" t="n"/>
      <c r="D396" s="9" t="n"/>
      <c r="E396" s="9" t="n"/>
      <c r="F396" s="9" t="n"/>
      <c r="G396" s="9" t="n"/>
      <c r="H396" s="9" t="n"/>
      <c r="I396" s="9" t="n"/>
      <c r="J396" s="3" t="n"/>
      <c r="K396" s="9" t="n"/>
    </row>
    <row r="397">
      <c r="A397" s="4" t="n"/>
      <c r="B397" s="9">
        <f>IF(A397="","",INT((DAY(A397)-1)/7)+1)</f>
        <v/>
      </c>
      <c r="C397" s="9" t="n"/>
      <c r="D397" s="9" t="n"/>
      <c r="E397" s="9" t="n"/>
      <c r="F397" s="9" t="n"/>
      <c r="G397" s="9" t="n"/>
      <c r="H397" s="9" t="n"/>
      <c r="I397" s="9" t="n"/>
      <c r="J397" s="3" t="n"/>
      <c r="K397" s="9" t="n"/>
    </row>
    <row r="398">
      <c r="A398" s="4" t="n"/>
      <c r="B398" s="9">
        <f>IF(A398="","",INT((DAY(A398)-1)/7)+1)</f>
        <v/>
      </c>
      <c r="C398" s="9" t="n"/>
      <c r="D398" s="9" t="n"/>
      <c r="E398" s="9" t="n"/>
      <c r="F398" s="9" t="n"/>
      <c r="G398" s="9" t="n"/>
      <c r="H398" s="9" t="n"/>
      <c r="I398" s="9" t="n"/>
      <c r="J398" s="3" t="n"/>
      <c r="K398" s="9" t="n"/>
    </row>
    <row r="399">
      <c r="A399" s="4" t="n"/>
      <c r="B399" s="9">
        <f>IF(A399="","",INT((DAY(A399)-1)/7)+1)</f>
        <v/>
      </c>
      <c r="C399" s="9" t="n"/>
      <c r="D399" s="9" t="n"/>
      <c r="E399" s="9" t="n"/>
      <c r="F399" s="9" t="n"/>
      <c r="G399" s="9" t="n"/>
      <c r="H399" s="9" t="n"/>
      <c r="I399" s="9" t="n"/>
      <c r="J399" s="3" t="n"/>
      <c r="K399" s="9" t="n"/>
    </row>
    <row r="400">
      <c r="A400" s="4" t="n"/>
      <c r="B400" s="9">
        <f>IF(A400="","",INT((DAY(A400)-1)/7)+1)</f>
        <v/>
      </c>
      <c r="C400" s="9" t="n"/>
      <c r="D400" s="9" t="n"/>
      <c r="E400" s="9" t="n"/>
      <c r="F400" s="9" t="n"/>
      <c r="G400" s="9" t="n"/>
      <c r="H400" s="9" t="n"/>
      <c r="I400" s="9" t="n"/>
      <c r="J400" s="3" t="n"/>
      <c r="K400" s="9" t="n"/>
    </row>
    <row r="401">
      <c r="A401" s="4" t="n"/>
      <c r="B401" s="9">
        <f>IF(A401="","",INT((DAY(A401)-1)/7)+1)</f>
        <v/>
      </c>
      <c r="C401" s="9" t="n"/>
      <c r="D401" s="9" t="n"/>
      <c r="E401" s="9" t="n"/>
      <c r="F401" s="9" t="n"/>
      <c r="G401" s="9" t="n"/>
      <c r="H401" s="9" t="n"/>
      <c r="I401" s="9" t="n"/>
      <c r="J401" s="3" t="n"/>
      <c r="K401" s="9" t="n"/>
    </row>
    <row r="402">
      <c r="A402" s="4" t="n"/>
      <c r="B402" s="9">
        <f>IF(A402="","",INT((DAY(A402)-1)/7)+1)</f>
        <v/>
      </c>
      <c r="C402" s="9" t="n"/>
      <c r="D402" s="9" t="n"/>
      <c r="E402" s="9" t="n"/>
      <c r="F402" s="9" t="n"/>
      <c r="G402" s="9" t="n"/>
      <c r="H402" s="9" t="n"/>
      <c r="I402" s="9" t="n"/>
      <c r="J402" s="3" t="n"/>
      <c r="K402" s="9" t="n"/>
    </row>
    <row r="403">
      <c r="A403" s="4" t="n"/>
      <c r="B403" s="9">
        <f>IF(A403="","",INT((DAY(A403)-1)/7)+1)</f>
        <v/>
      </c>
      <c r="C403" s="9" t="n"/>
      <c r="D403" s="9" t="n"/>
      <c r="E403" s="9" t="n"/>
      <c r="F403" s="9" t="n"/>
      <c r="G403" s="9" t="n"/>
      <c r="H403" s="9" t="n"/>
      <c r="I403" s="9" t="n"/>
      <c r="J403" s="3" t="n"/>
      <c r="K403" s="9" t="n"/>
    </row>
    <row r="404">
      <c r="A404" s="4" t="n"/>
      <c r="B404" s="9">
        <f>IF(A404="","",INT((DAY(A404)-1)/7)+1)</f>
        <v/>
      </c>
      <c r="C404" s="9" t="n"/>
      <c r="D404" s="9" t="n"/>
      <c r="E404" s="9" t="n"/>
      <c r="F404" s="9" t="n"/>
      <c r="G404" s="9" t="n"/>
      <c r="H404" s="9" t="n"/>
      <c r="I404" s="9" t="n"/>
      <c r="J404" s="3" t="n"/>
      <c r="K404" s="9" t="n"/>
    </row>
    <row r="405">
      <c r="A405" s="4" t="n"/>
      <c r="B405" s="9">
        <f>IF(A405="","",INT((DAY(A405)-1)/7)+1)</f>
        <v/>
      </c>
      <c r="C405" s="9" t="n"/>
      <c r="D405" s="9" t="n"/>
      <c r="E405" s="9" t="n"/>
      <c r="F405" s="9" t="n"/>
      <c r="G405" s="9" t="n"/>
      <c r="H405" s="9" t="n"/>
      <c r="I405" s="9" t="n"/>
      <c r="J405" s="3" t="n"/>
      <c r="K405" s="9" t="n"/>
    </row>
    <row r="406">
      <c r="A406" s="4" t="n"/>
      <c r="B406" s="9">
        <f>IF(A406="","",INT((DAY(A406)-1)/7)+1)</f>
        <v/>
      </c>
      <c r="C406" s="9" t="n"/>
      <c r="D406" s="9" t="n"/>
      <c r="E406" s="9" t="n"/>
      <c r="F406" s="9" t="n"/>
      <c r="G406" s="9" t="n"/>
      <c r="H406" s="9" t="n"/>
      <c r="I406" s="9" t="n"/>
      <c r="J406" s="3" t="n"/>
      <c r="K406" s="9" t="n"/>
    </row>
    <row r="407">
      <c r="A407" s="4" t="n"/>
      <c r="B407" s="9">
        <f>IF(A407="","",INT((DAY(A407)-1)/7)+1)</f>
        <v/>
      </c>
      <c r="C407" s="9" t="n"/>
      <c r="D407" s="9" t="n"/>
      <c r="E407" s="9" t="n"/>
      <c r="F407" s="9" t="n"/>
      <c r="G407" s="9" t="n"/>
      <c r="H407" s="9" t="n"/>
      <c r="I407" s="9" t="n"/>
      <c r="J407" s="3" t="n"/>
      <c r="K407" s="9" t="n"/>
    </row>
    <row r="408">
      <c r="A408" s="4" t="n"/>
      <c r="B408" s="9">
        <f>IF(A408="","",INT((DAY(A408)-1)/7)+1)</f>
        <v/>
      </c>
      <c r="C408" s="9" t="n"/>
      <c r="D408" s="9" t="n"/>
      <c r="E408" s="9" t="n"/>
      <c r="F408" s="9" t="n"/>
      <c r="G408" s="9" t="n"/>
      <c r="H408" s="9" t="n"/>
      <c r="I408" s="9" t="n"/>
      <c r="J408" s="3" t="n"/>
      <c r="K408" s="9" t="n"/>
    </row>
    <row r="409">
      <c r="A409" s="4" t="n"/>
      <c r="B409" s="9">
        <f>IF(A409="","",INT((DAY(A409)-1)/7)+1)</f>
        <v/>
      </c>
      <c r="C409" s="9" t="n"/>
      <c r="D409" s="9" t="n"/>
      <c r="E409" s="9" t="n"/>
      <c r="F409" s="9" t="n"/>
      <c r="G409" s="9" t="n"/>
      <c r="H409" s="9" t="n"/>
      <c r="I409" s="9" t="n"/>
      <c r="J409" s="3" t="n"/>
      <c r="K409" s="9" t="n"/>
    </row>
    <row r="410">
      <c r="A410" s="4" t="n"/>
      <c r="B410" s="9">
        <f>IF(A410="","",INT((DAY(A410)-1)/7)+1)</f>
        <v/>
      </c>
      <c r="C410" s="9" t="n"/>
      <c r="D410" s="9" t="n"/>
      <c r="E410" s="9" t="n"/>
      <c r="F410" s="9" t="n"/>
      <c r="G410" s="9" t="n"/>
      <c r="H410" s="9" t="n"/>
      <c r="I410" s="9" t="n"/>
      <c r="J410" s="3" t="n"/>
      <c r="K410" s="9" t="n"/>
    </row>
    <row r="411">
      <c r="A411" s="4" t="n"/>
      <c r="B411" s="9">
        <f>IF(A411="","",INT((DAY(A411)-1)/7)+1)</f>
        <v/>
      </c>
      <c r="C411" s="9" t="n"/>
      <c r="D411" s="9" t="n"/>
      <c r="E411" s="9" t="n"/>
      <c r="F411" s="9" t="n"/>
      <c r="G411" s="9" t="n"/>
      <c r="H411" s="9" t="n"/>
      <c r="I411" s="9" t="n"/>
      <c r="J411" s="3" t="n"/>
      <c r="K411" s="9" t="n"/>
    </row>
    <row r="412">
      <c r="A412" s="4" t="n"/>
      <c r="B412" s="9">
        <f>IF(A412="","",INT((DAY(A412)-1)/7)+1)</f>
        <v/>
      </c>
      <c r="C412" s="9" t="n"/>
      <c r="D412" s="9" t="n"/>
      <c r="E412" s="9" t="n"/>
      <c r="F412" s="9" t="n"/>
      <c r="G412" s="9" t="n"/>
      <c r="H412" s="9" t="n"/>
      <c r="I412" s="9" t="n"/>
      <c r="J412" s="3" t="n"/>
      <c r="K412" s="9" t="n"/>
    </row>
    <row r="413">
      <c r="A413" s="4" t="n"/>
      <c r="B413" s="9">
        <f>IF(A413="","",INT((DAY(A413)-1)/7)+1)</f>
        <v/>
      </c>
      <c r="C413" s="9" t="n"/>
      <c r="D413" s="9" t="n"/>
      <c r="E413" s="9" t="n"/>
      <c r="F413" s="9" t="n"/>
      <c r="G413" s="9" t="n"/>
      <c r="H413" s="9" t="n"/>
      <c r="I413" s="9" t="n"/>
      <c r="J413" s="3" t="n"/>
      <c r="K413" s="9" t="n"/>
    </row>
    <row r="414">
      <c r="A414" s="4" t="n"/>
      <c r="B414" s="9">
        <f>IF(A414="","",INT((DAY(A414)-1)/7)+1)</f>
        <v/>
      </c>
      <c r="C414" s="9" t="n"/>
      <c r="D414" s="9" t="n"/>
      <c r="E414" s="9" t="n"/>
      <c r="F414" s="9" t="n"/>
      <c r="G414" s="9" t="n"/>
      <c r="H414" s="9" t="n"/>
      <c r="I414" s="9" t="n"/>
      <c r="J414" s="3" t="n"/>
      <c r="K414" s="9" t="n"/>
    </row>
    <row r="415">
      <c r="A415" s="4" t="n"/>
      <c r="B415" s="9">
        <f>IF(A415="","",INT((DAY(A415)-1)/7)+1)</f>
        <v/>
      </c>
      <c r="C415" s="9" t="n"/>
      <c r="D415" s="9" t="n"/>
      <c r="E415" s="9" t="n"/>
      <c r="F415" s="9" t="n"/>
      <c r="G415" s="9" t="n"/>
      <c r="H415" s="9" t="n"/>
      <c r="I415" s="9" t="n"/>
      <c r="J415" s="3" t="n"/>
      <c r="K415" s="9" t="n"/>
    </row>
    <row r="416">
      <c r="A416" s="4" t="n"/>
      <c r="B416" s="9">
        <f>IF(A416="","",INT((DAY(A416)-1)/7)+1)</f>
        <v/>
      </c>
      <c r="C416" s="9" t="n"/>
      <c r="D416" s="9" t="n"/>
      <c r="E416" s="9" t="n"/>
      <c r="F416" s="9" t="n"/>
      <c r="G416" s="9" t="n"/>
      <c r="H416" s="9" t="n"/>
      <c r="I416" s="9" t="n"/>
      <c r="J416" s="3" t="n"/>
      <c r="K416" s="9" t="n"/>
    </row>
    <row r="417">
      <c r="A417" s="4" t="n"/>
      <c r="B417" s="9">
        <f>IF(A417="","",INT((DAY(A417)-1)/7)+1)</f>
        <v/>
      </c>
      <c r="C417" s="9" t="n"/>
      <c r="D417" s="9" t="n"/>
      <c r="E417" s="9" t="n"/>
      <c r="F417" s="9" t="n"/>
      <c r="G417" s="9" t="n"/>
      <c r="H417" s="9" t="n"/>
      <c r="I417" s="9" t="n"/>
      <c r="J417" s="3" t="n"/>
      <c r="K417" s="9" t="n"/>
    </row>
    <row r="418">
      <c r="A418" s="4" t="n"/>
      <c r="B418" s="9">
        <f>IF(A418="","",INT((DAY(A418)-1)/7)+1)</f>
        <v/>
      </c>
      <c r="C418" s="9" t="n"/>
      <c r="D418" s="9" t="n"/>
      <c r="E418" s="9" t="n"/>
      <c r="F418" s="9" t="n"/>
      <c r="G418" s="9" t="n"/>
      <c r="H418" s="9" t="n"/>
      <c r="I418" s="9" t="n"/>
      <c r="J418" s="3" t="n"/>
      <c r="K418" s="9" t="n"/>
    </row>
    <row r="419">
      <c r="A419" s="4" t="n"/>
      <c r="B419" s="9">
        <f>IF(A419="","",INT((DAY(A419)-1)/7)+1)</f>
        <v/>
      </c>
      <c r="C419" s="9" t="n"/>
      <c r="D419" s="9" t="n"/>
      <c r="E419" s="9" t="n"/>
      <c r="F419" s="9" t="n"/>
      <c r="G419" s="9" t="n"/>
      <c r="H419" s="9" t="n"/>
      <c r="I419" s="9" t="n"/>
      <c r="J419" s="3" t="n"/>
      <c r="K419" s="9" t="n"/>
    </row>
    <row r="420">
      <c r="A420" s="4" t="n"/>
      <c r="B420" s="9">
        <f>IF(A420="","",INT((DAY(A420)-1)/7)+1)</f>
        <v/>
      </c>
      <c r="C420" s="9" t="n"/>
      <c r="D420" s="9" t="n"/>
      <c r="E420" s="9" t="n"/>
      <c r="F420" s="9" t="n"/>
      <c r="G420" s="9" t="n"/>
      <c r="H420" s="9" t="n"/>
      <c r="I420" s="9" t="n"/>
      <c r="J420" s="3" t="n"/>
      <c r="K420" s="9" t="n"/>
    </row>
    <row r="421">
      <c r="A421" s="4" t="n"/>
      <c r="B421" s="9">
        <f>IF(A421="","",INT((DAY(A421)-1)/7)+1)</f>
        <v/>
      </c>
      <c r="C421" s="9" t="n"/>
      <c r="D421" s="9" t="n"/>
      <c r="E421" s="9" t="n"/>
      <c r="F421" s="9" t="n"/>
      <c r="G421" s="9" t="n"/>
      <c r="H421" s="9" t="n"/>
      <c r="I421" s="9" t="n"/>
      <c r="J421" s="3" t="n"/>
      <c r="K421" s="9" t="n"/>
    </row>
    <row r="422">
      <c r="A422" s="4" t="n"/>
      <c r="B422" s="9">
        <f>IF(A422="","",INT((DAY(A422)-1)/7)+1)</f>
        <v/>
      </c>
      <c r="C422" s="9" t="n"/>
      <c r="D422" s="9" t="n"/>
      <c r="E422" s="9" t="n"/>
      <c r="F422" s="9" t="n"/>
      <c r="G422" s="9" t="n"/>
      <c r="H422" s="9" t="n"/>
      <c r="I422" s="9" t="n"/>
      <c r="J422" s="3" t="n"/>
      <c r="K422" s="9" t="n"/>
    </row>
    <row r="423">
      <c r="A423" s="4" t="n"/>
      <c r="B423" s="9">
        <f>IF(A423="","",INT((DAY(A423)-1)/7)+1)</f>
        <v/>
      </c>
      <c r="C423" s="9" t="n"/>
      <c r="D423" s="9" t="n"/>
      <c r="E423" s="9" t="n"/>
      <c r="F423" s="9" t="n"/>
      <c r="G423" s="9" t="n"/>
      <c r="H423" s="9" t="n"/>
      <c r="I423" s="9" t="n"/>
      <c r="J423" s="3" t="n"/>
      <c r="K423" s="9" t="n"/>
    </row>
    <row r="424">
      <c r="A424" s="4" t="n"/>
      <c r="B424" s="9">
        <f>IF(A424="","",INT((DAY(A424)-1)/7)+1)</f>
        <v/>
      </c>
      <c r="C424" s="9" t="n"/>
      <c r="D424" s="9" t="n"/>
      <c r="E424" s="9" t="n"/>
      <c r="F424" s="9" t="n"/>
      <c r="G424" s="9" t="n"/>
      <c r="H424" s="9" t="n"/>
      <c r="I424" s="9" t="n"/>
      <c r="J424" s="3" t="n"/>
      <c r="K424" s="9" t="n"/>
    </row>
    <row r="425">
      <c r="A425" s="4" t="n"/>
      <c r="B425" s="9">
        <f>IF(A425="","",INT((DAY(A425)-1)/7)+1)</f>
        <v/>
      </c>
      <c r="C425" s="9" t="n"/>
      <c r="D425" s="9" t="n"/>
      <c r="E425" s="9" t="n"/>
      <c r="F425" s="9" t="n"/>
      <c r="G425" s="9" t="n"/>
      <c r="H425" s="9" t="n"/>
      <c r="I425" s="9" t="n"/>
      <c r="J425" s="3" t="n"/>
      <c r="K425" s="9" t="n"/>
    </row>
    <row r="426">
      <c r="A426" s="4" t="n"/>
      <c r="B426" s="9">
        <f>IF(A426="","",INT((DAY(A426)-1)/7)+1)</f>
        <v/>
      </c>
      <c r="C426" s="9" t="n"/>
      <c r="D426" s="9" t="n"/>
      <c r="E426" s="9" t="n"/>
      <c r="F426" s="9" t="n"/>
      <c r="G426" s="9" t="n"/>
      <c r="H426" s="9" t="n"/>
      <c r="I426" s="9" t="n"/>
      <c r="J426" s="3" t="n"/>
      <c r="K426" s="9" t="n"/>
    </row>
    <row r="427">
      <c r="A427" s="4" t="n"/>
      <c r="B427" s="9">
        <f>IF(A427="","",INT((DAY(A427)-1)/7)+1)</f>
        <v/>
      </c>
      <c r="C427" s="9" t="n"/>
      <c r="D427" s="9" t="n"/>
      <c r="E427" s="9" t="n"/>
      <c r="F427" s="9" t="n"/>
      <c r="G427" s="9" t="n"/>
      <c r="H427" s="9" t="n"/>
      <c r="I427" s="9" t="n"/>
      <c r="J427" s="3" t="n"/>
      <c r="K427" s="9" t="n"/>
    </row>
    <row r="428">
      <c r="A428" s="4" t="n"/>
      <c r="B428" s="9">
        <f>IF(A428="","",INT((DAY(A428)-1)/7)+1)</f>
        <v/>
      </c>
      <c r="C428" s="9" t="n"/>
      <c r="D428" s="9" t="n"/>
      <c r="E428" s="9" t="n"/>
      <c r="F428" s="9" t="n"/>
      <c r="G428" s="9" t="n"/>
      <c r="H428" s="9" t="n"/>
      <c r="I428" s="9" t="n"/>
      <c r="J428" s="3" t="n"/>
      <c r="K428" s="9" t="n"/>
    </row>
    <row r="429">
      <c r="A429" s="4" t="n"/>
      <c r="B429" s="9">
        <f>IF(A429="","",INT((DAY(A429)-1)/7)+1)</f>
        <v/>
      </c>
      <c r="C429" s="9" t="n"/>
      <c r="D429" s="9" t="n"/>
      <c r="E429" s="9" t="n"/>
      <c r="F429" s="9" t="n"/>
      <c r="G429" s="9" t="n"/>
      <c r="H429" s="9" t="n"/>
      <c r="I429" s="9" t="n"/>
      <c r="J429" s="3" t="n"/>
      <c r="K429" s="9" t="n"/>
    </row>
    <row r="430">
      <c r="A430" s="4" t="n"/>
      <c r="B430" s="9">
        <f>IF(A430="","",INT((DAY(A430)-1)/7)+1)</f>
        <v/>
      </c>
      <c r="C430" s="9" t="n"/>
      <c r="D430" s="9" t="n"/>
      <c r="E430" s="9" t="n"/>
      <c r="F430" s="9" t="n"/>
      <c r="G430" s="9" t="n"/>
      <c r="H430" s="9" t="n"/>
      <c r="I430" s="9" t="n"/>
      <c r="J430" s="3" t="n"/>
      <c r="K430" s="9" t="n"/>
    </row>
    <row r="431">
      <c r="A431" s="4" t="n"/>
      <c r="B431" s="9">
        <f>IF(A431="","",INT((DAY(A431)-1)/7)+1)</f>
        <v/>
      </c>
      <c r="C431" s="9" t="n"/>
      <c r="D431" s="9" t="n"/>
      <c r="E431" s="9" t="n"/>
      <c r="F431" s="9" t="n"/>
      <c r="G431" s="9" t="n"/>
      <c r="H431" s="9" t="n"/>
      <c r="I431" s="9" t="n"/>
      <c r="J431" s="3" t="n"/>
      <c r="K431" s="9" t="n"/>
    </row>
    <row r="432">
      <c r="A432" s="4" t="n"/>
      <c r="B432" s="9">
        <f>IF(A432="","",INT((DAY(A432)-1)/7)+1)</f>
        <v/>
      </c>
      <c r="C432" s="9" t="n"/>
      <c r="D432" s="9" t="n"/>
      <c r="E432" s="9" t="n"/>
      <c r="F432" s="9" t="n"/>
      <c r="G432" s="9" t="n"/>
      <c r="H432" s="9" t="n"/>
      <c r="I432" s="9" t="n"/>
      <c r="J432" s="3" t="n"/>
      <c r="K432" s="9" t="n"/>
    </row>
    <row r="433">
      <c r="A433" s="4" t="n"/>
      <c r="B433" s="9">
        <f>IF(A433="","",INT((DAY(A433)-1)/7)+1)</f>
        <v/>
      </c>
      <c r="C433" s="9" t="n"/>
      <c r="D433" s="9" t="n"/>
      <c r="E433" s="9" t="n"/>
      <c r="F433" s="9" t="n"/>
      <c r="G433" s="9" t="n"/>
      <c r="H433" s="9" t="n"/>
      <c r="I433" s="9" t="n"/>
      <c r="J433" s="3" t="n"/>
      <c r="K433" s="9" t="n"/>
    </row>
    <row r="434">
      <c r="A434" s="4" t="n"/>
      <c r="B434" s="9">
        <f>IF(A434="","",INT((DAY(A434)-1)/7)+1)</f>
        <v/>
      </c>
      <c r="C434" s="9" t="n"/>
      <c r="D434" s="9" t="n"/>
      <c r="E434" s="9" t="n"/>
      <c r="F434" s="9" t="n"/>
      <c r="G434" s="9" t="n"/>
      <c r="H434" s="9" t="n"/>
      <c r="I434" s="9" t="n"/>
      <c r="J434" s="3" t="n"/>
      <c r="K434" s="9" t="n"/>
    </row>
    <row r="435">
      <c r="A435" s="4" t="n"/>
      <c r="B435" s="9">
        <f>IF(A435="","",INT((DAY(A435)-1)/7)+1)</f>
        <v/>
      </c>
      <c r="C435" s="9" t="n"/>
      <c r="D435" s="9" t="n"/>
      <c r="E435" s="9" t="n"/>
      <c r="F435" s="9" t="n"/>
      <c r="G435" s="9" t="n"/>
      <c r="H435" s="9" t="n"/>
      <c r="I435" s="9" t="n"/>
      <c r="J435" s="3" t="n"/>
      <c r="K435" s="9" t="n"/>
    </row>
    <row r="436">
      <c r="A436" s="4" t="n"/>
      <c r="B436" s="9">
        <f>IF(A436="","",INT((DAY(A436)-1)/7)+1)</f>
        <v/>
      </c>
      <c r="C436" s="9" t="n"/>
      <c r="D436" s="9" t="n"/>
      <c r="E436" s="9" t="n"/>
      <c r="F436" s="9" t="n"/>
      <c r="G436" s="9" t="n"/>
      <c r="H436" s="9" t="n"/>
      <c r="I436" s="9" t="n"/>
      <c r="J436" s="3" t="n"/>
      <c r="K436" s="9" t="n"/>
    </row>
    <row r="437">
      <c r="A437" s="4" t="n"/>
      <c r="B437" s="9">
        <f>IF(A437="","",INT((DAY(A437)-1)/7)+1)</f>
        <v/>
      </c>
      <c r="C437" s="9" t="n"/>
      <c r="D437" s="9" t="n"/>
      <c r="E437" s="9" t="n"/>
      <c r="F437" s="9" t="n"/>
      <c r="G437" s="9" t="n"/>
      <c r="H437" s="9" t="n"/>
      <c r="I437" s="9" t="n"/>
      <c r="J437" s="3" t="n"/>
      <c r="K437" s="9" t="n"/>
    </row>
    <row r="438">
      <c r="A438" s="4" t="n"/>
      <c r="B438" s="9">
        <f>IF(A438="","",INT((DAY(A438)-1)/7)+1)</f>
        <v/>
      </c>
      <c r="C438" s="9" t="n"/>
      <c r="D438" s="9" t="n"/>
      <c r="E438" s="9" t="n"/>
      <c r="F438" s="9" t="n"/>
      <c r="G438" s="9" t="n"/>
      <c r="H438" s="9" t="n"/>
      <c r="I438" s="9" t="n"/>
      <c r="J438" s="3" t="n"/>
      <c r="K438" s="9" t="n"/>
    </row>
    <row r="439">
      <c r="A439" s="4" t="n"/>
      <c r="B439" s="9">
        <f>IF(A439="","",INT((DAY(A439)-1)/7)+1)</f>
        <v/>
      </c>
      <c r="C439" s="9" t="n"/>
      <c r="D439" s="9" t="n"/>
      <c r="E439" s="9" t="n"/>
      <c r="F439" s="9" t="n"/>
      <c r="G439" s="9" t="n"/>
      <c r="H439" s="9" t="n"/>
      <c r="I439" s="9" t="n"/>
      <c r="J439" s="3" t="n"/>
      <c r="K439" s="9" t="n"/>
    </row>
    <row r="440">
      <c r="A440" s="4" t="n"/>
      <c r="B440" s="9">
        <f>IF(A440="","",INT((DAY(A440)-1)/7)+1)</f>
        <v/>
      </c>
      <c r="C440" s="9" t="n"/>
      <c r="D440" s="9" t="n"/>
      <c r="E440" s="9" t="n"/>
      <c r="F440" s="9" t="n"/>
      <c r="G440" s="9" t="n"/>
      <c r="H440" s="9" t="n"/>
      <c r="I440" s="9" t="n"/>
      <c r="J440" s="3" t="n"/>
      <c r="K440" s="9" t="n"/>
    </row>
    <row r="441">
      <c r="A441" s="4" t="n"/>
      <c r="B441" s="9">
        <f>IF(A441="","",INT((DAY(A441)-1)/7)+1)</f>
        <v/>
      </c>
      <c r="C441" s="9" t="n"/>
      <c r="D441" s="9" t="n"/>
      <c r="E441" s="9" t="n"/>
      <c r="F441" s="9" t="n"/>
      <c r="G441" s="9" t="n"/>
      <c r="H441" s="9" t="n"/>
      <c r="I441" s="9" t="n"/>
      <c r="J441" s="3" t="n"/>
      <c r="K441" s="9" t="n"/>
    </row>
    <row r="442">
      <c r="A442" s="4" t="n"/>
      <c r="B442" s="9">
        <f>IF(A442="","",INT((DAY(A442)-1)/7)+1)</f>
        <v/>
      </c>
      <c r="C442" s="9" t="n"/>
      <c r="D442" s="9" t="n"/>
      <c r="E442" s="9" t="n"/>
      <c r="F442" s="9" t="n"/>
      <c r="G442" s="9" t="n"/>
      <c r="H442" s="9" t="n"/>
      <c r="I442" s="9" t="n"/>
      <c r="J442" s="3" t="n"/>
      <c r="K442" s="9" t="n"/>
    </row>
    <row r="443">
      <c r="A443" s="4" t="n"/>
      <c r="B443" s="9">
        <f>IF(A443="","",INT((DAY(A443)-1)/7)+1)</f>
        <v/>
      </c>
      <c r="C443" s="9" t="n"/>
      <c r="D443" s="9" t="n"/>
      <c r="E443" s="9" t="n"/>
      <c r="F443" s="9" t="n"/>
      <c r="G443" s="9" t="n"/>
      <c r="H443" s="9" t="n"/>
      <c r="I443" s="9" t="n"/>
      <c r="J443" s="3" t="n"/>
      <c r="K443" s="9" t="n"/>
    </row>
    <row r="444">
      <c r="A444" s="4" t="n"/>
      <c r="B444" s="9">
        <f>IF(A444="","",INT((DAY(A444)-1)/7)+1)</f>
        <v/>
      </c>
      <c r="C444" s="9" t="n"/>
      <c r="D444" s="9" t="n"/>
      <c r="E444" s="9" t="n"/>
      <c r="F444" s="9" t="n"/>
      <c r="G444" s="9" t="n"/>
      <c r="H444" s="9" t="n"/>
      <c r="I444" s="9" t="n"/>
      <c r="J444" s="3" t="n"/>
      <c r="K444" s="9" t="n"/>
    </row>
    <row r="445">
      <c r="A445" s="4" t="n"/>
      <c r="B445" s="9">
        <f>IF(A445="","",INT((DAY(A445)-1)/7)+1)</f>
        <v/>
      </c>
      <c r="C445" s="9" t="n"/>
      <c r="D445" s="9" t="n"/>
      <c r="E445" s="9" t="n"/>
      <c r="F445" s="9" t="n"/>
      <c r="G445" s="9" t="n"/>
      <c r="H445" s="9" t="n"/>
      <c r="I445" s="9" t="n"/>
      <c r="J445" s="3" t="n"/>
      <c r="K445" s="9" t="n"/>
    </row>
    <row r="446">
      <c r="A446" s="4" t="n"/>
      <c r="B446" s="9">
        <f>IF(A446="","",INT((DAY(A446)-1)/7)+1)</f>
        <v/>
      </c>
      <c r="C446" s="9" t="n"/>
      <c r="D446" s="9" t="n"/>
      <c r="E446" s="9" t="n"/>
      <c r="F446" s="9" t="n"/>
      <c r="G446" s="9" t="n"/>
      <c r="H446" s="9" t="n"/>
      <c r="I446" s="9" t="n"/>
      <c r="J446" s="3" t="n"/>
      <c r="K446" s="9" t="n"/>
    </row>
    <row r="447">
      <c r="A447" s="4" t="n"/>
      <c r="B447" s="9">
        <f>IF(A447="","",INT((DAY(A447)-1)/7)+1)</f>
        <v/>
      </c>
      <c r="C447" s="9" t="n"/>
      <c r="D447" s="9" t="n"/>
      <c r="E447" s="9" t="n"/>
      <c r="F447" s="9" t="n"/>
      <c r="G447" s="9" t="n"/>
      <c r="H447" s="9" t="n"/>
      <c r="I447" s="9" t="n"/>
      <c r="J447" s="3" t="n"/>
      <c r="K447" s="9" t="n"/>
    </row>
    <row r="448">
      <c r="A448" s="4" t="n"/>
      <c r="B448" s="9">
        <f>IF(A448="","",INT((DAY(A448)-1)/7)+1)</f>
        <v/>
      </c>
      <c r="C448" s="9" t="n"/>
      <c r="D448" s="9" t="n"/>
      <c r="E448" s="9" t="n"/>
      <c r="F448" s="9" t="n"/>
      <c r="G448" s="9" t="n"/>
      <c r="H448" s="9" t="n"/>
      <c r="I448" s="9" t="n"/>
      <c r="J448" s="3" t="n"/>
      <c r="K448" s="9" t="n"/>
    </row>
    <row r="449">
      <c r="A449" s="4" t="n"/>
      <c r="B449" s="9">
        <f>IF(A449="","",INT((DAY(A449)-1)/7)+1)</f>
        <v/>
      </c>
      <c r="C449" s="9" t="n"/>
      <c r="D449" s="9" t="n"/>
      <c r="E449" s="9" t="n"/>
      <c r="F449" s="9" t="n"/>
      <c r="G449" s="9" t="n"/>
      <c r="H449" s="9" t="n"/>
      <c r="I449" s="9" t="n"/>
      <c r="J449" s="3" t="n"/>
      <c r="K449" s="9" t="n"/>
    </row>
    <row r="450">
      <c r="A450" s="4" t="n"/>
      <c r="B450" s="9">
        <f>IF(A450="","",INT((DAY(A450)-1)/7)+1)</f>
        <v/>
      </c>
      <c r="C450" s="9" t="n"/>
      <c r="D450" s="9" t="n"/>
      <c r="E450" s="9" t="n"/>
      <c r="F450" s="9" t="n"/>
      <c r="G450" s="9" t="n"/>
      <c r="H450" s="9" t="n"/>
      <c r="I450" s="9" t="n"/>
      <c r="J450" s="3" t="n"/>
      <c r="K450" s="9" t="n"/>
    </row>
    <row r="451">
      <c r="A451" s="4" t="n"/>
      <c r="B451" s="9">
        <f>IF(A451="","",INT((DAY(A451)-1)/7)+1)</f>
        <v/>
      </c>
      <c r="C451" s="9" t="n"/>
      <c r="D451" s="9" t="n"/>
      <c r="E451" s="9" t="n"/>
      <c r="F451" s="9" t="n"/>
      <c r="G451" s="9" t="n"/>
      <c r="H451" s="9" t="n"/>
      <c r="I451" s="9" t="n"/>
      <c r="J451" s="3" t="n"/>
      <c r="K451" s="9" t="n"/>
    </row>
    <row r="452">
      <c r="A452" s="4" t="n"/>
      <c r="B452" s="9">
        <f>IF(A452="","",INT((DAY(A452)-1)/7)+1)</f>
        <v/>
      </c>
      <c r="C452" s="9" t="n"/>
      <c r="D452" s="9" t="n"/>
      <c r="E452" s="9" t="n"/>
      <c r="F452" s="9" t="n"/>
      <c r="G452" s="9" t="n"/>
      <c r="H452" s="9" t="n"/>
      <c r="I452" s="9" t="n"/>
      <c r="J452" s="3" t="n"/>
      <c r="K452" s="9" t="n"/>
    </row>
    <row r="453">
      <c r="A453" s="4" t="n"/>
      <c r="B453" s="9">
        <f>IF(A453="","",INT((DAY(A453)-1)/7)+1)</f>
        <v/>
      </c>
      <c r="C453" s="9" t="n"/>
      <c r="D453" s="9" t="n"/>
      <c r="E453" s="9" t="n"/>
      <c r="F453" s="9" t="n"/>
      <c r="G453" s="9" t="n"/>
      <c r="H453" s="9" t="n"/>
      <c r="I453" s="9" t="n"/>
      <c r="J453" s="3" t="n"/>
      <c r="K453" s="9" t="n"/>
    </row>
    <row r="454">
      <c r="A454" s="4" t="n"/>
      <c r="B454" s="9">
        <f>IF(A454="","",INT((DAY(A454)-1)/7)+1)</f>
        <v/>
      </c>
      <c r="C454" s="9" t="n"/>
      <c r="D454" s="9" t="n"/>
      <c r="E454" s="9" t="n"/>
      <c r="F454" s="9" t="n"/>
      <c r="G454" s="9" t="n"/>
      <c r="H454" s="9" t="n"/>
      <c r="I454" s="9" t="n"/>
      <c r="J454" s="3" t="n"/>
      <c r="K454" s="9" t="n"/>
    </row>
    <row r="455">
      <c r="A455" s="4" t="n"/>
      <c r="B455" s="9">
        <f>IF(A455="","",INT((DAY(A455)-1)/7)+1)</f>
        <v/>
      </c>
      <c r="C455" s="9" t="n"/>
      <c r="D455" s="9" t="n"/>
      <c r="E455" s="9" t="n"/>
      <c r="F455" s="9" t="n"/>
      <c r="G455" s="9" t="n"/>
      <c r="H455" s="9" t="n"/>
      <c r="I455" s="9" t="n"/>
      <c r="J455" s="3" t="n"/>
      <c r="K455" s="9" t="n"/>
    </row>
    <row r="456">
      <c r="A456" s="4" t="n"/>
      <c r="B456" s="9">
        <f>IF(A456="","",INT((DAY(A456)-1)/7)+1)</f>
        <v/>
      </c>
      <c r="C456" s="9" t="n"/>
      <c r="D456" s="9" t="n"/>
      <c r="E456" s="9" t="n"/>
      <c r="F456" s="9" t="n"/>
      <c r="G456" s="9" t="n"/>
      <c r="H456" s="9" t="n"/>
      <c r="I456" s="9" t="n"/>
      <c r="J456" s="3" t="n"/>
      <c r="K456" s="9" t="n"/>
    </row>
    <row r="457">
      <c r="A457" s="4" t="n"/>
      <c r="B457" s="9">
        <f>IF(A457="","",INT((DAY(A457)-1)/7)+1)</f>
        <v/>
      </c>
      <c r="C457" s="9" t="n"/>
      <c r="D457" s="9" t="n"/>
      <c r="E457" s="9" t="n"/>
      <c r="F457" s="9" t="n"/>
      <c r="G457" s="9" t="n"/>
      <c r="H457" s="9" t="n"/>
      <c r="I457" s="9" t="n"/>
      <c r="J457" s="3" t="n"/>
      <c r="K457" s="9" t="n"/>
    </row>
    <row r="458">
      <c r="A458" s="4" t="n"/>
      <c r="B458" s="9">
        <f>IF(A458="","",INT((DAY(A458)-1)/7)+1)</f>
        <v/>
      </c>
      <c r="C458" s="9" t="n"/>
      <c r="D458" s="9" t="n"/>
      <c r="E458" s="9" t="n"/>
      <c r="F458" s="9" t="n"/>
      <c r="G458" s="9" t="n"/>
      <c r="H458" s="9" t="n"/>
      <c r="I458" s="9" t="n"/>
      <c r="J458" s="3" t="n"/>
      <c r="K458" s="9" t="n"/>
    </row>
    <row r="459">
      <c r="A459" s="4" t="n"/>
      <c r="B459" s="9">
        <f>IF(A459="","",INT((DAY(A459)-1)/7)+1)</f>
        <v/>
      </c>
      <c r="C459" s="9" t="n"/>
      <c r="D459" s="9" t="n"/>
      <c r="E459" s="9" t="n"/>
      <c r="F459" s="9" t="n"/>
      <c r="G459" s="9" t="n"/>
      <c r="H459" s="9" t="n"/>
      <c r="I459" s="9" t="n"/>
      <c r="J459" s="3" t="n"/>
      <c r="K459" s="9" t="n"/>
    </row>
    <row r="460">
      <c r="A460" s="4" t="n"/>
      <c r="B460" s="9">
        <f>IF(A460="","",INT((DAY(A460)-1)/7)+1)</f>
        <v/>
      </c>
      <c r="C460" s="9" t="n"/>
      <c r="D460" s="9" t="n"/>
      <c r="E460" s="9" t="n"/>
      <c r="F460" s="9" t="n"/>
      <c r="G460" s="9" t="n"/>
      <c r="H460" s="9" t="n"/>
      <c r="I460" s="9" t="n"/>
      <c r="J460" s="3" t="n"/>
      <c r="K460" s="9" t="n"/>
    </row>
    <row r="461">
      <c r="A461" s="4" t="n"/>
      <c r="B461" s="9">
        <f>IF(A461="","",INT((DAY(A461)-1)/7)+1)</f>
        <v/>
      </c>
      <c r="C461" s="9" t="n"/>
      <c r="D461" s="9" t="n"/>
      <c r="E461" s="9" t="n"/>
      <c r="F461" s="9" t="n"/>
      <c r="G461" s="9" t="n"/>
      <c r="H461" s="9" t="n"/>
      <c r="I461" s="9" t="n"/>
      <c r="J461" s="3" t="n"/>
      <c r="K461" s="9" t="n"/>
    </row>
    <row r="462">
      <c r="A462" s="4" t="n"/>
      <c r="B462" s="9">
        <f>IF(A462="","",INT((DAY(A462)-1)/7)+1)</f>
        <v/>
      </c>
      <c r="C462" s="9" t="n"/>
      <c r="D462" s="9" t="n"/>
      <c r="E462" s="9" t="n"/>
      <c r="F462" s="9" t="n"/>
      <c r="G462" s="9" t="n"/>
      <c r="H462" s="9" t="n"/>
      <c r="I462" s="9" t="n"/>
      <c r="J462" s="3" t="n"/>
      <c r="K462" s="9" t="n"/>
    </row>
    <row r="463">
      <c r="A463" s="4" t="n"/>
      <c r="B463" s="9">
        <f>IF(A463="","",INT((DAY(A463)-1)/7)+1)</f>
        <v/>
      </c>
      <c r="C463" s="9" t="n"/>
      <c r="D463" s="9" t="n"/>
      <c r="E463" s="9" t="n"/>
      <c r="F463" s="9" t="n"/>
      <c r="G463" s="9" t="n"/>
      <c r="H463" s="9" t="n"/>
      <c r="I463" s="9" t="n"/>
      <c r="J463" s="3" t="n"/>
      <c r="K463" s="9" t="n"/>
    </row>
    <row r="464">
      <c r="A464" s="4" t="n"/>
      <c r="B464" s="9">
        <f>IF(A464="","",INT((DAY(A464)-1)/7)+1)</f>
        <v/>
      </c>
      <c r="C464" s="9" t="n"/>
      <c r="D464" s="9" t="n"/>
      <c r="E464" s="9" t="n"/>
      <c r="F464" s="9" t="n"/>
      <c r="G464" s="9" t="n"/>
      <c r="H464" s="9" t="n"/>
      <c r="I464" s="9" t="n"/>
      <c r="J464" s="3" t="n"/>
      <c r="K464" s="9" t="n"/>
    </row>
    <row r="465">
      <c r="A465" s="4" t="n"/>
      <c r="B465" s="9">
        <f>IF(A465="","",INT((DAY(A465)-1)/7)+1)</f>
        <v/>
      </c>
      <c r="C465" s="9" t="n"/>
      <c r="D465" s="9" t="n"/>
      <c r="E465" s="9" t="n"/>
      <c r="F465" s="9" t="n"/>
      <c r="G465" s="9" t="n"/>
      <c r="H465" s="9" t="n"/>
      <c r="I465" s="9" t="n"/>
      <c r="J465" s="3" t="n"/>
      <c r="K465" s="9" t="n"/>
    </row>
    <row r="466">
      <c r="A466" s="4" t="n"/>
      <c r="B466" s="9">
        <f>IF(A466="","",INT((DAY(A466)-1)/7)+1)</f>
        <v/>
      </c>
      <c r="C466" s="9" t="n"/>
      <c r="D466" s="9" t="n"/>
      <c r="E466" s="9" t="n"/>
      <c r="F466" s="9" t="n"/>
      <c r="G466" s="9" t="n"/>
      <c r="H466" s="9" t="n"/>
      <c r="I466" s="9" t="n"/>
      <c r="J466" s="3" t="n"/>
      <c r="K466" s="9" t="n"/>
    </row>
    <row r="467">
      <c r="A467" s="4" t="n"/>
      <c r="B467" s="9">
        <f>IF(A467="","",INT((DAY(A467)-1)/7)+1)</f>
        <v/>
      </c>
      <c r="C467" s="9" t="n"/>
      <c r="D467" s="9" t="n"/>
      <c r="E467" s="9" t="n"/>
      <c r="F467" s="9" t="n"/>
      <c r="G467" s="9" t="n"/>
      <c r="H467" s="9" t="n"/>
      <c r="I467" s="9" t="n"/>
      <c r="J467" s="3" t="n"/>
      <c r="K467" s="9" t="n"/>
    </row>
    <row r="468">
      <c r="A468" s="4" t="n"/>
      <c r="B468" s="9">
        <f>IF(A468="","",INT((DAY(A468)-1)/7)+1)</f>
        <v/>
      </c>
      <c r="C468" s="9" t="n"/>
      <c r="D468" s="9" t="n"/>
      <c r="E468" s="9" t="n"/>
      <c r="F468" s="9" t="n"/>
      <c r="G468" s="9" t="n"/>
      <c r="H468" s="9" t="n"/>
      <c r="I468" s="9" t="n"/>
      <c r="J468" s="3" t="n"/>
      <c r="K468" s="9" t="n"/>
    </row>
    <row r="469">
      <c r="A469" s="4" t="n"/>
      <c r="B469" s="9">
        <f>IF(A469="","",INT((DAY(A469)-1)/7)+1)</f>
        <v/>
      </c>
      <c r="C469" s="9" t="n"/>
      <c r="D469" s="9" t="n"/>
      <c r="E469" s="9" t="n"/>
      <c r="F469" s="9" t="n"/>
      <c r="G469" s="9" t="n"/>
      <c r="H469" s="9" t="n"/>
      <c r="I469" s="9" t="n"/>
      <c r="J469" s="3" t="n"/>
      <c r="K469" s="9" t="n"/>
    </row>
    <row r="470">
      <c r="A470" s="4" t="n"/>
      <c r="B470" s="9">
        <f>IF(A470="","",INT((DAY(A470)-1)/7)+1)</f>
        <v/>
      </c>
      <c r="C470" s="9" t="n"/>
      <c r="D470" s="9" t="n"/>
      <c r="E470" s="9" t="n"/>
      <c r="F470" s="9" t="n"/>
      <c r="G470" s="9" t="n"/>
      <c r="H470" s="9" t="n"/>
      <c r="I470" s="9" t="n"/>
      <c r="J470" s="3" t="n"/>
      <c r="K470" s="9" t="n"/>
    </row>
    <row r="471">
      <c r="A471" s="4" t="n"/>
      <c r="B471" s="9">
        <f>IF(A471="","",INT((DAY(A471)-1)/7)+1)</f>
        <v/>
      </c>
      <c r="C471" s="9" t="n"/>
      <c r="D471" s="9" t="n"/>
      <c r="E471" s="9" t="n"/>
      <c r="F471" s="9" t="n"/>
      <c r="G471" s="9" t="n"/>
      <c r="H471" s="9" t="n"/>
      <c r="I471" s="9" t="n"/>
      <c r="J471" s="3" t="n"/>
      <c r="K471" s="9" t="n"/>
    </row>
    <row r="472">
      <c r="A472" s="4" t="n"/>
      <c r="B472" s="9">
        <f>IF(A472="","",INT((DAY(A472)-1)/7)+1)</f>
        <v/>
      </c>
      <c r="C472" s="9" t="n"/>
      <c r="D472" s="9" t="n"/>
      <c r="E472" s="9" t="n"/>
      <c r="F472" s="9" t="n"/>
      <c r="G472" s="9" t="n"/>
      <c r="H472" s="9" t="n"/>
      <c r="I472" s="9" t="n"/>
      <c r="J472" s="3" t="n"/>
      <c r="K472" s="9" t="n"/>
    </row>
    <row r="473">
      <c r="A473" s="4" t="n"/>
      <c r="B473" s="9">
        <f>IF(A473="","",INT((DAY(A473)-1)/7)+1)</f>
        <v/>
      </c>
      <c r="C473" s="9" t="n"/>
      <c r="D473" s="9" t="n"/>
      <c r="E473" s="9" t="n"/>
      <c r="F473" s="9" t="n"/>
      <c r="G473" s="9" t="n"/>
      <c r="H473" s="9" t="n"/>
      <c r="I473" s="9" t="n"/>
      <c r="J473" s="3" t="n"/>
      <c r="K473" s="9" t="n"/>
    </row>
    <row r="474">
      <c r="A474" s="4" t="n"/>
      <c r="B474" s="9">
        <f>IF(A474="","",INT((DAY(A474)-1)/7)+1)</f>
        <v/>
      </c>
      <c r="C474" s="9" t="n"/>
      <c r="D474" s="9" t="n"/>
      <c r="E474" s="9" t="n"/>
      <c r="F474" s="9" t="n"/>
      <c r="G474" s="9" t="n"/>
      <c r="H474" s="9" t="n"/>
      <c r="I474" s="9" t="n"/>
      <c r="J474" s="3" t="n"/>
      <c r="K474" s="9" t="n"/>
    </row>
    <row r="475">
      <c r="A475" s="4" t="n"/>
      <c r="B475" s="9">
        <f>IF(A475="","",INT((DAY(A475)-1)/7)+1)</f>
        <v/>
      </c>
      <c r="C475" s="9" t="n"/>
      <c r="D475" s="9" t="n"/>
      <c r="E475" s="9" t="n"/>
      <c r="F475" s="9" t="n"/>
      <c r="G475" s="9" t="n"/>
      <c r="H475" s="9" t="n"/>
      <c r="I475" s="9" t="n"/>
      <c r="J475" s="3" t="n"/>
      <c r="K475" s="9" t="n"/>
    </row>
    <row r="476">
      <c r="A476" s="4" t="n"/>
      <c r="B476" s="9">
        <f>IF(A476="","",INT((DAY(A476)-1)/7)+1)</f>
        <v/>
      </c>
      <c r="C476" s="9" t="n"/>
      <c r="D476" s="9" t="n"/>
      <c r="E476" s="9" t="n"/>
      <c r="F476" s="9" t="n"/>
      <c r="G476" s="9" t="n"/>
      <c r="H476" s="9" t="n"/>
      <c r="I476" s="9" t="n"/>
      <c r="J476" s="3" t="n"/>
      <c r="K476" s="9" t="n"/>
    </row>
    <row r="477">
      <c r="A477" s="4" t="n"/>
      <c r="B477" s="9">
        <f>IF(A477="","",INT((DAY(A477)-1)/7)+1)</f>
        <v/>
      </c>
      <c r="C477" s="9" t="n"/>
      <c r="D477" s="9" t="n"/>
      <c r="E477" s="9" t="n"/>
      <c r="F477" s="9" t="n"/>
      <c r="G477" s="9" t="n"/>
      <c r="H477" s="9" t="n"/>
      <c r="I477" s="9" t="n"/>
      <c r="J477" s="3" t="n"/>
      <c r="K477" s="9" t="n"/>
    </row>
    <row r="478">
      <c r="A478" s="4" t="n"/>
      <c r="B478" s="9">
        <f>IF(A478="","",INT((DAY(A478)-1)/7)+1)</f>
        <v/>
      </c>
      <c r="C478" s="9" t="n"/>
      <c r="D478" s="9" t="n"/>
      <c r="E478" s="9" t="n"/>
      <c r="F478" s="9" t="n"/>
      <c r="G478" s="9" t="n"/>
      <c r="H478" s="9" t="n"/>
      <c r="I478" s="9" t="n"/>
      <c r="J478" s="3" t="n"/>
      <c r="K478" s="9" t="n"/>
    </row>
    <row r="479">
      <c r="A479" s="4" t="n"/>
      <c r="B479" s="9">
        <f>IF(A479="","",INT((DAY(A479)-1)/7)+1)</f>
        <v/>
      </c>
      <c r="C479" s="9" t="n"/>
      <c r="D479" s="9" t="n"/>
      <c r="E479" s="9" t="n"/>
      <c r="F479" s="9" t="n"/>
      <c r="G479" s="9" t="n"/>
      <c r="H479" s="9" t="n"/>
      <c r="I479" s="9" t="n"/>
      <c r="J479" s="3" t="n"/>
      <c r="K479" s="9" t="n"/>
    </row>
    <row r="480">
      <c r="A480" s="4" t="n"/>
      <c r="B480" s="9">
        <f>IF(A480="","",INT((DAY(A480)-1)/7)+1)</f>
        <v/>
      </c>
      <c r="C480" s="9" t="n"/>
      <c r="D480" s="9" t="n"/>
      <c r="E480" s="9" t="n"/>
      <c r="F480" s="9" t="n"/>
      <c r="G480" s="9" t="n"/>
      <c r="H480" s="9" t="n"/>
      <c r="I480" s="9" t="n"/>
      <c r="J480" s="3" t="n"/>
      <c r="K480" s="9" t="n"/>
    </row>
    <row r="481">
      <c r="A481" s="4" t="n"/>
      <c r="B481" s="9">
        <f>IF(A481="","",INT((DAY(A481)-1)/7)+1)</f>
        <v/>
      </c>
      <c r="C481" s="9" t="n"/>
      <c r="D481" s="9" t="n"/>
      <c r="E481" s="9" t="n"/>
      <c r="F481" s="9" t="n"/>
      <c r="G481" s="9" t="n"/>
      <c r="H481" s="9" t="n"/>
      <c r="I481" s="9" t="n"/>
      <c r="J481" s="3" t="n"/>
      <c r="K481" s="9" t="n"/>
    </row>
    <row r="482">
      <c r="A482" s="4" t="n"/>
      <c r="B482" s="9">
        <f>IF(A482="","",INT((DAY(A482)-1)/7)+1)</f>
        <v/>
      </c>
      <c r="C482" s="9" t="n"/>
      <c r="D482" s="9" t="n"/>
      <c r="E482" s="9" t="n"/>
      <c r="F482" s="9" t="n"/>
      <c r="G482" s="9" t="n"/>
      <c r="H482" s="9" t="n"/>
      <c r="I482" s="9" t="n"/>
      <c r="J482" s="3" t="n"/>
      <c r="K482" s="9" t="n"/>
    </row>
    <row r="483">
      <c r="A483" s="4" t="n"/>
      <c r="B483" s="9">
        <f>IF(A483="","",INT((DAY(A483)-1)/7)+1)</f>
        <v/>
      </c>
      <c r="C483" s="9" t="n"/>
      <c r="D483" s="9" t="n"/>
      <c r="E483" s="9" t="n"/>
      <c r="F483" s="9" t="n"/>
      <c r="G483" s="9" t="n"/>
      <c r="H483" s="9" t="n"/>
      <c r="I483" s="9" t="n"/>
      <c r="J483" s="3" t="n"/>
      <c r="K483" s="9" t="n"/>
    </row>
    <row r="484">
      <c r="A484" s="4" t="n"/>
      <c r="B484" s="9">
        <f>IF(A484="","",INT((DAY(A484)-1)/7)+1)</f>
        <v/>
      </c>
      <c r="C484" s="9" t="n"/>
      <c r="D484" s="9" t="n"/>
      <c r="E484" s="9" t="n"/>
      <c r="F484" s="9" t="n"/>
      <c r="G484" s="9" t="n"/>
      <c r="H484" s="9" t="n"/>
      <c r="I484" s="9" t="n"/>
      <c r="J484" s="3" t="n"/>
      <c r="K484" s="9" t="n"/>
    </row>
    <row r="485">
      <c r="A485" s="4" t="n"/>
      <c r="B485" s="9">
        <f>IF(A485="","",INT((DAY(A485)-1)/7)+1)</f>
        <v/>
      </c>
      <c r="C485" s="9" t="n"/>
      <c r="D485" s="9" t="n"/>
      <c r="E485" s="9" t="n"/>
      <c r="F485" s="9" t="n"/>
      <c r="G485" s="9" t="n"/>
      <c r="H485" s="9" t="n"/>
      <c r="I485" s="9" t="n"/>
      <c r="J485" s="3" t="n"/>
      <c r="K485" s="9" t="n"/>
    </row>
    <row r="486">
      <c r="A486" s="4" t="n"/>
      <c r="B486" s="9">
        <f>IF(A486="","",INT((DAY(A486)-1)/7)+1)</f>
        <v/>
      </c>
      <c r="C486" s="9" t="n"/>
      <c r="D486" s="9" t="n"/>
      <c r="E486" s="9" t="n"/>
      <c r="F486" s="9" t="n"/>
      <c r="G486" s="9" t="n"/>
      <c r="H486" s="9" t="n"/>
      <c r="I486" s="9" t="n"/>
      <c r="J486" s="3" t="n"/>
      <c r="K486" s="9" t="n"/>
    </row>
    <row r="487">
      <c r="A487" s="4" t="n"/>
      <c r="B487" s="9">
        <f>IF(A487="","",INT((DAY(A487)-1)/7)+1)</f>
        <v/>
      </c>
      <c r="C487" s="9" t="n"/>
      <c r="D487" s="9" t="n"/>
      <c r="E487" s="9" t="n"/>
      <c r="F487" s="9" t="n"/>
      <c r="G487" s="9" t="n"/>
      <c r="H487" s="9" t="n"/>
      <c r="I487" s="9" t="n"/>
      <c r="J487" s="3" t="n"/>
      <c r="K487" s="9" t="n"/>
    </row>
    <row r="488">
      <c r="A488" s="4" t="n"/>
      <c r="B488" s="9">
        <f>IF(A488="","",INT((DAY(A488)-1)/7)+1)</f>
        <v/>
      </c>
      <c r="C488" s="9" t="n"/>
      <c r="D488" s="9" t="n"/>
      <c r="E488" s="9" t="n"/>
      <c r="F488" s="9" t="n"/>
      <c r="G488" s="9" t="n"/>
      <c r="H488" s="9" t="n"/>
      <c r="I488" s="9" t="n"/>
      <c r="J488" s="3" t="n"/>
      <c r="K488" s="9" t="n"/>
    </row>
    <row r="489">
      <c r="A489" s="4" t="n"/>
      <c r="B489" s="9">
        <f>IF(A489="","",INT((DAY(A489)-1)/7)+1)</f>
        <v/>
      </c>
      <c r="C489" s="9" t="n"/>
      <c r="D489" s="9" t="n"/>
      <c r="E489" s="9" t="n"/>
      <c r="F489" s="9" t="n"/>
      <c r="G489" s="9" t="n"/>
      <c r="H489" s="9" t="n"/>
      <c r="I489" s="9" t="n"/>
      <c r="J489" s="3" t="n"/>
      <c r="K489" s="9" t="n"/>
    </row>
    <row r="490">
      <c r="A490" s="4" t="n"/>
      <c r="B490" s="9">
        <f>IF(A490="","",INT((DAY(A490)-1)/7)+1)</f>
        <v/>
      </c>
      <c r="C490" s="9" t="n"/>
      <c r="D490" s="9" t="n"/>
      <c r="E490" s="9" t="n"/>
      <c r="F490" s="9" t="n"/>
      <c r="G490" s="9" t="n"/>
      <c r="H490" s="9" t="n"/>
      <c r="I490" s="9" t="n"/>
      <c r="J490" s="3" t="n"/>
      <c r="K490" s="9" t="n"/>
    </row>
    <row r="491">
      <c r="A491" s="4" t="n"/>
      <c r="B491" s="9">
        <f>IF(A491="","",INT((DAY(A491)-1)/7)+1)</f>
        <v/>
      </c>
      <c r="C491" s="9" t="n"/>
      <c r="D491" s="9" t="n"/>
      <c r="E491" s="9" t="n"/>
      <c r="F491" s="9" t="n"/>
      <c r="G491" s="9" t="n"/>
      <c r="H491" s="9" t="n"/>
      <c r="I491" s="9" t="n"/>
      <c r="J491" s="3" t="n"/>
      <c r="K491" s="9" t="n"/>
    </row>
    <row r="492">
      <c r="A492" s="4" t="n"/>
      <c r="B492" s="9">
        <f>IF(A492="","",INT((DAY(A492)-1)/7)+1)</f>
        <v/>
      </c>
      <c r="C492" s="9" t="n"/>
      <c r="D492" s="9" t="n"/>
      <c r="E492" s="9" t="n"/>
      <c r="F492" s="9" t="n"/>
      <c r="G492" s="9" t="n"/>
      <c r="H492" s="9" t="n"/>
      <c r="I492" s="9" t="n"/>
      <c r="J492" s="3" t="n"/>
      <c r="K492" s="9" t="n"/>
    </row>
    <row r="493">
      <c r="A493" s="4" t="n"/>
      <c r="B493" s="9">
        <f>IF(A493="","",INT((DAY(A493)-1)/7)+1)</f>
        <v/>
      </c>
      <c r="C493" s="9" t="n"/>
      <c r="D493" s="9" t="n"/>
      <c r="E493" s="9" t="n"/>
      <c r="F493" s="9" t="n"/>
      <c r="G493" s="9" t="n"/>
      <c r="H493" s="9" t="n"/>
      <c r="I493" s="9" t="n"/>
      <c r="J493" s="3" t="n"/>
      <c r="K493" s="9" t="n"/>
    </row>
    <row r="494">
      <c r="A494" s="4" t="n"/>
      <c r="B494" s="9">
        <f>IF(A494="","",INT((DAY(A494)-1)/7)+1)</f>
        <v/>
      </c>
      <c r="C494" s="9" t="n"/>
      <c r="D494" s="9" t="n"/>
      <c r="E494" s="9" t="n"/>
      <c r="F494" s="9" t="n"/>
      <c r="G494" s="9" t="n"/>
      <c r="H494" s="9" t="n"/>
      <c r="I494" s="9" t="n"/>
      <c r="J494" s="3" t="n"/>
      <c r="K494" s="9" t="n"/>
    </row>
    <row r="495">
      <c r="A495" s="4" t="n"/>
      <c r="B495" s="9">
        <f>IF(A495="","",INT((DAY(A495)-1)/7)+1)</f>
        <v/>
      </c>
      <c r="C495" s="9" t="n"/>
      <c r="D495" s="9" t="n"/>
      <c r="E495" s="9" t="n"/>
      <c r="F495" s="9" t="n"/>
      <c r="G495" s="9" t="n"/>
      <c r="H495" s="9" t="n"/>
      <c r="I495" s="9" t="n"/>
      <c r="J495" s="3" t="n"/>
      <c r="K495" s="9" t="n"/>
    </row>
    <row r="496">
      <c r="A496" s="4" t="n"/>
      <c r="B496" s="9">
        <f>IF(A496="","",INT((DAY(A496)-1)/7)+1)</f>
        <v/>
      </c>
      <c r="C496" s="9" t="n"/>
      <c r="D496" s="9" t="n"/>
      <c r="E496" s="9" t="n"/>
      <c r="F496" s="9" t="n"/>
      <c r="G496" s="9" t="n"/>
      <c r="H496" s="9" t="n"/>
      <c r="I496" s="9" t="n"/>
      <c r="J496" s="3" t="n"/>
      <c r="K496" s="9" t="n"/>
    </row>
    <row r="497">
      <c r="A497" s="4" t="n"/>
      <c r="B497" s="9">
        <f>IF(A497="","",INT((DAY(A497)-1)/7)+1)</f>
        <v/>
      </c>
      <c r="C497" s="9" t="n"/>
      <c r="D497" s="9" t="n"/>
      <c r="E497" s="9" t="n"/>
      <c r="F497" s="9" t="n"/>
      <c r="G497" s="9" t="n"/>
      <c r="H497" s="9" t="n"/>
      <c r="I497" s="9" t="n"/>
      <c r="J497" s="3" t="n"/>
      <c r="K497" s="9" t="n"/>
    </row>
    <row r="498">
      <c r="A498" s="4" t="n"/>
      <c r="B498" s="9">
        <f>IF(A498="","",INT((DAY(A498)-1)/7)+1)</f>
        <v/>
      </c>
      <c r="C498" s="9" t="n"/>
      <c r="D498" s="9" t="n"/>
      <c r="E498" s="9" t="n"/>
      <c r="F498" s="9" t="n"/>
      <c r="G498" s="9" t="n"/>
      <c r="H498" s="9" t="n"/>
      <c r="I498" s="9" t="n"/>
      <c r="J498" s="3" t="n"/>
      <c r="K498" s="9" t="n"/>
    </row>
    <row r="499">
      <c r="A499" s="4" t="n"/>
      <c r="B499" s="9">
        <f>IF(A499="","",INT((DAY(A499)-1)/7)+1)</f>
        <v/>
      </c>
      <c r="C499" s="9" t="n"/>
      <c r="D499" s="9" t="n"/>
      <c r="E499" s="9" t="n"/>
      <c r="F499" s="9" t="n"/>
      <c r="G499" s="9" t="n"/>
      <c r="H499" s="9" t="n"/>
      <c r="I499" s="9" t="n"/>
      <c r="J499" s="3" t="n"/>
      <c r="K499" s="9" t="n"/>
    </row>
    <row r="500">
      <c r="A500" s="4" t="n"/>
      <c r="B500" s="9">
        <f>IF(A500="","",INT((DAY(A500)-1)/7)+1)</f>
        <v/>
      </c>
      <c r="C500" s="9" t="n"/>
      <c r="D500" s="9" t="n"/>
      <c r="E500" s="9" t="n"/>
      <c r="F500" s="9" t="n"/>
      <c r="G500" s="9" t="n"/>
      <c r="H500" s="9" t="n"/>
      <c r="I500" s="9" t="n"/>
      <c r="J500" s="3" t="n"/>
      <c r="K500" s="9" t="n"/>
    </row>
    <row r="501">
      <c r="A501" s="4" t="n"/>
      <c r="B501" s="9">
        <f>IF(A501="","",INT((DAY(A501)-1)/7)+1)</f>
        <v/>
      </c>
      <c r="C501" s="9" t="n"/>
      <c r="D501" s="9" t="n"/>
      <c r="E501" s="9" t="n"/>
      <c r="F501" s="9" t="n"/>
      <c r="G501" s="9" t="n"/>
      <c r="H501" s="9" t="n"/>
      <c r="I501" s="9" t="n"/>
      <c r="J501" s="3" t="n"/>
      <c r="K501" s="9" t="n"/>
    </row>
    <row r="502">
      <c r="A502" s="4" t="n"/>
      <c r="B502" s="9">
        <f>IF(A502="","",INT((DAY(A502)-1)/7)+1)</f>
        <v/>
      </c>
      <c r="C502" s="9" t="n"/>
      <c r="D502" s="9" t="n"/>
      <c r="E502" s="9" t="n"/>
      <c r="F502" s="9" t="n"/>
      <c r="G502" s="9" t="n"/>
      <c r="H502" s="9" t="n"/>
      <c r="I502" s="9" t="n"/>
      <c r="J502" s="3" t="n"/>
      <c r="K502" s="9" t="n"/>
    </row>
    <row r="503">
      <c r="A503" s="4" t="n"/>
      <c r="B503" s="9">
        <f>IF(A503="","",INT((DAY(A503)-1)/7)+1)</f>
        <v/>
      </c>
      <c r="C503" s="9" t="n"/>
      <c r="D503" s="9" t="n"/>
      <c r="E503" s="9" t="n"/>
      <c r="F503" s="9" t="n"/>
      <c r="G503" s="9" t="n"/>
      <c r="H503" s="9" t="n"/>
      <c r="I503" s="9" t="n"/>
      <c r="J503" s="3" t="n"/>
      <c r="K503" s="9" t="n"/>
    </row>
    <row r="504">
      <c r="A504" s="4" t="n"/>
      <c r="B504" s="9">
        <f>IF(A504="","",INT((DAY(A504)-1)/7)+1)</f>
        <v/>
      </c>
      <c r="C504" s="9" t="n"/>
      <c r="D504" s="9" t="n"/>
      <c r="E504" s="9" t="n"/>
      <c r="F504" s="9" t="n"/>
      <c r="G504" s="9" t="n"/>
      <c r="H504" s="9" t="n"/>
      <c r="I504" s="9" t="n"/>
      <c r="J504" s="3" t="n"/>
      <c r="K504" s="9" t="n"/>
    </row>
    <row r="505">
      <c r="A505" s="4" t="n"/>
      <c r="B505" s="9">
        <f>IF(A505="","",INT((DAY(A505)-1)/7)+1)</f>
        <v/>
      </c>
      <c r="C505" s="9" t="n"/>
      <c r="D505" s="9" t="n"/>
      <c r="E505" s="9" t="n"/>
      <c r="F505" s="9" t="n"/>
      <c r="G505" s="9" t="n"/>
      <c r="H505" s="9" t="n"/>
      <c r="I505" s="9" t="n"/>
      <c r="J505" s="3" t="n"/>
      <c r="K505" s="9" t="n"/>
    </row>
    <row r="506">
      <c r="A506" s="4" t="n"/>
      <c r="B506" s="9">
        <f>IF(A506="","",INT((DAY(A506)-1)/7)+1)</f>
        <v/>
      </c>
      <c r="C506" s="9" t="n"/>
      <c r="D506" s="9" t="n"/>
      <c r="E506" s="9" t="n"/>
      <c r="F506" s="9" t="n"/>
      <c r="G506" s="9" t="n"/>
      <c r="H506" s="9" t="n"/>
      <c r="I506" s="9" t="n"/>
      <c r="J506" s="3" t="n"/>
      <c r="K506" s="9" t="n"/>
    </row>
    <row r="507">
      <c r="A507" s="4" t="n"/>
      <c r="B507" s="9">
        <f>IF(A507="","",INT((DAY(A507)-1)/7)+1)</f>
        <v/>
      </c>
      <c r="C507" s="9" t="n"/>
      <c r="D507" s="9" t="n"/>
      <c r="E507" s="9" t="n"/>
      <c r="F507" s="9" t="n"/>
      <c r="G507" s="9" t="n"/>
      <c r="H507" s="9" t="n"/>
      <c r="I507" s="9" t="n"/>
      <c r="J507" s="3" t="n"/>
      <c r="K507" s="9" t="n"/>
    </row>
    <row r="508">
      <c r="A508" s="4" t="n"/>
      <c r="B508" s="9">
        <f>IF(A508="","",INT((DAY(A508)-1)/7)+1)</f>
        <v/>
      </c>
      <c r="C508" s="9" t="n"/>
      <c r="D508" s="9" t="n"/>
      <c r="E508" s="9" t="n"/>
      <c r="F508" s="9" t="n"/>
      <c r="G508" s="9" t="n"/>
      <c r="H508" s="9" t="n"/>
      <c r="I508" s="9" t="n"/>
      <c r="J508" s="3" t="n"/>
      <c r="K508" s="9" t="n"/>
    </row>
    <row r="509">
      <c r="A509" s="4" t="n"/>
      <c r="B509" s="9">
        <f>IF(A509="","",INT((DAY(A509)-1)/7)+1)</f>
        <v/>
      </c>
      <c r="C509" s="9" t="n"/>
      <c r="D509" s="9" t="n"/>
      <c r="E509" s="9" t="n"/>
      <c r="F509" s="9" t="n"/>
      <c r="G509" s="9" t="n"/>
      <c r="H509" s="9" t="n"/>
      <c r="I509" s="9" t="n"/>
      <c r="J509" s="3" t="n"/>
      <c r="K509" s="9" t="n"/>
    </row>
    <row r="510">
      <c r="A510" s="4" t="n"/>
      <c r="B510" s="9">
        <f>IF(A510="","",INT((DAY(A510)-1)/7)+1)</f>
        <v/>
      </c>
      <c r="C510" s="9" t="n"/>
      <c r="D510" s="9" t="n"/>
      <c r="E510" s="9" t="n"/>
      <c r="F510" s="9" t="n"/>
      <c r="G510" s="9" t="n"/>
      <c r="H510" s="9" t="n"/>
      <c r="I510" s="9" t="n"/>
      <c r="J510" s="3" t="n"/>
      <c r="K510" s="9" t="n"/>
    </row>
    <row r="511">
      <c r="A511" s="4" t="n"/>
      <c r="B511" s="9">
        <f>IF(A511="","",INT((DAY(A511)-1)/7)+1)</f>
        <v/>
      </c>
      <c r="C511" s="9" t="n"/>
      <c r="D511" s="9" t="n"/>
      <c r="E511" s="9" t="n"/>
      <c r="F511" s="9" t="n"/>
      <c r="G511" s="9" t="n"/>
      <c r="H511" s="9" t="n"/>
      <c r="I511" s="9" t="n"/>
      <c r="J511" s="3" t="n"/>
      <c r="K511" s="9" t="n"/>
    </row>
    <row r="512">
      <c r="A512" s="4" t="n"/>
      <c r="B512" s="9">
        <f>IF(A512="","",INT((DAY(A512)-1)/7)+1)</f>
        <v/>
      </c>
      <c r="C512" s="9" t="n"/>
      <c r="D512" s="9" t="n"/>
      <c r="E512" s="9" t="n"/>
      <c r="F512" s="9" t="n"/>
      <c r="G512" s="9" t="n"/>
      <c r="H512" s="9" t="n"/>
      <c r="I512" s="9" t="n"/>
      <c r="J512" s="3" t="n"/>
      <c r="K512" s="9" t="n"/>
    </row>
    <row r="513">
      <c r="A513" s="4" t="n"/>
      <c r="B513" s="9">
        <f>IF(A513="","",INT((DAY(A513)-1)/7)+1)</f>
        <v/>
      </c>
      <c r="C513" s="9" t="n"/>
      <c r="D513" s="9" t="n"/>
      <c r="E513" s="9" t="n"/>
      <c r="F513" s="9" t="n"/>
      <c r="G513" s="9" t="n"/>
      <c r="H513" s="9" t="n"/>
      <c r="I513" s="9" t="n"/>
      <c r="J513" s="3" t="n"/>
      <c r="K513" s="9" t="n"/>
    </row>
    <row r="514">
      <c r="A514" s="4" t="n"/>
      <c r="B514" s="9">
        <f>IF(A514="","",INT((DAY(A514)-1)/7)+1)</f>
        <v/>
      </c>
      <c r="C514" s="9" t="n"/>
      <c r="D514" s="9" t="n"/>
      <c r="E514" s="9" t="n"/>
      <c r="F514" s="9" t="n"/>
      <c r="G514" s="9" t="n"/>
      <c r="H514" s="9" t="n"/>
      <c r="I514" s="9" t="n"/>
      <c r="J514" s="3" t="n"/>
      <c r="K514" s="9" t="n"/>
    </row>
    <row r="515">
      <c r="A515" s="4" t="n"/>
      <c r="B515" s="9">
        <f>IF(A515="","",INT((DAY(A515)-1)/7)+1)</f>
        <v/>
      </c>
      <c r="C515" s="9" t="n"/>
      <c r="D515" s="9" t="n"/>
      <c r="E515" s="9" t="n"/>
      <c r="F515" s="9" t="n"/>
      <c r="G515" s="9" t="n"/>
      <c r="H515" s="9" t="n"/>
      <c r="I515" s="9" t="n"/>
      <c r="J515" s="3" t="n"/>
      <c r="K515" s="9" t="n"/>
    </row>
    <row r="516">
      <c r="A516" s="4" t="n"/>
      <c r="B516" s="9">
        <f>IF(A516="","",INT((DAY(A516)-1)/7)+1)</f>
        <v/>
      </c>
      <c r="C516" s="9" t="n"/>
      <c r="D516" s="9" t="n"/>
      <c r="E516" s="9" t="n"/>
      <c r="F516" s="9" t="n"/>
      <c r="G516" s="9" t="n"/>
      <c r="H516" s="9" t="n"/>
      <c r="I516" s="9" t="n"/>
      <c r="J516" s="3" t="n"/>
      <c r="K516" s="9" t="n"/>
    </row>
    <row r="517">
      <c r="A517" s="4" t="n"/>
      <c r="B517" s="9">
        <f>IF(A517="","",INT((DAY(A517)-1)/7)+1)</f>
        <v/>
      </c>
      <c r="C517" s="9" t="n"/>
      <c r="D517" s="9" t="n"/>
      <c r="E517" s="9" t="n"/>
      <c r="F517" s="9" t="n"/>
      <c r="G517" s="9" t="n"/>
      <c r="H517" s="9" t="n"/>
      <c r="I517" s="9" t="n"/>
      <c r="J517" s="3" t="n"/>
      <c r="K517" s="9" t="n"/>
    </row>
    <row r="518">
      <c r="A518" s="4" t="n"/>
      <c r="B518" s="9">
        <f>IF(A518="","",INT((DAY(A518)-1)/7)+1)</f>
        <v/>
      </c>
      <c r="C518" s="9" t="n"/>
      <c r="D518" s="9" t="n"/>
      <c r="E518" s="9" t="n"/>
      <c r="F518" s="9" t="n"/>
      <c r="G518" s="9" t="n"/>
      <c r="H518" s="9" t="n"/>
      <c r="I518" s="9" t="n"/>
      <c r="J518" s="3" t="n"/>
      <c r="K518" s="9" t="n"/>
    </row>
    <row r="519">
      <c r="A519" s="4" t="n"/>
      <c r="B519" s="9">
        <f>IF(A519="","",INT((DAY(A519)-1)/7)+1)</f>
        <v/>
      </c>
      <c r="C519" s="9" t="n"/>
      <c r="D519" s="9" t="n"/>
      <c r="E519" s="9" t="n"/>
      <c r="F519" s="9" t="n"/>
      <c r="G519" s="9" t="n"/>
      <c r="H519" s="9" t="n"/>
      <c r="I519" s="9" t="n"/>
      <c r="J519" s="3" t="n"/>
      <c r="K519" s="9" t="n"/>
    </row>
    <row r="520">
      <c r="A520" s="4" t="n"/>
      <c r="B520" s="9">
        <f>IF(A520="","",INT((DAY(A520)-1)/7)+1)</f>
        <v/>
      </c>
      <c r="C520" s="9" t="n"/>
      <c r="D520" s="9" t="n"/>
      <c r="E520" s="9" t="n"/>
      <c r="F520" s="9" t="n"/>
      <c r="G520" s="9" t="n"/>
      <c r="H520" s="9" t="n"/>
      <c r="I520" s="9" t="n"/>
      <c r="J520" s="3" t="n"/>
      <c r="K520" s="9" t="n"/>
    </row>
    <row r="521">
      <c r="A521" s="4" t="n"/>
      <c r="B521" s="9">
        <f>IF(A521="","",INT((DAY(A521)-1)/7)+1)</f>
        <v/>
      </c>
      <c r="C521" s="9" t="n"/>
      <c r="D521" s="9" t="n"/>
      <c r="E521" s="9" t="n"/>
      <c r="F521" s="9" t="n"/>
      <c r="G521" s="9" t="n"/>
      <c r="H521" s="9" t="n"/>
      <c r="I521" s="9" t="n"/>
      <c r="J521" s="3" t="n"/>
      <c r="K521" s="9" t="n"/>
    </row>
    <row r="522">
      <c r="A522" s="4" t="n"/>
      <c r="B522" s="9">
        <f>IF(A522="","",INT((DAY(A522)-1)/7)+1)</f>
        <v/>
      </c>
      <c r="C522" s="9" t="n"/>
      <c r="D522" s="9" t="n"/>
      <c r="E522" s="9" t="n"/>
      <c r="F522" s="9" t="n"/>
      <c r="G522" s="9" t="n"/>
      <c r="H522" s="9" t="n"/>
      <c r="I522" s="9" t="n"/>
      <c r="J522" s="3" t="n"/>
      <c r="K522" s="9" t="n"/>
    </row>
    <row r="523">
      <c r="A523" s="4" t="n"/>
      <c r="B523" s="9">
        <f>IF(A523="","",INT((DAY(A523)-1)/7)+1)</f>
        <v/>
      </c>
      <c r="C523" s="9" t="n"/>
      <c r="D523" s="9" t="n"/>
      <c r="E523" s="9" t="n"/>
      <c r="F523" s="9" t="n"/>
      <c r="G523" s="9" t="n"/>
      <c r="H523" s="9" t="n"/>
      <c r="I523" s="9" t="n"/>
      <c r="J523" s="3" t="n"/>
      <c r="K523" s="9" t="n"/>
    </row>
    <row r="524">
      <c r="A524" s="4" t="n"/>
      <c r="B524" s="9">
        <f>IF(A524="","",INT((DAY(A524)-1)/7)+1)</f>
        <v/>
      </c>
      <c r="C524" s="9" t="n"/>
      <c r="D524" s="9" t="n"/>
      <c r="E524" s="9" t="n"/>
      <c r="F524" s="9" t="n"/>
      <c r="G524" s="9" t="n"/>
      <c r="H524" s="9" t="n"/>
      <c r="I524" s="9" t="n"/>
      <c r="J524" s="3" t="n"/>
      <c r="K524" s="9" t="n"/>
    </row>
    <row r="525">
      <c r="A525" s="4" t="n"/>
      <c r="B525" s="9">
        <f>IF(A525="","",INT((DAY(A525)-1)/7)+1)</f>
        <v/>
      </c>
      <c r="C525" s="9" t="n"/>
      <c r="D525" s="9" t="n"/>
      <c r="E525" s="9" t="n"/>
      <c r="F525" s="9" t="n"/>
      <c r="G525" s="9" t="n"/>
      <c r="H525" s="9" t="n"/>
      <c r="I525" s="9" t="n"/>
      <c r="J525" s="3" t="n"/>
      <c r="K525" s="9" t="n"/>
    </row>
    <row r="526">
      <c r="A526" s="4" t="n"/>
      <c r="B526" s="9">
        <f>IF(A526="","",INT((DAY(A526)-1)/7)+1)</f>
        <v/>
      </c>
      <c r="C526" s="9" t="n"/>
      <c r="D526" s="9" t="n"/>
      <c r="E526" s="9" t="n"/>
      <c r="F526" s="9" t="n"/>
      <c r="G526" s="9" t="n"/>
      <c r="H526" s="9" t="n"/>
      <c r="I526" s="9" t="n"/>
      <c r="J526" s="3" t="n"/>
      <c r="K526" s="9" t="n"/>
    </row>
    <row r="527">
      <c r="A527" s="4" t="n"/>
      <c r="B527" s="9">
        <f>IF(A527="","",INT((DAY(A527)-1)/7)+1)</f>
        <v/>
      </c>
      <c r="C527" s="9" t="n"/>
      <c r="D527" s="9" t="n"/>
      <c r="E527" s="9" t="n"/>
      <c r="F527" s="9" t="n"/>
      <c r="G527" s="9" t="n"/>
      <c r="H527" s="9" t="n"/>
      <c r="I527" s="9" t="n"/>
      <c r="J527" s="3" t="n"/>
      <c r="K527" s="9" t="n"/>
    </row>
    <row r="528">
      <c r="A528" s="4" t="n"/>
      <c r="B528" s="9">
        <f>IF(A528="","",INT((DAY(A528)-1)/7)+1)</f>
        <v/>
      </c>
      <c r="C528" s="9" t="n"/>
      <c r="D528" s="9" t="n"/>
      <c r="E528" s="9" t="n"/>
      <c r="F528" s="9" t="n"/>
      <c r="G528" s="9" t="n"/>
      <c r="H528" s="9" t="n"/>
      <c r="I528" s="9" t="n"/>
      <c r="J528" s="3" t="n"/>
      <c r="K528" s="9" t="n"/>
    </row>
  </sheetData>
  <autoFilter ref="A28:K528"/>
  <dataValidations count="4">
    <dataValidation sqref="E29:E528" showDropDown="0" showInputMessage="0" showErrorMessage="1" allowBlank="1" type="list">
      <formula1>=Lists!$A$2:$A$22</formula1>
    </dataValidation>
    <dataValidation sqref="G29:G528" showDropDown="0" showInputMessage="0" showErrorMessage="1" allowBlank="1" type="list">
      <formula1>=Lists!$D$2:$D$8</formula1>
    </dataValidation>
    <dataValidation sqref="H29:H528" showDropDown="0" showInputMessage="0" showErrorMessage="1" allowBlank="1" type="list">
      <formula1>=Lists!$C$2:$C$9</formula1>
    </dataValidation>
    <dataValidation sqref="I29:I528" showDropDown="0" showInputMessage="0" showErrorMessage="1" allowBlank="1" type="list">
      <formula1>=Lists!$B$2:$B$5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28"/>
  <sheetViews>
    <sheetView showGridLines="0" workbookViewId="0">
      <pane xSplit="0" ySplit="28" topLeftCell="A29" activePane="bottomLeft" state="frozen"/>
      <selection pane="bottomLeft" activeCell="A29" sqref="A29"/>
    </sheetView>
  </sheetViews>
  <sheetFormatPr baseColWidth="8" defaultRowHeight="15"/>
  <cols>
    <col width="12" customWidth="1" style="10" min="1" max="1"/>
    <col width="8" customWidth="1" style="10" min="2" max="2"/>
    <col width="22" customWidth="1" style="10" min="3" max="4"/>
    <col width="24" customWidth="1" style="10" min="5" max="5"/>
    <col width="18" customWidth="1" style="10" min="6" max="6"/>
    <col width="18" customWidth="1" style="10" min="7" max="7"/>
    <col width="18" customWidth="1" style="10" min="8" max="9"/>
    <col width="14" customWidth="1" style="10" min="10" max="10"/>
    <col width="30" customWidth="1" style="10" min="11" max="11"/>
  </cols>
  <sheetData>
    <row r="1">
      <c r="A1" s="1" t="inlineStr">
        <is>
          <t>November 2026 Ledger</t>
        </is>
      </c>
    </row>
    <row r="2">
      <c r="A2" s="7" t="inlineStr">
        <is>
          <t>Use positive amounts. Choose Type to classify each transaction.</t>
        </is>
      </c>
    </row>
    <row r="4">
      <c r="A4" s="1" t="inlineStr">
        <is>
          <t>Month Summary</t>
        </is>
      </c>
      <c r="D4" s="1" t="inlineStr">
        <is>
          <t>Category Summary</t>
        </is>
      </c>
      <c r="H4" s="1" t="inlineStr">
        <is>
          <t>Weekly Summary</t>
        </is>
      </c>
    </row>
    <row r="5">
      <c r="A5" s="5" t="inlineStr">
        <is>
          <t>Total Income</t>
        </is>
      </c>
      <c r="B5" s="3">
        <f>SUMIFS($J$29:$J$528,$I$29:$I$528,"Income")</f>
        <v/>
      </c>
      <c r="D5" s="2" t="inlineStr">
        <is>
          <t>Category</t>
        </is>
      </c>
      <c r="E5" s="2" t="inlineStr">
        <is>
          <t>Expenses</t>
        </is>
      </c>
      <c r="F5" s="2" t="inlineStr">
        <is>
          <t>Income</t>
        </is>
      </c>
      <c r="G5" s="2" t="inlineStr">
        <is>
          <t>Existing Savings</t>
        </is>
      </c>
      <c r="H5" s="2" t="inlineStr">
        <is>
          <t>Week</t>
        </is>
      </c>
      <c r="I5" s="2" t="inlineStr">
        <is>
          <t>Expenses</t>
        </is>
      </c>
      <c r="J5" s="2" t="inlineStr">
        <is>
          <t>Income</t>
        </is>
      </c>
      <c r="K5" s="2" t="inlineStr">
        <is>
          <t>Net</t>
        </is>
      </c>
    </row>
    <row r="6">
      <c r="A6" s="5" t="inlineStr">
        <is>
          <t>Total Expenses</t>
        </is>
      </c>
      <c r="B6" s="3">
        <f>SUMIFS($J$29:$J$528,$I$29:$I$528,"Expense")</f>
        <v/>
      </c>
      <c r="D6" s="5" t="inlineStr">
        <is>
          <t>Housing</t>
        </is>
      </c>
      <c r="E6" s="3">
        <f>SUMIFS($J$29:$J$528,$E$29:$E$528,$D6,$I$29:$I$528,"Expense")</f>
        <v/>
      </c>
      <c r="F6" s="3">
        <f>SUMIFS($J$29:$J$528,$E$29:$E$528,$D6,$I$29:$I$528,"Income")</f>
        <v/>
      </c>
      <c r="G6" s="3">
        <f>SUMIFS($J$29:$J$528,$E$29:$E$528,$D6,$I$29:$I$528,"Opening Balance")</f>
        <v/>
      </c>
      <c r="H6" s="5" t="inlineStr">
        <is>
          <t>Week 1</t>
        </is>
      </c>
      <c r="I6" s="3">
        <f>SUMIFS($J$29:$J$528,$B$29:$B$528,1,$I$29:$I$528,"Expense",$F$29:$F$528,"&lt;&gt;Rent")</f>
        <v/>
      </c>
      <c r="J6" s="3">
        <f>SUMIFS($J$29:$J$528,$B$29:$B$528,1,$I$29:$I$528,"Income")</f>
        <v/>
      </c>
      <c r="K6" s="3">
        <f>J6-I6</f>
        <v/>
      </c>
    </row>
    <row r="7">
      <c r="A7" s="5" t="inlineStr">
        <is>
          <t>Existing Savings</t>
        </is>
      </c>
      <c r="B7" s="3">
        <f>SUMIFS($J$29:$J$528,$I$29:$I$528,"Opening Balance")</f>
        <v/>
      </c>
      <c r="D7" s="5" t="inlineStr">
        <is>
          <t>Utilities</t>
        </is>
      </c>
      <c r="E7" s="3">
        <f>SUMIFS($J$29:$J$528,$E$29:$E$528,$D7,$I$29:$I$528,"Expense")</f>
        <v/>
      </c>
      <c r="F7" s="3">
        <f>SUMIFS($J$29:$J$528,$E$29:$E$528,$D7,$I$29:$I$528,"Income")</f>
        <v/>
      </c>
      <c r="G7" s="3">
        <f>SUMIFS($J$29:$J$528,$E$29:$E$528,$D7,$I$29:$I$528,"Opening Balance")</f>
        <v/>
      </c>
      <c r="H7" s="5" t="inlineStr">
        <is>
          <t>Week 2</t>
        </is>
      </c>
      <c r="I7" s="3">
        <f>SUMIFS($J$29:$J$528,$B$29:$B$528,2,$I$29:$I$528,"Expense",$F$29:$F$528,"&lt;&gt;Rent")</f>
        <v/>
      </c>
      <c r="J7" s="3">
        <f>SUMIFS($J$29:$J$528,$B$29:$B$528,2,$I$29:$I$528,"Income")</f>
        <v/>
      </c>
      <c r="K7" s="3">
        <f>J7-I7</f>
        <v/>
      </c>
    </row>
    <row r="8">
      <c r="A8" s="5" t="inlineStr">
        <is>
          <t>Transfers</t>
        </is>
      </c>
      <c r="B8" s="3">
        <f>SUMIFS($J$29:$J$528,$I$29:$I$528,"Transfer")</f>
        <v/>
      </c>
      <c r="D8" s="5" t="inlineStr">
        <is>
          <t>Groceries</t>
        </is>
      </c>
      <c r="E8" s="3">
        <f>SUMIFS($J$29:$J$528,$E$29:$E$528,$D8,$I$29:$I$528,"Expense")</f>
        <v/>
      </c>
      <c r="F8" s="3">
        <f>SUMIFS($J$29:$J$528,$E$29:$E$528,$D8,$I$29:$I$528,"Income")</f>
        <v/>
      </c>
      <c r="G8" s="3">
        <f>SUMIFS($J$29:$J$528,$E$29:$E$528,$D8,$I$29:$I$528,"Opening Balance")</f>
        <v/>
      </c>
      <c r="H8" s="5" t="inlineStr">
        <is>
          <t>Week 3</t>
        </is>
      </c>
      <c r="I8" s="3">
        <f>SUMIFS($J$29:$J$528,$B$29:$B$528,3,$I$29:$I$528,"Expense",$F$29:$F$528,"&lt;&gt;Rent")</f>
        <v/>
      </c>
      <c r="J8" s="3">
        <f>SUMIFS($J$29:$J$528,$B$29:$B$528,3,$I$29:$I$528,"Income")</f>
        <v/>
      </c>
      <c r="K8" s="3">
        <f>J8-I8</f>
        <v/>
      </c>
    </row>
    <row r="9">
      <c r="A9" s="5" t="inlineStr">
        <is>
          <t>Net Cash Flow</t>
        </is>
      </c>
      <c r="B9" s="3">
        <f>B5-B6</f>
        <v/>
      </c>
      <c r="D9" s="5" t="inlineStr">
        <is>
          <t>Dining</t>
        </is>
      </c>
      <c r="E9" s="3">
        <f>SUMIFS($J$29:$J$528,$E$29:$E$528,$D9,$I$29:$I$528,"Expense")</f>
        <v/>
      </c>
      <c r="F9" s="3">
        <f>SUMIFS($J$29:$J$528,$E$29:$E$528,$D9,$I$29:$I$528,"Income")</f>
        <v/>
      </c>
      <c r="G9" s="3">
        <f>SUMIFS($J$29:$J$528,$E$29:$E$528,$D9,$I$29:$I$528,"Opening Balance")</f>
        <v/>
      </c>
      <c r="H9" s="5" t="inlineStr">
        <is>
          <t>Week 4</t>
        </is>
      </c>
      <c r="I9" s="3">
        <f>SUMIFS($J$29:$J$528,$B$29:$B$528,4,$I$29:$I$528,"Expense",$F$29:$F$528,"&lt;&gt;Rent")</f>
        <v/>
      </c>
      <c r="J9" s="3">
        <f>SUMIFS($J$29:$J$528,$B$29:$B$528,4,$I$29:$I$528,"Income")</f>
        <v/>
      </c>
      <c r="K9" s="3">
        <f>J9-I9</f>
        <v/>
      </c>
    </row>
    <row r="10">
      <c r="D10" s="5" t="inlineStr">
        <is>
          <t>Transportation</t>
        </is>
      </c>
      <c r="E10" s="3">
        <f>SUMIFS($J$29:$J$528,$E$29:$E$528,$D10,$I$29:$I$528,"Expense")</f>
        <v/>
      </c>
      <c r="F10" s="3">
        <f>SUMIFS($J$29:$J$528,$E$29:$E$528,$D10,$I$29:$I$528,"Income")</f>
        <v/>
      </c>
      <c r="G10" s="3">
        <f>SUMIFS($J$29:$J$528,$E$29:$E$528,$D10,$I$29:$I$528,"Opening Balance")</f>
        <v/>
      </c>
      <c r="H10" s="5" t="inlineStr">
        <is>
          <t>Week 5</t>
        </is>
      </c>
      <c r="I10" s="3">
        <f>SUMIFS($J$29:$J$528,$B$29:$B$528,5,$I$29:$I$528,"Expense",$F$29:$F$528,"&lt;&gt;Rent")</f>
        <v/>
      </c>
      <c r="J10" s="3">
        <f>SUMIFS($J$29:$J$528,$B$29:$B$528,5,$I$29:$I$528,"Income")</f>
        <v/>
      </c>
      <c r="K10" s="3">
        <f>J10-I10</f>
        <v/>
      </c>
    </row>
    <row r="11">
      <c r="D11" s="5" t="inlineStr">
        <is>
          <t>Health &amp; Medical</t>
        </is>
      </c>
      <c r="E11" s="3">
        <f>SUMIFS($J$29:$J$528,$E$29:$E$528,$D11,$I$29:$I$528,"Expense")</f>
        <v/>
      </c>
      <c r="F11" s="3">
        <f>SUMIFS($J$29:$J$528,$E$29:$E$528,$D11,$I$29:$I$528,"Income")</f>
        <v/>
      </c>
      <c r="G11" s="3">
        <f>SUMIFS($J$29:$J$528,$E$29:$E$528,$D11,$I$29:$I$528,"Opening Balance")</f>
        <v/>
      </c>
    </row>
    <row r="12">
      <c r="D12" s="5" t="inlineStr">
        <is>
          <t>Insurance</t>
        </is>
      </c>
      <c r="E12" s="3">
        <f>SUMIFS($J$29:$J$528,$E$29:$E$528,$D12,$I$29:$I$528,"Expense")</f>
        <v/>
      </c>
      <c r="F12" s="3">
        <f>SUMIFS($J$29:$J$528,$E$29:$E$528,$D12,$I$29:$I$528,"Income")</f>
        <v/>
      </c>
      <c r="G12" s="3">
        <f>SUMIFS($J$29:$J$528,$E$29:$E$528,$D12,$I$29:$I$528,"Opening Balance")</f>
        <v/>
      </c>
    </row>
    <row r="13">
      <c r="D13" s="5" t="inlineStr">
        <is>
          <t>Debt Payments</t>
        </is>
      </c>
      <c r="E13" s="3">
        <f>SUMIFS($J$29:$J$528,$E$29:$E$528,$D13,$I$29:$I$528,"Expense")</f>
        <v/>
      </c>
      <c r="F13" s="3">
        <f>SUMIFS($J$29:$J$528,$E$29:$E$528,$D13,$I$29:$I$528,"Income")</f>
        <v/>
      </c>
      <c r="G13" s="3">
        <f>SUMIFS($J$29:$J$528,$E$29:$E$528,$D13,$I$29:$I$528,"Opening Balance")</f>
        <v/>
      </c>
    </row>
    <row r="14">
      <c r="D14" s="5" t="inlineStr">
        <is>
          <t>Savings &amp; Investments</t>
        </is>
      </c>
      <c r="E14" s="3">
        <f>SUMIFS($J$29:$J$528,$E$29:$E$528,$D14,$I$29:$I$528,"Expense")</f>
        <v/>
      </c>
      <c r="F14" s="3">
        <f>SUMIFS($J$29:$J$528,$E$29:$E$528,$D14,$I$29:$I$528,"Income")</f>
        <v/>
      </c>
      <c r="G14" s="3">
        <f>SUMIFS($J$29:$J$528,$E$29:$E$528,$D14,$I$29:$I$528,"Opening Balance")</f>
        <v/>
      </c>
    </row>
    <row r="15">
      <c r="D15" s="5" t="inlineStr">
        <is>
          <t>Personal Care</t>
        </is>
      </c>
      <c r="E15" s="3">
        <f>SUMIFS($J$29:$J$528,$E$29:$E$528,$D15,$I$29:$I$528,"Expense")</f>
        <v/>
      </c>
      <c r="F15" s="3">
        <f>SUMIFS($J$29:$J$528,$E$29:$E$528,$D15,$I$29:$I$528,"Income")</f>
        <v/>
      </c>
      <c r="G15" s="3">
        <f>SUMIFS($J$29:$J$528,$E$29:$E$528,$D15,$I$29:$I$528,"Opening Balance")</f>
        <v/>
      </c>
    </row>
    <row r="16">
      <c r="D16" s="5" t="inlineStr">
        <is>
          <t>Shopping</t>
        </is>
      </c>
      <c r="E16" s="3">
        <f>SUMIFS($J$29:$J$528,$E$29:$E$528,$D16,$I$29:$I$528,"Expense")</f>
        <v/>
      </c>
      <c r="F16" s="3">
        <f>SUMIFS($J$29:$J$528,$E$29:$E$528,$D16,$I$29:$I$528,"Income")</f>
        <v/>
      </c>
      <c r="G16" s="3">
        <f>SUMIFS($J$29:$J$528,$E$29:$E$528,$D16,$I$29:$I$528,"Opening Balance")</f>
        <v/>
      </c>
    </row>
    <row r="17">
      <c r="D17" s="5" t="inlineStr">
        <is>
          <t>Entertainment</t>
        </is>
      </c>
      <c r="E17" s="3">
        <f>SUMIFS($J$29:$J$528,$E$29:$E$528,$D17,$I$29:$I$528,"Expense")</f>
        <v/>
      </c>
      <c r="F17" s="3">
        <f>SUMIFS($J$29:$J$528,$E$29:$E$528,$D17,$I$29:$I$528,"Income")</f>
        <v/>
      </c>
      <c r="G17" s="3">
        <f>SUMIFS($J$29:$J$528,$E$29:$E$528,$D17,$I$29:$I$528,"Opening Balance")</f>
        <v/>
      </c>
    </row>
    <row r="18">
      <c r="D18" s="5" t="inlineStr">
        <is>
          <t>Travel</t>
        </is>
      </c>
      <c r="E18" s="3">
        <f>SUMIFS($J$29:$J$528,$E$29:$E$528,$D18,$I$29:$I$528,"Expense")</f>
        <v/>
      </c>
      <c r="F18" s="3">
        <f>SUMIFS($J$29:$J$528,$E$29:$E$528,$D18,$I$29:$I$528,"Income")</f>
        <v/>
      </c>
      <c r="G18" s="3">
        <f>SUMIFS($J$29:$J$528,$E$29:$E$528,$D18,$I$29:$I$528,"Opening Balance")</f>
        <v/>
      </c>
    </row>
    <row r="19">
      <c r="D19" s="5" t="inlineStr">
        <is>
          <t>Education</t>
        </is>
      </c>
      <c r="E19" s="3">
        <f>SUMIFS($J$29:$J$528,$E$29:$E$528,$D19,$I$29:$I$528,"Expense")</f>
        <v/>
      </c>
      <c r="F19" s="3">
        <f>SUMIFS($J$29:$J$528,$E$29:$E$528,$D19,$I$29:$I$528,"Income")</f>
        <v/>
      </c>
      <c r="G19" s="3">
        <f>SUMIFS($J$29:$J$528,$E$29:$E$528,$D19,$I$29:$I$528,"Opening Balance")</f>
        <v/>
      </c>
    </row>
    <row r="20">
      <c r="D20" s="5" t="inlineStr">
        <is>
          <t>Gifts &amp; Donations</t>
        </is>
      </c>
      <c r="E20" s="3">
        <f>SUMIFS($J$29:$J$528,$E$29:$E$528,$D20,$I$29:$I$528,"Expense")</f>
        <v/>
      </c>
      <c r="F20" s="3">
        <f>SUMIFS($J$29:$J$528,$E$29:$E$528,$D20,$I$29:$I$528,"Income")</f>
        <v/>
      </c>
      <c r="G20" s="3">
        <f>SUMIFS($J$29:$J$528,$E$29:$E$528,$D20,$I$29:$I$528,"Opening Balance")</f>
        <v/>
      </c>
    </row>
    <row r="21">
      <c r="D21" s="5" t="inlineStr">
        <is>
          <t>Taxes</t>
        </is>
      </c>
      <c r="E21" s="3">
        <f>SUMIFS($J$29:$J$528,$E$29:$E$528,$D21,$I$29:$I$528,"Expense")</f>
        <v/>
      </c>
      <c r="F21" s="3">
        <f>SUMIFS($J$29:$J$528,$E$29:$E$528,$D21,$I$29:$I$528,"Income")</f>
        <v/>
      </c>
      <c r="G21" s="3">
        <f>SUMIFS($J$29:$J$528,$E$29:$E$528,$D21,$I$29:$I$528,"Opening Balance")</f>
        <v/>
      </c>
    </row>
    <row r="22">
      <c r="D22" s="5" t="inlineStr">
        <is>
          <t>Shipping</t>
        </is>
      </c>
      <c r="E22" s="3">
        <f>SUMIFS($J$29:$J$528,$E$29:$E$528,$D22,$I$29:$I$528,"Expense")</f>
        <v/>
      </c>
      <c r="F22" s="3">
        <f>SUMIFS($J$29:$J$528,$E$29:$E$528,$D22,$I$29:$I$528,"Income")</f>
        <v/>
      </c>
      <c r="G22" s="3">
        <f>SUMIFS($J$29:$J$528,$E$29:$E$528,$D22,$I$29:$I$528,"Opening Balance")</f>
        <v/>
      </c>
    </row>
    <row r="23">
      <c r="D23" s="5" t="inlineStr">
        <is>
          <t>Income</t>
        </is>
      </c>
      <c r="E23" s="3">
        <f>SUMIFS($J$29:$J$528,$E$29:$E$528,$D23,$I$29:$I$528,"Expense")</f>
        <v/>
      </c>
      <c r="F23" s="3">
        <f>SUMIFS($J$29:$J$528,$E$29:$E$528,$D23,$I$29:$I$528,"Income")</f>
        <v/>
      </c>
      <c r="G23" s="3">
        <f>SUMIFS($J$29:$J$528,$E$29:$E$528,$D23,$I$29:$I$528,"Opening Balance")</f>
        <v/>
      </c>
    </row>
    <row r="24">
      <c r="D24" s="5" t="inlineStr">
        <is>
          <t>Transfers</t>
        </is>
      </c>
      <c r="E24" s="3">
        <f>SUMIFS($J$29:$J$528,$E$29:$E$528,$D24,$I$29:$I$528,"Expense")</f>
        <v/>
      </c>
      <c r="F24" s="3">
        <f>SUMIFS($J$29:$J$528,$E$29:$E$528,$D24,$I$29:$I$528,"Income")</f>
        <v/>
      </c>
      <c r="G24" s="3">
        <f>SUMIFS($J$29:$J$528,$E$29:$E$528,$D24,$I$29:$I$528,"Opening Balance")</f>
        <v/>
      </c>
    </row>
    <row r="25">
      <c r="D25" s="5" t="inlineStr">
        <is>
          <t>Existing Savings</t>
        </is>
      </c>
      <c r="E25" s="3">
        <f>SUMIFS($J$29:$J$528,$E$29:$E$528,$D25,$I$29:$I$528,"Expense")</f>
        <v/>
      </c>
      <c r="F25" s="3">
        <f>SUMIFS($J$29:$J$528,$E$29:$E$528,$D25,$I$29:$I$528,"Income")</f>
        <v/>
      </c>
      <c r="G25" s="3">
        <f>SUMIFS($J$29:$J$528,$E$29:$E$528,$D25,$I$29:$I$528,"Opening Balance")</f>
        <v/>
      </c>
    </row>
    <row r="26">
      <c r="D26" s="5" t="inlineStr">
        <is>
          <t>Essentials</t>
        </is>
      </c>
      <c r="E26" s="3">
        <f>SUMIFS($J$29:$J$528,$E$29:$E$528,$D26,$I$29:$I$528,"Expense")</f>
        <v/>
      </c>
      <c r="F26" s="3">
        <f>SUMIFS($J$29:$J$528,$E$29:$E$528,$D26,$I$29:$I$528,"Income")</f>
        <v/>
      </c>
      <c r="G26" s="3">
        <f>SUMIFS($J$29:$J$528,$E$29:$E$528,$D26,$I$29:$I$528,"Opening Balance")</f>
        <v/>
      </c>
    </row>
    <row r="27">
      <c r="A27" s="1" t="inlineStr">
        <is>
          <t>Transactions</t>
        </is>
      </c>
    </row>
    <row r="28">
      <c r="A28" s="2" t="inlineStr">
        <is>
          <t>Date</t>
        </is>
      </c>
      <c r="B28" s="2" t="inlineStr">
        <is>
          <t>Week</t>
        </is>
      </c>
      <c r="C28" s="2" t="inlineStr">
        <is>
          <t>Description</t>
        </is>
      </c>
      <c r="D28" s="2" t="inlineStr">
        <is>
          <t>Merchant</t>
        </is>
      </c>
      <c r="E28" s="2" t="inlineStr">
        <is>
          <t>Category</t>
        </is>
      </c>
      <c r="F28" s="2" t="inlineStr">
        <is>
          <t>Subcategory</t>
        </is>
      </c>
      <c r="G28" s="2" t="inlineStr">
        <is>
          <t>Account</t>
        </is>
      </c>
      <c r="H28" s="2" t="inlineStr">
        <is>
          <t>Payment Method</t>
        </is>
      </c>
      <c r="I28" s="2" t="inlineStr">
        <is>
          <t>Type</t>
        </is>
      </c>
      <c r="J28" s="2" t="inlineStr">
        <is>
          <t>Amount</t>
        </is>
      </c>
      <c r="K28" s="2" t="inlineStr">
        <is>
          <t>Notes</t>
        </is>
      </c>
    </row>
    <row r="29">
      <c r="A29" s="4" t="n"/>
      <c r="B29" s="9">
        <f>IF(A29="","",INT((DAY(A29)-1)/7)+1)</f>
      </c>
      <c r="C29" s="9" t="n"/>
      <c r="D29" s="9" t="n"/>
      <c r="E29" s="9" t="n"/>
      <c r="F29" s="9" t="n"/>
      <c r="G29" s="9" t="n"/>
      <c r="H29" s="9" t="n"/>
      <c r="I29" s="9" t="n"/>
      <c r="J29" s="3" t="n"/>
      <c r="K29" s="9" t="n"/>
    </row>
    <row r="30">
      <c r="A30" s="4" t="n"/>
      <c r="B30" s="9">
        <f>IF(A30="","",INT((DAY(A30)-1)/7)+1)</f>
        <v/>
      </c>
      <c r="C30" s="9" t="n"/>
      <c r="D30" s="9" t="n"/>
      <c r="E30" s="9" t="n"/>
      <c r="F30" s="9" t="n"/>
      <c r="G30" s="9" t="n"/>
      <c r="H30" s="9" t="n"/>
      <c r="I30" s="9" t="n"/>
      <c r="J30" s="3" t="n"/>
      <c r="K30" s="9" t="n"/>
    </row>
    <row r="31">
      <c r="A31" s="4" t="n"/>
      <c r="B31" s="9">
        <f>IF(A31="","",INT((DAY(A31)-1)/7)+1)</f>
        <v/>
      </c>
      <c r="C31" s="9" t="n"/>
      <c r="D31" s="9" t="n"/>
      <c r="E31" s="9" t="n"/>
      <c r="F31" s="9" t="n"/>
      <c r="G31" s="9" t="n"/>
      <c r="H31" s="9" t="n"/>
      <c r="I31" s="9" t="n"/>
      <c r="J31" s="3" t="n"/>
      <c r="K31" s="9" t="n"/>
    </row>
    <row r="32">
      <c r="A32" s="4" t="n"/>
      <c r="B32" s="9">
        <f>IF(A32="","",INT((DAY(A32)-1)/7)+1)</f>
        <v/>
      </c>
      <c r="C32" s="9" t="n"/>
      <c r="D32" s="9" t="n"/>
      <c r="E32" s="9" t="n"/>
      <c r="F32" s="9" t="n"/>
      <c r="G32" s="9" t="n"/>
      <c r="H32" s="9" t="n"/>
      <c r="I32" s="9" t="n"/>
      <c r="J32" s="3" t="n"/>
      <c r="K32" s="9" t="n"/>
    </row>
    <row r="33">
      <c r="A33" s="4" t="n"/>
      <c r="B33" s="9">
        <f>IF(A33="","",INT((DAY(A33)-1)/7)+1)</f>
        <v/>
      </c>
      <c r="C33" s="9" t="n"/>
      <c r="D33" s="9" t="n"/>
      <c r="E33" s="9" t="n"/>
      <c r="F33" s="9" t="n"/>
      <c r="G33" s="9" t="n"/>
      <c r="H33" s="9" t="n"/>
      <c r="I33" s="9" t="n"/>
      <c r="J33" s="3" t="n"/>
      <c r="K33" s="9" t="n"/>
    </row>
    <row r="34">
      <c r="A34" s="4" t="n"/>
      <c r="B34" s="9">
        <f>IF(A34="","",INT((DAY(A34)-1)/7)+1)</f>
        <v/>
      </c>
      <c r="C34" s="9" t="n"/>
      <c r="D34" s="9" t="n"/>
      <c r="E34" s="9" t="n"/>
      <c r="F34" s="9" t="n"/>
      <c r="G34" s="9" t="n"/>
      <c r="H34" s="9" t="n"/>
      <c r="I34" s="9" t="n"/>
      <c r="J34" s="3" t="n"/>
      <c r="K34" s="9" t="n"/>
    </row>
    <row r="35">
      <c r="A35" s="4" t="n"/>
      <c r="B35" s="9">
        <f>IF(A35="","",INT((DAY(A35)-1)/7)+1)</f>
        <v/>
      </c>
      <c r="C35" s="9" t="n"/>
      <c r="D35" s="9" t="n"/>
      <c r="E35" s="9" t="n"/>
      <c r="F35" s="9" t="n"/>
      <c r="G35" s="9" t="n"/>
      <c r="H35" s="9" t="n"/>
      <c r="I35" s="9" t="n"/>
      <c r="J35" s="3" t="n"/>
      <c r="K35" s="9" t="n"/>
    </row>
    <row r="36">
      <c r="A36" s="4" t="n"/>
      <c r="B36" s="9">
        <f>IF(A36="","",INT((DAY(A36)-1)/7)+1)</f>
        <v/>
      </c>
      <c r="C36" s="9" t="n"/>
      <c r="D36" s="9" t="n"/>
      <c r="E36" s="9" t="n"/>
      <c r="F36" s="9" t="n"/>
      <c r="G36" s="9" t="n"/>
      <c r="H36" s="9" t="n"/>
      <c r="I36" s="9" t="n"/>
      <c r="J36" s="3" t="n"/>
      <c r="K36" s="9" t="n"/>
    </row>
    <row r="37">
      <c r="A37" s="4" t="n"/>
      <c r="B37" s="9">
        <f>IF(A37="","",INT((DAY(A37)-1)/7)+1)</f>
        <v/>
      </c>
      <c r="C37" s="9" t="n"/>
      <c r="D37" s="9" t="n"/>
      <c r="E37" s="9" t="n"/>
      <c r="F37" s="9" t="n"/>
      <c r="G37" s="9" t="n"/>
      <c r="H37" s="9" t="n"/>
      <c r="I37" s="9" t="n"/>
      <c r="J37" s="3" t="n"/>
      <c r="K37" s="9" t="n"/>
    </row>
    <row r="38">
      <c r="A38" s="4" t="n"/>
      <c r="B38" s="9">
        <f>IF(A38="","",INT((DAY(A38)-1)/7)+1)</f>
        <v/>
      </c>
      <c r="C38" s="9" t="n"/>
      <c r="D38" s="9" t="n"/>
      <c r="E38" s="9" t="n"/>
      <c r="F38" s="9" t="n"/>
      <c r="G38" s="9" t="n"/>
      <c r="H38" s="9" t="n"/>
      <c r="I38" s="9" t="n"/>
      <c r="J38" s="3" t="n"/>
      <c r="K38" s="9" t="n"/>
    </row>
    <row r="39">
      <c r="A39" s="4" t="n"/>
      <c r="B39" s="9">
        <f>IF(A39="","",INT((DAY(A39)-1)/7)+1)</f>
        <v/>
      </c>
      <c r="C39" s="9" t="n"/>
      <c r="D39" s="9" t="n"/>
      <c r="E39" s="9" t="n"/>
      <c r="F39" s="9" t="n"/>
      <c r="G39" s="9" t="n"/>
      <c r="H39" s="9" t="n"/>
      <c r="I39" s="9" t="n"/>
      <c r="J39" s="3" t="n"/>
      <c r="K39" s="9" t="n"/>
    </row>
    <row r="40">
      <c r="A40" s="4" t="n"/>
      <c r="B40" s="9">
        <f>IF(A40="","",INT((DAY(A40)-1)/7)+1)</f>
        <v/>
      </c>
      <c r="C40" s="9" t="n"/>
      <c r="D40" s="9" t="n"/>
      <c r="E40" s="9" t="n"/>
      <c r="F40" s="9" t="n"/>
      <c r="G40" s="9" t="n"/>
      <c r="H40" s="9" t="n"/>
      <c r="I40" s="9" t="n"/>
      <c r="J40" s="3" t="n"/>
      <c r="K40" s="9" t="n"/>
    </row>
    <row r="41">
      <c r="A41" s="4" t="n"/>
      <c r="B41" s="9">
        <f>IF(A41="","",INT((DAY(A41)-1)/7)+1)</f>
        <v/>
      </c>
      <c r="C41" s="9" t="n"/>
      <c r="D41" s="9" t="n"/>
      <c r="E41" s="9" t="n"/>
      <c r="F41" s="9" t="n"/>
      <c r="G41" s="9" t="n"/>
      <c r="H41" s="9" t="n"/>
      <c r="I41" s="9" t="n"/>
      <c r="J41" s="3" t="n"/>
      <c r="K41" s="9" t="n"/>
    </row>
    <row r="42">
      <c r="A42" s="4" t="n"/>
      <c r="B42" s="9">
        <f>IF(A42="","",INT((DAY(A42)-1)/7)+1)</f>
        <v/>
      </c>
      <c r="C42" s="9" t="n"/>
      <c r="D42" s="9" t="n"/>
      <c r="E42" s="9" t="n"/>
      <c r="F42" s="9" t="n"/>
      <c r="G42" s="9" t="n"/>
      <c r="H42" s="9" t="n"/>
      <c r="I42" s="9" t="n"/>
      <c r="J42" s="3" t="n"/>
      <c r="K42" s="9" t="n"/>
    </row>
    <row r="43">
      <c r="A43" s="4" t="n"/>
      <c r="B43" s="9">
        <f>IF(A43="","",INT((DAY(A43)-1)/7)+1)</f>
        <v/>
      </c>
      <c r="C43" s="9" t="n"/>
      <c r="D43" s="9" t="n"/>
      <c r="E43" s="9" t="n"/>
      <c r="F43" s="9" t="n"/>
      <c r="G43" s="9" t="n"/>
      <c r="H43" s="9" t="n"/>
      <c r="I43" s="9" t="n"/>
      <c r="J43" s="3" t="n"/>
      <c r="K43" s="9" t="n"/>
    </row>
    <row r="44">
      <c r="A44" s="4" t="n"/>
      <c r="B44" s="9">
        <f>IF(A44="","",INT((DAY(A44)-1)/7)+1)</f>
        <v/>
      </c>
      <c r="C44" s="9" t="n"/>
      <c r="D44" s="9" t="n"/>
      <c r="E44" s="9" t="n"/>
      <c r="F44" s="9" t="n"/>
      <c r="G44" s="9" t="n"/>
      <c r="H44" s="9" t="n"/>
      <c r="I44" s="9" t="n"/>
      <c r="J44" s="3" t="n"/>
      <c r="K44" s="9" t="n"/>
    </row>
    <row r="45">
      <c r="A45" s="4" t="n"/>
      <c r="B45" s="9">
        <f>IF(A45="","",INT((DAY(A45)-1)/7)+1)</f>
        <v/>
      </c>
      <c r="C45" s="9" t="n"/>
      <c r="D45" s="9" t="n"/>
      <c r="E45" s="9" t="n"/>
      <c r="F45" s="9" t="n"/>
      <c r="G45" s="9" t="n"/>
      <c r="H45" s="9" t="n"/>
      <c r="I45" s="9" t="n"/>
      <c r="J45" s="3" t="n"/>
      <c r="K45" s="9" t="n"/>
    </row>
    <row r="46">
      <c r="A46" s="4" t="n"/>
      <c r="B46" s="9">
        <f>IF(A46="","",INT((DAY(A46)-1)/7)+1)</f>
        <v/>
      </c>
      <c r="C46" s="9" t="n"/>
      <c r="D46" s="9" t="n"/>
      <c r="E46" s="9" t="n"/>
      <c r="F46" s="9" t="n"/>
      <c r="G46" s="9" t="n"/>
      <c r="H46" s="9" t="n"/>
      <c r="I46" s="9" t="n"/>
      <c r="J46" s="3" t="n"/>
      <c r="K46" s="9" t="n"/>
    </row>
    <row r="47">
      <c r="A47" s="4" t="n"/>
      <c r="B47" s="9">
        <f>IF(A47="","",INT((DAY(A47)-1)/7)+1)</f>
        <v/>
      </c>
      <c r="C47" s="9" t="n"/>
      <c r="D47" s="9" t="n"/>
      <c r="E47" s="9" t="n"/>
      <c r="F47" s="9" t="n"/>
      <c r="G47" s="9" t="n"/>
      <c r="H47" s="9" t="n"/>
      <c r="I47" s="9" t="n"/>
      <c r="J47" s="3" t="n"/>
      <c r="K47" s="9" t="n"/>
    </row>
    <row r="48">
      <c r="A48" s="4" t="n"/>
      <c r="B48" s="9">
        <f>IF(A48="","",INT((DAY(A48)-1)/7)+1)</f>
        <v/>
      </c>
      <c r="C48" s="9" t="n"/>
      <c r="D48" s="9" t="n"/>
      <c r="E48" s="9" t="n"/>
      <c r="F48" s="9" t="n"/>
      <c r="G48" s="9" t="n"/>
      <c r="H48" s="9" t="n"/>
      <c r="I48" s="9" t="n"/>
      <c r="J48" s="3" t="n"/>
      <c r="K48" s="9" t="n"/>
    </row>
    <row r="49">
      <c r="A49" s="4" t="n"/>
      <c r="B49" s="9">
        <f>IF(A49="","",INT((DAY(A49)-1)/7)+1)</f>
        <v/>
      </c>
      <c r="C49" s="9" t="n"/>
      <c r="D49" s="9" t="n"/>
      <c r="E49" s="9" t="n"/>
      <c r="F49" s="9" t="n"/>
      <c r="G49" s="9" t="n"/>
      <c r="H49" s="9" t="n"/>
      <c r="I49" s="9" t="n"/>
      <c r="J49" s="3" t="n"/>
      <c r="K49" s="9" t="n"/>
    </row>
    <row r="50">
      <c r="A50" s="4" t="n"/>
      <c r="B50" s="9">
        <f>IF(A50="","",INT((DAY(A50)-1)/7)+1)</f>
        <v/>
      </c>
      <c r="C50" s="9" t="n"/>
      <c r="D50" s="9" t="n"/>
      <c r="E50" s="9" t="n"/>
      <c r="F50" s="9" t="n"/>
      <c r="G50" s="9" t="n"/>
      <c r="H50" s="9" t="n"/>
      <c r="I50" s="9" t="n"/>
      <c r="J50" s="3" t="n"/>
      <c r="K50" s="9" t="n"/>
    </row>
    <row r="51">
      <c r="A51" s="4" t="n"/>
      <c r="B51" s="9">
        <f>IF(A51="","",INT((DAY(A51)-1)/7)+1)</f>
        <v/>
      </c>
      <c r="C51" s="9" t="n"/>
      <c r="D51" s="9" t="n"/>
      <c r="E51" s="9" t="n"/>
      <c r="F51" s="9" t="n"/>
      <c r="G51" s="9" t="n"/>
      <c r="H51" s="9" t="n"/>
      <c r="I51" s="9" t="n"/>
      <c r="J51" s="3" t="n"/>
      <c r="K51" s="9" t="n"/>
    </row>
    <row r="52">
      <c r="A52" s="4" t="n"/>
      <c r="B52" s="9">
        <f>IF(A52="","",INT((DAY(A52)-1)/7)+1)</f>
        <v/>
      </c>
      <c r="C52" s="9" t="n"/>
      <c r="D52" s="9" t="n"/>
      <c r="E52" s="9" t="n"/>
      <c r="F52" s="9" t="n"/>
      <c r="G52" s="9" t="n"/>
      <c r="H52" s="9" t="n"/>
      <c r="I52" s="9" t="n"/>
      <c r="J52" s="3" t="n"/>
      <c r="K52" s="9" t="n"/>
    </row>
    <row r="53">
      <c r="A53" s="4" t="n"/>
      <c r="B53" s="9">
        <f>IF(A53="","",INT((DAY(A53)-1)/7)+1)</f>
        <v/>
      </c>
      <c r="C53" s="9" t="n"/>
      <c r="D53" s="9" t="n"/>
      <c r="E53" s="9" t="n"/>
      <c r="F53" s="9" t="n"/>
      <c r="G53" s="9" t="n"/>
      <c r="H53" s="9" t="n"/>
      <c r="I53" s="9" t="n"/>
      <c r="J53" s="3" t="n"/>
      <c r="K53" s="9" t="n"/>
    </row>
    <row r="54">
      <c r="A54" s="4" t="n"/>
      <c r="B54" s="9">
        <f>IF(A54="","",INT((DAY(A54)-1)/7)+1)</f>
        <v/>
      </c>
      <c r="C54" s="9" t="n"/>
      <c r="D54" s="9" t="n"/>
      <c r="E54" s="9" t="n"/>
      <c r="F54" s="9" t="n"/>
      <c r="G54" s="9" t="n"/>
      <c r="H54" s="9" t="n"/>
      <c r="I54" s="9" t="n"/>
      <c r="J54" s="3" t="n"/>
      <c r="K54" s="9" t="n"/>
    </row>
    <row r="55">
      <c r="A55" s="4" t="n"/>
      <c r="B55" s="9">
        <f>IF(A55="","",INT((DAY(A55)-1)/7)+1)</f>
        <v/>
      </c>
      <c r="C55" s="9" t="n"/>
      <c r="D55" s="9" t="n"/>
      <c r="E55" s="9" t="n"/>
      <c r="F55" s="9" t="n"/>
      <c r="G55" s="9" t="n"/>
      <c r="H55" s="9" t="n"/>
      <c r="I55" s="9" t="n"/>
      <c r="J55" s="3" t="n"/>
      <c r="K55" s="9" t="n"/>
    </row>
    <row r="56">
      <c r="A56" s="4" t="n"/>
      <c r="B56" s="9">
        <f>IF(A56="","",INT((DAY(A56)-1)/7)+1)</f>
        <v/>
      </c>
      <c r="C56" s="9" t="n"/>
      <c r="D56" s="9" t="n"/>
      <c r="E56" s="9" t="n"/>
      <c r="F56" s="9" t="n"/>
      <c r="G56" s="9" t="n"/>
      <c r="H56" s="9" t="n"/>
      <c r="I56" s="9" t="n"/>
      <c r="J56" s="3" t="n"/>
      <c r="K56" s="9" t="n"/>
    </row>
    <row r="57">
      <c r="A57" s="4" t="n"/>
      <c r="B57" s="9">
        <f>IF(A57="","",INT((DAY(A57)-1)/7)+1)</f>
        <v/>
      </c>
      <c r="C57" s="9" t="n"/>
      <c r="D57" s="9" t="n"/>
      <c r="E57" s="9" t="n"/>
      <c r="F57" s="9" t="n"/>
      <c r="G57" s="9" t="n"/>
      <c r="H57" s="9" t="n"/>
      <c r="I57" s="9" t="n"/>
      <c r="J57" s="3" t="n"/>
      <c r="K57" s="9" t="n"/>
    </row>
    <row r="58">
      <c r="A58" s="4" t="n"/>
      <c r="B58" s="9">
        <f>IF(A58="","",INT((DAY(A58)-1)/7)+1)</f>
        <v/>
      </c>
      <c r="C58" s="9" t="n"/>
      <c r="D58" s="9" t="n"/>
      <c r="E58" s="9" t="n"/>
      <c r="F58" s="9" t="n"/>
      <c r="G58" s="9" t="n"/>
      <c r="H58" s="9" t="n"/>
      <c r="I58" s="9" t="n"/>
      <c r="J58" s="3" t="n"/>
      <c r="K58" s="9" t="n"/>
    </row>
    <row r="59">
      <c r="A59" s="4" t="n"/>
      <c r="B59" s="9">
        <f>IF(A59="","",INT((DAY(A59)-1)/7)+1)</f>
        <v/>
      </c>
      <c r="C59" s="9" t="n"/>
      <c r="D59" s="9" t="n"/>
      <c r="E59" s="9" t="n"/>
      <c r="F59" s="9" t="n"/>
      <c r="G59" s="9" t="n"/>
      <c r="H59" s="9" t="n"/>
      <c r="I59" s="9" t="n"/>
      <c r="J59" s="3" t="n"/>
      <c r="K59" s="9" t="n"/>
    </row>
    <row r="60">
      <c r="A60" s="4" t="n"/>
      <c r="B60" s="9">
        <f>IF(A60="","",INT((DAY(A60)-1)/7)+1)</f>
        <v/>
      </c>
      <c r="C60" s="9" t="n"/>
      <c r="D60" s="9" t="n"/>
      <c r="E60" s="9" t="n"/>
      <c r="F60" s="9" t="n"/>
      <c r="G60" s="9" t="n"/>
      <c r="H60" s="9" t="n"/>
      <c r="I60" s="9" t="n"/>
      <c r="J60" s="3" t="n"/>
      <c r="K60" s="9" t="n"/>
    </row>
    <row r="61">
      <c r="A61" s="4" t="n"/>
      <c r="B61" s="9">
        <f>IF(A61="","",INT((DAY(A61)-1)/7)+1)</f>
        <v/>
      </c>
      <c r="C61" s="9" t="n"/>
      <c r="D61" s="9" t="n"/>
      <c r="E61" s="9" t="n"/>
      <c r="F61" s="9" t="n"/>
      <c r="G61" s="9" t="n"/>
      <c r="H61" s="9" t="n"/>
      <c r="I61" s="9" t="n"/>
      <c r="J61" s="3" t="n"/>
      <c r="K61" s="9" t="n"/>
    </row>
    <row r="62">
      <c r="A62" s="4" t="n"/>
      <c r="B62" s="9">
        <f>IF(A62="","",INT((DAY(A62)-1)/7)+1)</f>
        <v/>
      </c>
      <c r="C62" s="9" t="n"/>
      <c r="D62" s="9" t="n"/>
      <c r="E62" s="9" t="n"/>
      <c r="F62" s="9" t="n"/>
      <c r="G62" s="9" t="n"/>
      <c r="H62" s="9" t="n"/>
      <c r="I62" s="9" t="n"/>
      <c r="J62" s="3" t="n"/>
      <c r="K62" s="9" t="n"/>
    </row>
    <row r="63">
      <c r="A63" s="4" t="n"/>
      <c r="B63" s="9">
        <f>IF(A63="","",INT((DAY(A63)-1)/7)+1)</f>
        <v/>
      </c>
      <c r="C63" s="9" t="n"/>
      <c r="D63" s="9" t="n"/>
      <c r="E63" s="9" t="n"/>
      <c r="F63" s="9" t="n"/>
      <c r="G63" s="9" t="n"/>
      <c r="H63" s="9" t="n"/>
      <c r="I63" s="9" t="n"/>
      <c r="J63" s="3" t="n"/>
      <c r="K63" s="9" t="n"/>
    </row>
    <row r="64">
      <c r="A64" s="4" t="n"/>
      <c r="B64" s="9">
        <f>IF(A64="","",INT((DAY(A64)-1)/7)+1)</f>
        <v/>
      </c>
      <c r="C64" s="9" t="n"/>
      <c r="D64" s="9" t="n"/>
      <c r="E64" s="9" t="n"/>
      <c r="F64" s="9" t="n"/>
      <c r="G64" s="9" t="n"/>
      <c r="H64" s="9" t="n"/>
      <c r="I64" s="9" t="n"/>
      <c r="J64" s="3" t="n"/>
      <c r="K64" s="9" t="n"/>
    </row>
    <row r="65">
      <c r="A65" s="4" t="n"/>
      <c r="B65" s="9">
        <f>IF(A65="","",INT((DAY(A65)-1)/7)+1)</f>
        <v/>
      </c>
      <c r="C65" s="9" t="n"/>
      <c r="D65" s="9" t="n"/>
      <c r="E65" s="9" t="n"/>
      <c r="F65" s="9" t="n"/>
      <c r="G65" s="9" t="n"/>
      <c r="H65" s="9" t="n"/>
      <c r="I65" s="9" t="n"/>
      <c r="J65" s="3" t="n"/>
      <c r="K65" s="9" t="n"/>
    </row>
    <row r="66">
      <c r="A66" s="4" t="n"/>
      <c r="B66" s="9">
        <f>IF(A66="","",INT((DAY(A66)-1)/7)+1)</f>
        <v/>
      </c>
      <c r="C66" s="9" t="n"/>
      <c r="D66" s="9" t="n"/>
      <c r="E66" s="9" t="n"/>
      <c r="F66" s="9" t="n"/>
      <c r="G66" s="9" t="n"/>
      <c r="H66" s="9" t="n"/>
      <c r="I66" s="9" t="n"/>
      <c r="J66" s="3" t="n"/>
      <c r="K66" s="9" t="n"/>
    </row>
    <row r="67">
      <c r="A67" s="4" t="n"/>
      <c r="B67" s="9">
        <f>IF(A67="","",INT((DAY(A67)-1)/7)+1)</f>
        <v/>
      </c>
      <c r="C67" s="9" t="n"/>
      <c r="D67" s="9" t="n"/>
      <c r="E67" s="9" t="n"/>
      <c r="F67" s="9" t="n"/>
      <c r="G67" s="9" t="n"/>
      <c r="H67" s="9" t="n"/>
      <c r="I67" s="9" t="n"/>
      <c r="J67" s="3" t="n"/>
      <c r="K67" s="9" t="n"/>
    </row>
    <row r="68">
      <c r="A68" s="4" t="n"/>
      <c r="B68" s="9">
        <f>IF(A68="","",INT((DAY(A68)-1)/7)+1)</f>
        <v/>
      </c>
      <c r="C68" s="9" t="n"/>
      <c r="D68" s="9" t="n"/>
      <c r="E68" s="9" t="n"/>
      <c r="F68" s="9" t="n"/>
      <c r="G68" s="9" t="n"/>
      <c r="H68" s="9" t="n"/>
      <c r="I68" s="9" t="n"/>
      <c r="J68" s="3" t="n"/>
      <c r="K68" s="9" t="n"/>
    </row>
    <row r="69">
      <c r="A69" s="4" t="n"/>
      <c r="B69" s="9">
        <f>IF(A69="","",INT((DAY(A69)-1)/7)+1)</f>
        <v/>
      </c>
      <c r="C69" s="9" t="n"/>
      <c r="D69" s="9" t="n"/>
      <c r="E69" s="9" t="n"/>
      <c r="F69" s="9" t="n"/>
      <c r="G69" s="9" t="n"/>
      <c r="H69" s="9" t="n"/>
      <c r="I69" s="9" t="n"/>
      <c r="J69" s="3" t="n"/>
      <c r="K69" s="9" t="n"/>
    </row>
    <row r="70">
      <c r="A70" s="4" t="n"/>
      <c r="B70" s="9">
        <f>IF(A70="","",INT((DAY(A70)-1)/7)+1)</f>
        <v/>
      </c>
      <c r="C70" s="9" t="n"/>
      <c r="D70" s="9" t="n"/>
      <c r="E70" s="9" t="n"/>
      <c r="F70" s="9" t="n"/>
      <c r="G70" s="9" t="n"/>
      <c r="H70" s="9" t="n"/>
      <c r="I70" s="9" t="n"/>
      <c r="J70" s="3" t="n"/>
      <c r="K70" s="9" t="n"/>
    </row>
    <row r="71">
      <c r="A71" s="4" t="n"/>
      <c r="B71" s="9">
        <f>IF(A71="","",INT((DAY(A71)-1)/7)+1)</f>
        <v/>
      </c>
      <c r="C71" s="9" t="n"/>
      <c r="D71" s="9" t="n"/>
      <c r="E71" s="9" t="n"/>
      <c r="F71" s="9" t="n"/>
      <c r="G71" s="9" t="n"/>
      <c r="H71" s="9" t="n"/>
      <c r="I71" s="9" t="n"/>
      <c r="J71" s="3" t="n"/>
      <c r="K71" s="9" t="n"/>
    </row>
    <row r="72">
      <c r="A72" s="4" t="n"/>
      <c r="B72" s="9">
        <f>IF(A72="","",INT((DAY(A72)-1)/7)+1)</f>
        <v/>
      </c>
      <c r="C72" s="9" t="n"/>
      <c r="D72" s="9" t="n"/>
      <c r="E72" s="9" t="n"/>
      <c r="F72" s="9" t="n"/>
      <c r="G72" s="9" t="n"/>
      <c r="H72" s="9" t="n"/>
      <c r="I72" s="9" t="n"/>
      <c r="J72" s="3" t="n"/>
      <c r="K72" s="9" t="n"/>
    </row>
    <row r="73">
      <c r="A73" s="4" t="n"/>
      <c r="B73" s="9">
        <f>IF(A73="","",INT((DAY(A73)-1)/7)+1)</f>
        <v/>
      </c>
      <c r="C73" s="9" t="n"/>
      <c r="D73" s="9" t="n"/>
      <c r="E73" s="9" t="n"/>
      <c r="F73" s="9" t="n"/>
      <c r="G73" s="9" t="n"/>
      <c r="H73" s="9" t="n"/>
      <c r="I73" s="9" t="n"/>
      <c r="J73" s="3" t="n"/>
      <c r="K73" s="9" t="n"/>
    </row>
    <row r="74">
      <c r="A74" s="4" t="n"/>
      <c r="B74" s="9">
        <f>IF(A74="","",INT((DAY(A74)-1)/7)+1)</f>
        <v/>
      </c>
      <c r="C74" s="9" t="n"/>
      <c r="D74" s="9" t="n"/>
      <c r="E74" s="9" t="n"/>
      <c r="F74" s="9" t="n"/>
      <c r="G74" s="9" t="n"/>
      <c r="H74" s="9" t="n"/>
      <c r="I74" s="9" t="n"/>
      <c r="J74" s="3" t="n"/>
      <c r="K74" s="9" t="n"/>
    </row>
    <row r="75">
      <c r="A75" s="4" t="n"/>
      <c r="B75" s="9">
        <f>IF(A75="","",INT((DAY(A75)-1)/7)+1)</f>
        <v/>
      </c>
      <c r="C75" s="9" t="n"/>
      <c r="D75" s="9" t="n"/>
      <c r="E75" s="9" t="n"/>
      <c r="F75" s="9" t="n"/>
      <c r="G75" s="9" t="n"/>
      <c r="H75" s="9" t="n"/>
      <c r="I75" s="9" t="n"/>
      <c r="J75" s="3" t="n"/>
      <c r="K75" s="9" t="n"/>
    </row>
    <row r="76">
      <c r="A76" s="4" t="n"/>
      <c r="B76" s="9">
        <f>IF(A76="","",INT((DAY(A76)-1)/7)+1)</f>
        <v/>
      </c>
      <c r="C76" s="9" t="n"/>
      <c r="D76" s="9" t="n"/>
      <c r="E76" s="9" t="n"/>
      <c r="F76" s="9" t="n"/>
      <c r="G76" s="9" t="n"/>
      <c r="H76" s="9" t="n"/>
      <c r="I76" s="9" t="n"/>
      <c r="J76" s="3" t="n"/>
      <c r="K76" s="9" t="n"/>
    </row>
    <row r="77">
      <c r="A77" s="4" t="n"/>
      <c r="B77" s="9">
        <f>IF(A77="","",INT((DAY(A77)-1)/7)+1)</f>
        <v/>
      </c>
      <c r="C77" s="9" t="n"/>
      <c r="D77" s="9" t="n"/>
      <c r="E77" s="9" t="n"/>
      <c r="F77" s="9" t="n"/>
      <c r="G77" s="9" t="n"/>
      <c r="H77" s="9" t="n"/>
      <c r="I77" s="9" t="n"/>
      <c r="J77" s="3" t="n"/>
      <c r="K77" s="9" t="n"/>
    </row>
    <row r="78">
      <c r="A78" s="4" t="n"/>
      <c r="B78" s="9">
        <f>IF(A78="","",INT((DAY(A78)-1)/7)+1)</f>
        <v/>
      </c>
      <c r="C78" s="9" t="n"/>
      <c r="D78" s="9" t="n"/>
      <c r="E78" s="9" t="n"/>
      <c r="F78" s="9" t="n"/>
      <c r="G78" s="9" t="n"/>
      <c r="H78" s="9" t="n"/>
      <c r="I78" s="9" t="n"/>
      <c r="J78" s="3" t="n"/>
      <c r="K78" s="9" t="n"/>
    </row>
    <row r="79">
      <c r="A79" s="4" t="n"/>
      <c r="B79" s="9">
        <f>IF(A79="","",INT((DAY(A79)-1)/7)+1)</f>
        <v/>
      </c>
      <c r="C79" s="9" t="n"/>
      <c r="D79" s="9" t="n"/>
      <c r="E79" s="9" t="n"/>
      <c r="F79" s="9" t="n"/>
      <c r="G79" s="9" t="n"/>
      <c r="H79" s="9" t="n"/>
      <c r="I79" s="9" t="n"/>
      <c r="J79" s="3" t="n"/>
      <c r="K79" s="9" t="n"/>
    </row>
    <row r="80">
      <c r="A80" s="4" t="n"/>
      <c r="B80" s="9">
        <f>IF(A80="","",INT((DAY(A80)-1)/7)+1)</f>
        <v/>
      </c>
      <c r="C80" s="9" t="n"/>
      <c r="D80" s="9" t="n"/>
      <c r="E80" s="9" t="n"/>
      <c r="F80" s="9" t="n"/>
      <c r="G80" s="9" t="n"/>
      <c r="H80" s="9" t="n"/>
      <c r="I80" s="9" t="n"/>
      <c r="J80" s="3" t="n"/>
      <c r="K80" s="9" t="n"/>
    </row>
    <row r="81">
      <c r="A81" s="4" t="n"/>
      <c r="B81" s="9">
        <f>IF(A81="","",INT((DAY(A81)-1)/7)+1)</f>
        <v/>
      </c>
      <c r="C81" s="9" t="n"/>
      <c r="D81" s="9" t="n"/>
      <c r="E81" s="9" t="n"/>
      <c r="F81" s="9" t="n"/>
      <c r="G81" s="9" t="n"/>
      <c r="H81" s="9" t="n"/>
      <c r="I81" s="9" t="n"/>
      <c r="J81" s="3" t="n"/>
      <c r="K81" s="9" t="n"/>
    </row>
    <row r="82">
      <c r="A82" s="4" t="n"/>
      <c r="B82" s="9">
        <f>IF(A82="","",INT((DAY(A82)-1)/7)+1)</f>
        <v/>
      </c>
      <c r="C82" s="9" t="n"/>
      <c r="D82" s="9" t="n"/>
      <c r="E82" s="9" t="n"/>
      <c r="F82" s="9" t="n"/>
      <c r="G82" s="9" t="n"/>
      <c r="H82" s="9" t="n"/>
      <c r="I82" s="9" t="n"/>
      <c r="J82" s="3" t="n"/>
      <c r="K82" s="9" t="n"/>
    </row>
    <row r="83">
      <c r="A83" s="4" t="n"/>
      <c r="B83" s="9">
        <f>IF(A83="","",INT((DAY(A83)-1)/7)+1)</f>
        <v/>
      </c>
      <c r="C83" s="9" t="n"/>
      <c r="D83" s="9" t="n"/>
      <c r="E83" s="9" t="n"/>
      <c r="F83" s="9" t="n"/>
      <c r="G83" s="9" t="n"/>
      <c r="H83" s="9" t="n"/>
      <c r="I83" s="9" t="n"/>
      <c r="J83" s="3" t="n"/>
      <c r="K83" s="9" t="n"/>
    </row>
    <row r="84">
      <c r="A84" s="4" t="n"/>
      <c r="B84" s="9">
        <f>IF(A84="","",INT((DAY(A84)-1)/7)+1)</f>
        <v/>
      </c>
      <c r="C84" s="9" t="n"/>
      <c r="D84" s="9" t="n"/>
      <c r="E84" s="9" t="n"/>
      <c r="F84" s="9" t="n"/>
      <c r="G84" s="9" t="n"/>
      <c r="H84" s="9" t="n"/>
      <c r="I84" s="9" t="n"/>
      <c r="J84" s="3" t="n"/>
      <c r="K84" s="9" t="n"/>
    </row>
    <row r="85">
      <c r="A85" s="4" t="n"/>
      <c r="B85" s="9">
        <f>IF(A85="","",INT((DAY(A85)-1)/7)+1)</f>
        <v/>
      </c>
      <c r="C85" s="9" t="n"/>
      <c r="D85" s="9" t="n"/>
      <c r="E85" s="9" t="n"/>
      <c r="F85" s="9" t="n"/>
      <c r="G85" s="9" t="n"/>
      <c r="H85" s="9" t="n"/>
      <c r="I85" s="9" t="n"/>
      <c r="J85" s="3" t="n"/>
      <c r="K85" s="9" t="n"/>
    </row>
    <row r="86">
      <c r="A86" s="4" t="n"/>
      <c r="B86" s="9">
        <f>IF(A86="","",INT((DAY(A86)-1)/7)+1)</f>
        <v/>
      </c>
      <c r="C86" s="9" t="n"/>
      <c r="D86" s="9" t="n"/>
      <c r="E86" s="9" t="n"/>
      <c r="F86" s="9" t="n"/>
      <c r="G86" s="9" t="n"/>
      <c r="H86" s="9" t="n"/>
      <c r="I86" s="9" t="n"/>
      <c r="J86" s="3" t="n"/>
      <c r="K86" s="9" t="n"/>
    </row>
    <row r="87">
      <c r="A87" s="4" t="n"/>
      <c r="B87" s="9">
        <f>IF(A87="","",INT((DAY(A87)-1)/7)+1)</f>
        <v/>
      </c>
      <c r="C87" s="9" t="n"/>
      <c r="D87" s="9" t="n"/>
      <c r="E87" s="9" t="n"/>
      <c r="F87" s="9" t="n"/>
      <c r="G87" s="9" t="n"/>
      <c r="H87" s="9" t="n"/>
      <c r="I87" s="9" t="n"/>
      <c r="J87" s="3" t="n"/>
      <c r="K87" s="9" t="n"/>
    </row>
    <row r="88">
      <c r="A88" s="4" t="n"/>
      <c r="B88" s="9">
        <f>IF(A88="","",INT((DAY(A88)-1)/7)+1)</f>
        <v/>
      </c>
      <c r="C88" s="9" t="n"/>
      <c r="D88" s="9" t="n"/>
      <c r="E88" s="9" t="n"/>
      <c r="F88" s="9" t="n"/>
      <c r="G88" s="9" t="n"/>
      <c r="H88" s="9" t="n"/>
      <c r="I88" s="9" t="n"/>
      <c r="J88" s="3" t="n"/>
      <c r="K88" s="9" t="n"/>
    </row>
    <row r="89">
      <c r="A89" s="4" t="n"/>
      <c r="B89" s="9">
        <f>IF(A89="","",INT((DAY(A89)-1)/7)+1)</f>
        <v/>
      </c>
      <c r="C89" s="9" t="n"/>
      <c r="D89" s="9" t="n"/>
      <c r="E89" s="9" t="n"/>
      <c r="F89" s="9" t="n"/>
      <c r="G89" s="9" t="n"/>
      <c r="H89" s="9" t="n"/>
      <c r="I89" s="9" t="n"/>
      <c r="J89" s="3" t="n"/>
      <c r="K89" s="9" t="n"/>
    </row>
    <row r="90">
      <c r="A90" s="4" t="n"/>
      <c r="B90" s="9">
        <f>IF(A90="","",INT((DAY(A90)-1)/7)+1)</f>
        <v/>
      </c>
      <c r="C90" s="9" t="n"/>
      <c r="D90" s="9" t="n"/>
      <c r="E90" s="9" t="n"/>
      <c r="F90" s="9" t="n"/>
      <c r="G90" s="9" t="n"/>
      <c r="H90" s="9" t="n"/>
      <c r="I90" s="9" t="n"/>
      <c r="J90" s="3" t="n"/>
      <c r="K90" s="9" t="n"/>
    </row>
    <row r="91">
      <c r="A91" s="4" t="n"/>
      <c r="B91" s="9">
        <f>IF(A91="","",INT((DAY(A91)-1)/7)+1)</f>
        <v/>
      </c>
      <c r="C91" s="9" t="n"/>
      <c r="D91" s="9" t="n"/>
      <c r="E91" s="9" t="n"/>
      <c r="F91" s="9" t="n"/>
      <c r="G91" s="9" t="n"/>
      <c r="H91" s="9" t="n"/>
      <c r="I91" s="9" t="n"/>
      <c r="J91" s="3" t="n"/>
      <c r="K91" s="9" t="n"/>
    </row>
    <row r="92">
      <c r="A92" s="4" t="n"/>
      <c r="B92" s="9">
        <f>IF(A92="","",INT((DAY(A92)-1)/7)+1)</f>
        <v/>
      </c>
      <c r="C92" s="9" t="n"/>
      <c r="D92" s="9" t="n"/>
      <c r="E92" s="9" t="n"/>
      <c r="F92" s="9" t="n"/>
      <c r="G92" s="9" t="n"/>
      <c r="H92" s="9" t="n"/>
      <c r="I92" s="9" t="n"/>
      <c r="J92" s="3" t="n"/>
      <c r="K92" s="9" t="n"/>
    </row>
    <row r="93">
      <c r="A93" s="4" t="n"/>
      <c r="B93" s="9">
        <f>IF(A93="","",INT((DAY(A93)-1)/7)+1)</f>
        <v/>
      </c>
      <c r="C93" s="9" t="n"/>
      <c r="D93" s="9" t="n"/>
      <c r="E93" s="9" t="n"/>
      <c r="F93" s="9" t="n"/>
      <c r="G93" s="9" t="n"/>
      <c r="H93" s="9" t="n"/>
      <c r="I93" s="9" t="n"/>
      <c r="J93" s="3" t="n"/>
      <c r="K93" s="9" t="n"/>
    </row>
    <row r="94">
      <c r="A94" s="4" t="n"/>
      <c r="B94" s="9">
        <f>IF(A94="","",INT((DAY(A94)-1)/7)+1)</f>
        <v/>
      </c>
      <c r="C94" s="9" t="n"/>
      <c r="D94" s="9" t="n"/>
      <c r="E94" s="9" t="n"/>
      <c r="F94" s="9" t="n"/>
      <c r="G94" s="9" t="n"/>
      <c r="H94" s="9" t="n"/>
      <c r="I94" s="9" t="n"/>
      <c r="J94" s="3" t="n"/>
      <c r="K94" s="9" t="n"/>
    </row>
    <row r="95">
      <c r="A95" s="4" t="n"/>
      <c r="B95" s="9">
        <f>IF(A95="","",INT((DAY(A95)-1)/7)+1)</f>
        <v/>
      </c>
      <c r="C95" s="9" t="n"/>
      <c r="D95" s="9" t="n"/>
      <c r="E95" s="9" t="n"/>
      <c r="F95" s="9" t="n"/>
      <c r="G95" s="9" t="n"/>
      <c r="H95" s="9" t="n"/>
      <c r="I95" s="9" t="n"/>
      <c r="J95" s="3" t="n"/>
      <c r="K95" s="9" t="n"/>
    </row>
    <row r="96">
      <c r="A96" s="4" t="n"/>
      <c r="B96" s="9">
        <f>IF(A96="","",INT((DAY(A96)-1)/7)+1)</f>
        <v/>
      </c>
      <c r="C96" s="9" t="n"/>
      <c r="D96" s="9" t="n"/>
      <c r="E96" s="9" t="n"/>
      <c r="F96" s="9" t="n"/>
      <c r="G96" s="9" t="n"/>
      <c r="H96" s="9" t="n"/>
      <c r="I96" s="9" t="n"/>
      <c r="J96" s="3" t="n"/>
      <c r="K96" s="9" t="n"/>
    </row>
    <row r="97">
      <c r="A97" s="4" t="n"/>
      <c r="B97" s="9">
        <f>IF(A97="","",INT((DAY(A97)-1)/7)+1)</f>
        <v/>
      </c>
      <c r="C97" s="9" t="n"/>
      <c r="D97" s="9" t="n"/>
      <c r="E97" s="9" t="n"/>
      <c r="F97" s="9" t="n"/>
      <c r="G97" s="9" t="n"/>
      <c r="H97" s="9" t="n"/>
      <c r="I97" s="9" t="n"/>
      <c r="J97" s="3" t="n"/>
      <c r="K97" s="9" t="n"/>
    </row>
    <row r="98">
      <c r="A98" s="4" t="n"/>
      <c r="B98" s="9">
        <f>IF(A98="","",INT((DAY(A98)-1)/7)+1)</f>
        <v/>
      </c>
      <c r="C98" s="9" t="n"/>
      <c r="D98" s="9" t="n"/>
      <c r="E98" s="9" t="n"/>
      <c r="F98" s="9" t="n"/>
      <c r="G98" s="9" t="n"/>
      <c r="H98" s="9" t="n"/>
      <c r="I98" s="9" t="n"/>
      <c r="J98" s="3" t="n"/>
      <c r="K98" s="9" t="n"/>
    </row>
    <row r="99">
      <c r="A99" s="4" t="n"/>
      <c r="B99" s="9">
        <f>IF(A99="","",INT((DAY(A99)-1)/7)+1)</f>
        <v/>
      </c>
      <c r="C99" s="9" t="n"/>
      <c r="D99" s="9" t="n"/>
      <c r="E99" s="9" t="n"/>
      <c r="F99" s="9" t="n"/>
      <c r="G99" s="9" t="n"/>
      <c r="H99" s="9" t="n"/>
      <c r="I99" s="9" t="n"/>
      <c r="J99" s="3" t="n"/>
      <c r="K99" s="9" t="n"/>
    </row>
    <row r="100">
      <c r="A100" s="4" t="n"/>
      <c r="B100" s="9">
        <f>IF(A100="","",INT((DAY(A100)-1)/7)+1)</f>
        <v/>
      </c>
      <c r="C100" s="9" t="n"/>
      <c r="D100" s="9" t="n"/>
      <c r="E100" s="9" t="n"/>
      <c r="F100" s="9" t="n"/>
      <c r="G100" s="9" t="n"/>
      <c r="H100" s="9" t="n"/>
      <c r="I100" s="9" t="n"/>
      <c r="J100" s="3" t="n"/>
      <c r="K100" s="9" t="n"/>
    </row>
    <row r="101">
      <c r="A101" s="4" t="n"/>
      <c r="B101" s="9">
        <f>IF(A101="","",INT((DAY(A101)-1)/7)+1)</f>
        <v/>
      </c>
      <c r="C101" s="9" t="n"/>
      <c r="D101" s="9" t="n"/>
      <c r="E101" s="9" t="n"/>
      <c r="F101" s="9" t="n"/>
      <c r="G101" s="9" t="n"/>
      <c r="H101" s="9" t="n"/>
      <c r="I101" s="9" t="n"/>
      <c r="J101" s="3" t="n"/>
      <c r="K101" s="9" t="n"/>
    </row>
    <row r="102">
      <c r="A102" s="4" t="n"/>
      <c r="B102" s="9">
        <f>IF(A102="","",INT((DAY(A102)-1)/7)+1)</f>
        <v/>
      </c>
      <c r="C102" s="9" t="n"/>
      <c r="D102" s="9" t="n"/>
      <c r="E102" s="9" t="n"/>
      <c r="F102" s="9" t="n"/>
      <c r="G102" s="9" t="n"/>
      <c r="H102" s="9" t="n"/>
      <c r="I102" s="9" t="n"/>
      <c r="J102" s="3" t="n"/>
      <c r="K102" s="9" t="n"/>
    </row>
    <row r="103">
      <c r="A103" s="4" t="n"/>
      <c r="B103" s="9">
        <f>IF(A103="","",INT((DAY(A103)-1)/7)+1)</f>
        <v/>
      </c>
      <c r="C103" s="9" t="n"/>
      <c r="D103" s="9" t="n"/>
      <c r="E103" s="9" t="n"/>
      <c r="F103" s="9" t="n"/>
      <c r="G103" s="9" t="n"/>
      <c r="H103" s="9" t="n"/>
      <c r="I103" s="9" t="n"/>
      <c r="J103" s="3" t="n"/>
      <c r="K103" s="9" t="n"/>
    </row>
    <row r="104">
      <c r="A104" s="4" t="n"/>
      <c r="B104" s="9">
        <f>IF(A104="","",INT((DAY(A104)-1)/7)+1)</f>
        <v/>
      </c>
      <c r="C104" s="9" t="n"/>
      <c r="D104" s="9" t="n"/>
      <c r="E104" s="9" t="n"/>
      <c r="F104" s="9" t="n"/>
      <c r="G104" s="9" t="n"/>
      <c r="H104" s="9" t="n"/>
      <c r="I104" s="9" t="n"/>
      <c r="J104" s="3" t="n"/>
      <c r="K104" s="9" t="n"/>
    </row>
    <row r="105">
      <c r="A105" s="4" t="n"/>
      <c r="B105" s="9">
        <f>IF(A105="","",INT((DAY(A105)-1)/7)+1)</f>
        <v/>
      </c>
      <c r="C105" s="9" t="n"/>
      <c r="D105" s="9" t="n"/>
      <c r="E105" s="9" t="n"/>
      <c r="F105" s="9" t="n"/>
      <c r="G105" s="9" t="n"/>
      <c r="H105" s="9" t="n"/>
      <c r="I105" s="9" t="n"/>
      <c r="J105" s="3" t="n"/>
      <c r="K105" s="9" t="n"/>
    </row>
    <row r="106">
      <c r="A106" s="4" t="n"/>
      <c r="B106" s="9">
        <f>IF(A106="","",INT((DAY(A106)-1)/7)+1)</f>
        <v/>
      </c>
      <c r="C106" s="9" t="n"/>
      <c r="D106" s="9" t="n"/>
      <c r="E106" s="9" t="n"/>
      <c r="F106" s="9" t="n"/>
      <c r="G106" s="9" t="n"/>
      <c r="H106" s="9" t="n"/>
      <c r="I106" s="9" t="n"/>
      <c r="J106" s="3" t="n"/>
      <c r="K106" s="9" t="n"/>
    </row>
    <row r="107">
      <c r="A107" s="4" t="n"/>
      <c r="B107" s="9">
        <f>IF(A107="","",INT((DAY(A107)-1)/7)+1)</f>
        <v/>
      </c>
      <c r="C107" s="9" t="n"/>
      <c r="D107" s="9" t="n"/>
      <c r="E107" s="9" t="n"/>
      <c r="F107" s="9" t="n"/>
      <c r="G107" s="9" t="n"/>
      <c r="H107" s="9" t="n"/>
      <c r="I107" s="9" t="n"/>
      <c r="J107" s="3" t="n"/>
      <c r="K107" s="9" t="n"/>
    </row>
    <row r="108">
      <c r="A108" s="4" t="n"/>
      <c r="B108" s="9">
        <f>IF(A108="","",INT((DAY(A108)-1)/7)+1)</f>
        <v/>
      </c>
      <c r="C108" s="9" t="n"/>
      <c r="D108" s="9" t="n"/>
      <c r="E108" s="9" t="n"/>
      <c r="F108" s="9" t="n"/>
      <c r="G108" s="9" t="n"/>
      <c r="H108" s="9" t="n"/>
      <c r="I108" s="9" t="n"/>
      <c r="J108" s="3" t="n"/>
      <c r="K108" s="9" t="n"/>
    </row>
    <row r="109">
      <c r="A109" s="4" t="n"/>
      <c r="B109" s="9">
        <f>IF(A109="","",INT((DAY(A109)-1)/7)+1)</f>
        <v/>
      </c>
      <c r="C109" s="9" t="n"/>
      <c r="D109" s="9" t="n"/>
      <c r="E109" s="9" t="n"/>
      <c r="F109" s="9" t="n"/>
      <c r="G109" s="9" t="n"/>
      <c r="H109" s="9" t="n"/>
      <c r="I109" s="9" t="n"/>
      <c r="J109" s="3" t="n"/>
      <c r="K109" s="9" t="n"/>
    </row>
    <row r="110">
      <c r="A110" s="4" t="n"/>
      <c r="B110" s="9">
        <f>IF(A110="","",INT((DAY(A110)-1)/7)+1)</f>
        <v/>
      </c>
      <c r="C110" s="9" t="n"/>
      <c r="D110" s="9" t="n"/>
      <c r="E110" s="9" t="n"/>
      <c r="F110" s="9" t="n"/>
      <c r="G110" s="9" t="n"/>
      <c r="H110" s="9" t="n"/>
      <c r="I110" s="9" t="n"/>
      <c r="J110" s="3" t="n"/>
      <c r="K110" s="9" t="n"/>
    </row>
    <row r="111">
      <c r="A111" s="4" t="n"/>
      <c r="B111" s="9">
        <f>IF(A111="","",INT((DAY(A111)-1)/7)+1)</f>
        <v/>
      </c>
      <c r="C111" s="9" t="n"/>
      <c r="D111" s="9" t="n"/>
      <c r="E111" s="9" t="n"/>
      <c r="F111" s="9" t="n"/>
      <c r="G111" s="9" t="n"/>
      <c r="H111" s="9" t="n"/>
      <c r="I111" s="9" t="n"/>
      <c r="J111" s="3" t="n"/>
      <c r="K111" s="9" t="n"/>
    </row>
    <row r="112">
      <c r="A112" s="4" t="n"/>
      <c r="B112" s="9">
        <f>IF(A112="","",INT((DAY(A112)-1)/7)+1)</f>
        <v/>
      </c>
      <c r="C112" s="9" t="n"/>
      <c r="D112" s="9" t="n"/>
      <c r="E112" s="9" t="n"/>
      <c r="F112" s="9" t="n"/>
      <c r="G112" s="9" t="n"/>
      <c r="H112" s="9" t="n"/>
      <c r="I112" s="9" t="n"/>
      <c r="J112" s="3" t="n"/>
      <c r="K112" s="9" t="n"/>
    </row>
    <row r="113">
      <c r="A113" s="4" t="n"/>
      <c r="B113" s="9">
        <f>IF(A113="","",INT((DAY(A113)-1)/7)+1)</f>
        <v/>
      </c>
      <c r="C113" s="9" t="n"/>
      <c r="D113" s="9" t="n"/>
      <c r="E113" s="9" t="n"/>
      <c r="F113" s="9" t="n"/>
      <c r="G113" s="9" t="n"/>
      <c r="H113" s="9" t="n"/>
      <c r="I113" s="9" t="n"/>
      <c r="J113" s="3" t="n"/>
      <c r="K113" s="9" t="n"/>
    </row>
    <row r="114">
      <c r="A114" s="4" t="n"/>
      <c r="B114" s="9">
        <f>IF(A114="","",INT((DAY(A114)-1)/7)+1)</f>
        <v/>
      </c>
      <c r="C114" s="9" t="n"/>
      <c r="D114" s="9" t="n"/>
      <c r="E114" s="9" t="n"/>
      <c r="F114" s="9" t="n"/>
      <c r="G114" s="9" t="n"/>
      <c r="H114" s="9" t="n"/>
      <c r="I114" s="9" t="n"/>
      <c r="J114" s="3" t="n"/>
      <c r="K114" s="9" t="n"/>
    </row>
    <row r="115">
      <c r="A115" s="4" t="n"/>
      <c r="B115" s="9">
        <f>IF(A115="","",INT((DAY(A115)-1)/7)+1)</f>
        <v/>
      </c>
      <c r="C115" s="9" t="n"/>
      <c r="D115" s="9" t="n"/>
      <c r="E115" s="9" t="n"/>
      <c r="F115" s="9" t="n"/>
      <c r="G115" s="9" t="n"/>
      <c r="H115" s="9" t="n"/>
      <c r="I115" s="9" t="n"/>
      <c r="J115" s="3" t="n"/>
      <c r="K115" s="9" t="n"/>
    </row>
    <row r="116">
      <c r="A116" s="4" t="n"/>
      <c r="B116" s="9">
        <f>IF(A116="","",INT((DAY(A116)-1)/7)+1)</f>
        <v/>
      </c>
      <c r="C116" s="9" t="n"/>
      <c r="D116" s="9" t="n"/>
      <c r="E116" s="9" t="n"/>
      <c r="F116" s="9" t="n"/>
      <c r="G116" s="9" t="n"/>
      <c r="H116" s="9" t="n"/>
      <c r="I116" s="9" t="n"/>
      <c r="J116" s="3" t="n"/>
      <c r="K116" s="9" t="n"/>
    </row>
    <row r="117">
      <c r="A117" s="4" t="n"/>
      <c r="B117" s="9">
        <f>IF(A117="","",INT((DAY(A117)-1)/7)+1)</f>
        <v/>
      </c>
      <c r="C117" s="9" t="n"/>
      <c r="D117" s="9" t="n"/>
      <c r="E117" s="9" t="n"/>
      <c r="F117" s="9" t="n"/>
      <c r="G117" s="9" t="n"/>
      <c r="H117" s="9" t="n"/>
      <c r="I117" s="9" t="n"/>
      <c r="J117" s="3" t="n"/>
      <c r="K117" s="9" t="n"/>
    </row>
    <row r="118">
      <c r="A118" s="4" t="n"/>
      <c r="B118" s="9">
        <f>IF(A118="","",INT((DAY(A118)-1)/7)+1)</f>
        <v/>
      </c>
      <c r="C118" s="9" t="n"/>
      <c r="D118" s="9" t="n"/>
      <c r="E118" s="9" t="n"/>
      <c r="F118" s="9" t="n"/>
      <c r="G118" s="9" t="n"/>
      <c r="H118" s="9" t="n"/>
      <c r="I118" s="9" t="n"/>
      <c r="J118" s="3" t="n"/>
      <c r="K118" s="9" t="n"/>
    </row>
    <row r="119">
      <c r="A119" s="4" t="n"/>
      <c r="B119" s="9">
        <f>IF(A119="","",INT((DAY(A119)-1)/7)+1)</f>
        <v/>
      </c>
      <c r="C119" s="9" t="n"/>
      <c r="D119" s="9" t="n"/>
      <c r="E119" s="9" t="n"/>
      <c r="F119" s="9" t="n"/>
      <c r="G119" s="9" t="n"/>
      <c r="H119" s="9" t="n"/>
      <c r="I119" s="9" t="n"/>
      <c r="J119" s="3" t="n"/>
      <c r="K119" s="9" t="n"/>
    </row>
    <row r="120">
      <c r="A120" s="4" t="n"/>
      <c r="B120" s="9">
        <f>IF(A120="","",INT((DAY(A120)-1)/7)+1)</f>
        <v/>
      </c>
      <c r="C120" s="9" t="n"/>
      <c r="D120" s="9" t="n"/>
      <c r="E120" s="9" t="n"/>
      <c r="F120" s="9" t="n"/>
      <c r="G120" s="9" t="n"/>
      <c r="H120" s="9" t="n"/>
      <c r="I120" s="9" t="n"/>
      <c r="J120" s="3" t="n"/>
      <c r="K120" s="9" t="n"/>
    </row>
    <row r="121">
      <c r="A121" s="4" t="n"/>
      <c r="B121" s="9">
        <f>IF(A121="","",INT((DAY(A121)-1)/7)+1)</f>
        <v/>
      </c>
      <c r="C121" s="9" t="n"/>
      <c r="D121" s="9" t="n"/>
      <c r="E121" s="9" t="n"/>
      <c r="F121" s="9" t="n"/>
      <c r="G121" s="9" t="n"/>
      <c r="H121" s="9" t="n"/>
      <c r="I121" s="9" t="n"/>
      <c r="J121" s="3" t="n"/>
      <c r="K121" s="9" t="n"/>
    </row>
    <row r="122">
      <c r="A122" s="4" t="n"/>
      <c r="B122" s="9">
        <f>IF(A122="","",INT((DAY(A122)-1)/7)+1)</f>
        <v/>
      </c>
      <c r="C122" s="9" t="n"/>
      <c r="D122" s="9" t="n"/>
      <c r="E122" s="9" t="n"/>
      <c r="F122" s="9" t="n"/>
      <c r="G122" s="9" t="n"/>
      <c r="H122" s="9" t="n"/>
      <c r="I122" s="9" t="n"/>
      <c r="J122" s="3" t="n"/>
      <c r="K122" s="9" t="n"/>
    </row>
    <row r="123">
      <c r="A123" s="4" t="n"/>
      <c r="B123" s="9">
        <f>IF(A123="","",INT((DAY(A123)-1)/7)+1)</f>
        <v/>
      </c>
      <c r="C123" s="9" t="n"/>
      <c r="D123" s="9" t="n"/>
      <c r="E123" s="9" t="n"/>
      <c r="F123" s="9" t="n"/>
      <c r="G123" s="9" t="n"/>
      <c r="H123" s="9" t="n"/>
      <c r="I123" s="9" t="n"/>
      <c r="J123" s="3" t="n"/>
      <c r="K123" s="9" t="n"/>
    </row>
    <row r="124">
      <c r="A124" s="4" t="n"/>
      <c r="B124" s="9">
        <f>IF(A124="","",INT((DAY(A124)-1)/7)+1)</f>
        <v/>
      </c>
      <c r="C124" s="9" t="n"/>
      <c r="D124" s="9" t="n"/>
      <c r="E124" s="9" t="n"/>
      <c r="F124" s="9" t="n"/>
      <c r="G124" s="9" t="n"/>
      <c r="H124" s="9" t="n"/>
      <c r="I124" s="9" t="n"/>
      <c r="J124" s="3" t="n"/>
      <c r="K124" s="9" t="n"/>
    </row>
    <row r="125">
      <c r="A125" s="4" t="n"/>
      <c r="B125" s="9">
        <f>IF(A125="","",INT((DAY(A125)-1)/7)+1)</f>
        <v/>
      </c>
      <c r="C125" s="9" t="n"/>
      <c r="D125" s="9" t="n"/>
      <c r="E125" s="9" t="n"/>
      <c r="F125" s="9" t="n"/>
      <c r="G125" s="9" t="n"/>
      <c r="H125" s="9" t="n"/>
      <c r="I125" s="9" t="n"/>
      <c r="J125" s="3" t="n"/>
      <c r="K125" s="9" t="n"/>
    </row>
    <row r="126">
      <c r="A126" s="4" t="n"/>
      <c r="B126" s="9">
        <f>IF(A126="","",INT((DAY(A126)-1)/7)+1)</f>
        <v/>
      </c>
      <c r="C126" s="9" t="n"/>
      <c r="D126" s="9" t="n"/>
      <c r="E126" s="9" t="n"/>
      <c r="F126" s="9" t="n"/>
      <c r="G126" s="9" t="n"/>
      <c r="H126" s="9" t="n"/>
      <c r="I126" s="9" t="n"/>
      <c r="J126" s="3" t="n"/>
      <c r="K126" s="9" t="n"/>
    </row>
    <row r="127">
      <c r="A127" s="4" t="n"/>
      <c r="B127" s="9">
        <f>IF(A127="","",INT((DAY(A127)-1)/7)+1)</f>
        <v/>
      </c>
      <c r="C127" s="9" t="n"/>
      <c r="D127" s="9" t="n"/>
      <c r="E127" s="9" t="n"/>
      <c r="F127" s="9" t="n"/>
      <c r="G127" s="9" t="n"/>
      <c r="H127" s="9" t="n"/>
      <c r="I127" s="9" t="n"/>
      <c r="J127" s="3" t="n"/>
      <c r="K127" s="9" t="n"/>
    </row>
    <row r="128">
      <c r="A128" s="4" t="n"/>
      <c r="B128" s="9">
        <f>IF(A128="","",INT((DAY(A128)-1)/7)+1)</f>
        <v/>
      </c>
      <c r="C128" s="9" t="n"/>
      <c r="D128" s="9" t="n"/>
      <c r="E128" s="9" t="n"/>
      <c r="F128" s="9" t="n"/>
      <c r="G128" s="9" t="n"/>
      <c r="H128" s="9" t="n"/>
      <c r="I128" s="9" t="n"/>
      <c r="J128" s="3" t="n"/>
      <c r="K128" s="9" t="n"/>
    </row>
    <row r="129">
      <c r="A129" s="4" t="n"/>
      <c r="B129" s="9">
        <f>IF(A129="","",INT((DAY(A129)-1)/7)+1)</f>
        <v/>
      </c>
      <c r="C129" s="9" t="n"/>
      <c r="D129" s="9" t="n"/>
      <c r="E129" s="9" t="n"/>
      <c r="F129" s="9" t="n"/>
      <c r="G129" s="9" t="n"/>
      <c r="H129" s="9" t="n"/>
      <c r="I129" s="9" t="n"/>
      <c r="J129" s="3" t="n"/>
      <c r="K129" s="9" t="n"/>
    </row>
    <row r="130">
      <c r="A130" s="4" t="n"/>
      <c r="B130" s="9">
        <f>IF(A130="","",INT((DAY(A130)-1)/7)+1)</f>
        <v/>
      </c>
      <c r="C130" s="9" t="n"/>
      <c r="D130" s="9" t="n"/>
      <c r="E130" s="9" t="n"/>
      <c r="F130" s="9" t="n"/>
      <c r="G130" s="9" t="n"/>
      <c r="H130" s="9" t="n"/>
      <c r="I130" s="9" t="n"/>
      <c r="J130" s="3" t="n"/>
      <c r="K130" s="9" t="n"/>
    </row>
    <row r="131">
      <c r="A131" s="4" t="n"/>
      <c r="B131" s="9">
        <f>IF(A131="","",INT((DAY(A131)-1)/7)+1)</f>
        <v/>
      </c>
      <c r="C131" s="9" t="n"/>
      <c r="D131" s="9" t="n"/>
      <c r="E131" s="9" t="n"/>
      <c r="F131" s="9" t="n"/>
      <c r="G131" s="9" t="n"/>
      <c r="H131" s="9" t="n"/>
      <c r="I131" s="9" t="n"/>
      <c r="J131" s="3" t="n"/>
      <c r="K131" s="9" t="n"/>
    </row>
    <row r="132">
      <c r="A132" s="4" t="n"/>
      <c r="B132" s="9">
        <f>IF(A132="","",INT((DAY(A132)-1)/7)+1)</f>
        <v/>
      </c>
      <c r="C132" s="9" t="n"/>
      <c r="D132" s="9" t="n"/>
      <c r="E132" s="9" t="n"/>
      <c r="F132" s="9" t="n"/>
      <c r="G132" s="9" t="n"/>
      <c r="H132" s="9" t="n"/>
      <c r="I132" s="9" t="n"/>
      <c r="J132" s="3" t="n"/>
      <c r="K132" s="9" t="n"/>
    </row>
    <row r="133">
      <c r="A133" s="4" t="n"/>
      <c r="B133" s="9">
        <f>IF(A133="","",INT((DAY(A133)-1)/7)+1)</f>
        <v/>
      </c>
      <c r="C133" s="9" t="n"/>
      <c r="D133" s="9" t="n"/>
      <c r="E133" s="9" t="n"/>
      <c r="F133" s="9" t="n"/>
      <c r="G133" s="9" t="n"/>
      <c r="H133" s="9" t="n"/>
      <c r="I133" s="9" t="n"/>
      <c r="J133" s="3" t="n"/>
      <c r="K133" s="9" t="n"/>
    </row>
    <row r="134">
      <c r="A134" s="4" t="n"/>
      <c r="B134" s="9">
        <f>IF(A134="","",INT((DAY(A134)-1)/7)+1)</f>
        <v/>
      </c>
      <c r="C134" s="9" t="n"/>
      <c r="D134" s="9" t="n"/>
      <c r="E134" s="9" t="n"/>
      <c r="F134" s="9" t="n"/>
      <c r="G134" s="9" t="n"/>
      <c r="H134" s="9" t="n"/>
      <c r="I134" s="9" t="n"/>
      <c r="J134" s="3" t="n"/>
      <c r="K134" s="9" t="n"/>
    </row>
    <row r="135">
      <c r="A135" s="4" t="n"/>
      <c r="B135" s="9">
        <f>IF(A135="","",INT((DAY(A135)-1)/7)+1)</f>
        <v/>
      </c>
      <c r="C135" s="9" t="n"/>
      <c r="D135" s="9" t="n"/>
      <c r="E135" s="9" t="n"/>
      <c r="F135" s="9" t="n"/>
      <c r="G135" s="9" t="n"/>
      <c r="H135" s="9" t="n"/>
      <c r="I135" s="9" t="n"/>
      <c r="J135" s="3" t="n"/>
      <c r="K135" s="9" t="n"/>
    </row>
    <row r="136">
      <c r="A136" s="4" t="n"/>
      <c r="B136" s="9">
        <f>IF(A136="","",INT((DAY(A136)-1)/7)+1)</f>
        <v/>
      </c>
      <c r="C136" s="9" t="n"/>
      <c r="D136" s="9" t="n"/>
      <c r="E136" s="9" t="n"/>
      <c r="F136" s="9" t="n"/>
      <c r="G136" s="9" t="n"/>
      <c r="H136" s="9" t="n"/>
      <c r="I136" s="9" t="n"/>
      <c r="J136" s="3" t="n"/>
      <c r="K136" s="9" t="n"/>
    </row>
    <row r="137">
      <c r="A137" s="4" t="n"/>
      <c r="B137" s="9">
        <f>IF(A137="","",INT((DAY(A137)-1)/7)+1)</f>
        <v/>
      </c>
      <c r="C137" s="9" t="n"/>
      <c r="D137" s="9" t="n"/>
      <c r="E137" s="9" t="n"/>
      <c r="F137" s="9" t="n"/>
      <c r="G137" s="9" t="n"/>
      <c r="H137" s="9" t="n"/>
      <c r="I137" s="9" t="n"/>
      <c r="J137" s="3" t="n"/>
      <c r="K137" s="9" t="n"/>
    </row>
    <row r="138">
      <c r="A138" s="4" t="n"/>
      <c r="B138" s="9">
        <f>IF(A138="","",INT((DAY(A138)-1)/7)+1)</f>
        <v/>
      </c>
      <c r="C138" s="9" t="n"/>
      <c r="D138" s="9" t="n"/>
      <c r="E138" s="9" t="n"/>
      <c r="F138" s="9" t="n"/>
      <c r="G138" s="9" t="n"/>
      <c r="H138" s="9" t="n"/>
      <c r="I138" s="9" t="n"/>
      <c r="J138" s="3" t="n"/>
      <c r="K138" s="9" t="n"/>
    </row>
    <row r="139">
      <c r="A139" s="4" t="n"/>
      <c r="B139" s="9">
        <f>IF(A139="","",INT((DAY(A139)-1)/7)+1)</f>
        <v/>
      </c>
      <c r="C139" s="9" t="n"/>
      <c r="D139" s="9" t="n"/>
      <c r="E139" s="9" t="n"/>
      <c r="F139" s="9" t="n"/>
      <c r="G139" s="9" t="n"/>
      <c r="H139" s="9" t="n"/>
      <c r="I139" s="9" t="n"/>
      <c r="J139" s="3" t="n"/>
      <c r="K139" s="9" t="n"/>
    </row>
    <row r="140">
      <c r="A140" s="4" t="n"/>
      <c r="B140" s="9">
        <f>IF(A140="","",INT((DAY(A140)-1)/7)+1)</f>
        <v/>
      </c>
      <c r="C140" s="9" t="n"/>
      <c r="D140" s="9" t="n"/>
      <c r="E140" s="9" t="n"/>
      <c r="F140" s="9" t="n"/>
      <c r="G140" s="9" t="n"/>
      <c r="H140" s="9" t="n"/>
      <c r="I140" s="9" t="n"/>
      <c r="J140" s="3" t="n"/>
      <c r="K140" s="9" t="n"/>
    </row>
    <row r="141">
      <c r="A141" s="4" t="n"/>
      <c r="B141" s="9">
        <f>IF(A141="","",INT((DAY(A141)-1)/7)+1)</f>
        <v/>
      </c>
      <c r="C141" s="9" t="n"/>
      <c r="D141" s="9" t="n"/>
      <c r="E141" s="9" t="n"/>
      <c r="F141" s="9" t="n"/>
      <c r="G141" s="9" t="n"/>
      <c r="H141" s="9" t="n"/>
      <c r="I141" s="9" t="n"/>
      <c r="J141" s="3" t="n"/>
      <c r="K141" s="9" t="n"/>
    </row>
    <row r="142">
      <c r="A142" s="4" t="n"/>
      <c r="B142" s="9">
        <f>IF(A142="","",INT((DAY(A142)-1)/7)+1)</f>
        <v/>
      </c>
      <c r="C142" s="9" t="n"/>
      <c r="D142" s="9" t="n"/>
      <c r="E142" s="9" t="n"/>
      <c r="F142" s="9" t="n"/>
      <c r="G142" s="9" t="n"/>
      <c r="H142" s="9" t="n"/>
      <c r="I142" s="9" t="n"/>
      <c r="J142" s="3" t="n"/>
      <c r="K142" s="9" t="n"/>
    </row>
    <row r="143">
      <c r="A143" s="4" t="n"/>
      <c r="B143" s="9">
        <f>IF(A143="","",INT((DAY(A143)-1)/7)+1)</f>
        <v/>
      </c>
      <c r="C143" s="9" t="n"/>
      <c r="D143" s="9" t="n"/>
      <c r="E143" s="9" t="n"/>
      <c r="F143" s="9" t="n"/>
      <c r="G143" s="9" t="n"/>
      <c r="H143" s="9" t="n"/>
      <c r="I143" s="9" t="n"/>
      <c r="J143" s="3" t="n"/>
      <c r="K143" s="9" t="n"/>
    </row>
    <row r="144">
      <c r="A144" s="4" t="n"/>
      <c r="B144" s="9">
        <f>IF(A144="","",INT((DAY(A144)-1)/7)+1)</f>
        <v/>
      </c>
      <c r="C144" s="9" t="n"/>
      <c r="D144" s="9" t="n"/>
      <c r="E144" s="9" t="n"/>
      <c r="F144" s="9" t="n"/>
      <c r="G144" s="9" t="n"/>
      <c r="H144" s="9" t="n"/>
      <c r="I144" s="9" t="n"/>
      <c r="J144" s="3" t="n"/>
      <c r="K144" s="9" t="n"/>
    </row>
    <row r="145">
      <c r="A145" s="4" t="n"/>
      <c r="B145" s="9">
        <f>IF(A145="","",INT((DAY(A145)-1)/7)+1)</f>
        <v/>
      </c>
      <c r="C145" s="9" t="n"/>
      <c r="D145" s="9" t="n"/>
      <c r="E145" s="9" t="n"/>
      <c r="F145" s="9" t="n"/>
      <c r="G145" s="9" t="n"/>
      <c r="H145" s="9" t="n"/>
      <c r="I145" s="9" t="n"/>
      <c r="J145" s="3" t="n"/>
      <c r="K145" s="9" t="n"/>
    </row>
    <row r="146">
      <c r="A146" s="4" t="n"/>
      <c r="B146" s="9">
        <f>IF(A146="","",INT((DAY(A146)-1)/7)+1)</f>
        <v/>
      </c>
      <c r="C146" s="9" t="n"/>
      <c r="D146" s="9" t="n"/>
      <c r="E146" s="9" t="n"/>
      <c r="F146" s="9" t="n"/>
      <c r="G146" s="9" t="n"/>
      <c r="H146" s="9" t="n"/>
      <c r="I146" s="9" t="n"/>
      <c r="J146" s="3" t="n"/>
      <c r="K146" s="9" t="n"/>
    </row>
    <row r="147">
      <c r="A147" s="4" t="n"/>
      <c r="B147" s="9">
        <f>IF(A147="","",INT((DAY(A147)-1)/7)+1)</f>
        <v/>
      </c>
      <c r="C147" s="9" t="n"/>
      <c r="D147" s="9" t="n"/>
      <c r="E147" s="9" t="n"/>
      <c r="F147" s="9" t="n"/>
      <c r="G147" s="9" t="n"/>
      <c r="H147" s="9" t="n"/>
      <c r="I147" s="9" t="n"/>
      <c r="J147" s="3" t="n"/>
      <c r="K147" s="9" t="n"/>
    </row>
    <row r="148">
      <c r="A148" s="4" t="n"/>
      <c r="B148" s="9">
        <f>IF(A148="","",INT((DAY(A148)-1)/7)+1)</f>
        <v/>
      </c>
      <c r="C148" s="9" t="n"/>
      <c r="D148" s="9" t="n"/>
      <c r="E148" s="9" t="n"/>
      <c r="F148" s="9" t="n"/>
      <c r="G148" s="9" t="n"/>
      <c r="H148" s="9" t="n"/>
      <c r="I148" s="9" t="n"/>
      <c r="J148" s="3" t="n"/>
      <c r="K148" s="9" t="n"/>
    </row>
    <row r="149">
      <c r="A149" s="4" t="n"/>
      <c r="B149" s="9">
        <f>IF(A149="","",INT((DAY(A149)-1)/7)+1)</f>
        <v/>
      </c>
      <c r="C149" s="9" t="n"/>
      <c r="D149" s="9" t="n"/>
      <c r="E149" s="9" t="n"/>
      <c r="F149" s="9" t="n"/>
      <c r="G149" s="9" t="n"/>
      <c r="H149" s="9" t="n"/>
      <c r="I149" s="9" t="n"/>
      <c r="J149" s="3" t="n"/>
      <c r="K149" s="9" t="n"/>
    </row>
    <row r="150">
      <c r="A150" s="4" t="n"/>
      <c r="B150" s="9">
        <f>IF(A150="","",INT((DAY(A150)-1)/7)+1)</f>
        <v/>
      </c>
      <c r="C150" s="9" t="n"/>
      <c r="D150" s="9" t="n"/>
      <c r="E150" s="9" t="n"/>
      <c r="F150" s="9" t="n"/>
      <c r="G150" s="9" t="n"/>
      <c r="H150" s="9" t="n"/>
      <c r="I150" s="9" t="n"/>
      <c r="J150" s="3" t="n"/>
      <c r="K150" s="9" t="n"/>
    </row>
    <row r="151">
      <c r="A151" s="4" t="n"/>
      <c r="B151" s="9">
        <f>IF(A151="","",INT((DAY(A151)-1)/7)+1)</f>
        <v/>
      </c>
      <c r="C151" s="9" t="n"/>
      <c r="D151" s="9" t="n"/>
      <c r="E151" s="9" t="n"/>
      <c r="F151" s="9" t="n"/>
      <c r="G151" s="9" t="n"/>
      <c r="H151" s="9" t="n"/>
      <c r="I151" s="9" t="n"/>
      <c r="J151" s="3" t="n"/>
      <c r="K151" s="9" t="n"/>
    </row>
    <row r="152">
      <c r="A152" s="4" t="n"/>
      <c r="B152" s="9">
        <f>IF(A152="","",INT((DAY(A152)-1)/7)+1)</f>
        <v/>
      </c>
      <c r="C152" s="9" t="n"/>
      <c r="D152" s="9" t="n"/>
      <c r="E152" s="9" t="n"/>
      <c r="F152" s="9" t="n"/>
      <c r="G152" s="9" t="n"/>
      <c r="H152" s="9" t="n"/>
      <c r="I152" s="9" t="n"/>
      <c r="J152" s="3" t="n"/>
      <c r="K152" s="9" t="n"/>
    </row>
    <row r="153">
      <c r="A153" s="4" t="n"/>
      <c r="B153" s="9">
        <f>IF(A153="","",INT((DAY(A153)-1)/7)+1)</f>
        <v/>
      </c>
      <c r="C153" s="9" t="n"/>
      <c r="D153" s="9" t="n"/>
      <c r="E153" s="9" t="n"/>
      <c r="F153" s="9" t="n"/>
      <c r="G153" s="9" t="n"/>
      <c r="H153" s="9" t="n"/>
      <c r="I153" s="9" t="n"/>
      <c r="J153" s="3" t="n"/>
      <c r="K153" s="9" t="n"/>
    </row>
    <row r="154">
      <c r="A154" s="4" t="n"/>
      <c r="B154" s="9">
        <f>IF(A154="","",INT((DAY(A154)-1)/7)+1)</f>
        <v/>
      </c>
      <c r="C154" s="9" t="n"/>
      <c r="D154" s="9" t="n"/>
      <c r="E154" s="9" t="n"/>
      <c r="F154" s="9" t="n"/>
      <c r="G154" s="9" t="n"/>
      <c r="H154" s="9" t="n"/>
      <c r="I154" s="9" t="n"/>
      <c r="J154" s="3" t="n"/>
      <c r="K154" s="9" t="n"/>
    </row>
    <row r="155">
      <c r="A155" s="4" t="n"/>
      <c r="B155" s="9">
        <f>IF(A155="","",INT((DAY(A155)-1)/7)+1)</f>
        <v/>
      </c>
      <c r="C155" s="9" t="n"/>
      <c r="D155" s="9" t="n"/>
      <c r="E155" s="9" t="n"/>
      <c r="F155" s="9" t="n"/>
      <c r="G155" s="9" t="n"/>
      <c r="H155" s="9" t="n"/>
      <c r="I155" s="9" t="n"/>
      <c r="J155" s="3" t="n"/>
      <c r="K155" s="9" t="n"/>
    </row>
    <row r="156">
      <c r="A156" s="4" t="n"/>
      <c r="B156" s="9">
        <f>IF(A156="","",INT((DAY(A156)-1)/7)+1)</f>
        <v/>
      </c>
      <c r="C156" s="9" t="n"/>
      <c r="D156" s="9" t="n"/>
      <c r="E156" s="9" t="n"/>
      <c r="F156" s="9" t="n"/>
      <c r="G156" s="9" t="n"/>
      <c r="H156" s="9" t="n"/>
      <c r="I156" s="9" t="n"/>
      <c r="J156" s="3" t="n"/>
      <c r="K156" s="9" t="n"/>
    </row>
    <row r="157">
      <c r="A157" s="4" t="n"/>
      <c r="B157" s="9">
        <f>IF(A157="","",INT((DAY(A157)-1)/7)+1)</f>
        <v/>
      </c>
      <c r="C157" s="9" t="n"/>
      <c r="D157" s="9" t="n"/>
      <c r="E157" s="9" t="n"/>
      <c r="F157" s="9" t="n"/>
      <c r="G157" s="9" t="n"/>
      <c r="H157" s="9" t="n"/>
      <c r="I157" s="9" t="n"/>
      <c r="J157" s="3" t="n"/>
      <c r="K157" s="9" t="n"/>
    </row>
    <row r="158">
      <c r="A158" s="4" t="n"/>
      <c r="B158" s="9">
        <f>IF(A158="","",INT((DAY(A158)-1)/7)+1)</f>
        <v/>
      </c>
      <c r="C158" s="9" t="n"/>
      <c r="D158" s="9" t="n"/>
      <c r="E158" s="9" t="n"/>
      <c r="F158" s="9" t="n"/>
      <c r="G158" s="9" t="n"/>
      <c r="H158" s="9" t="n"/>
      <c r="I158" s="9" t="n"/>
      <c r="J158" s="3" t="n"/>
      <c r="K158" s="9" t="n"/>
    </row>
    <row r="159">
      <c r="A159" s="4" t="n"/>
      <c r="B159" s="9">
        <f>IF(A159="","",INT((DAY(A159)-1)/7)+1)</f>
        <v/>
      </c>
      <c r="C159" s="9" t="n"/>
      <c r="D159" s="9" t="n"/>
      <c r="E159" s="9" t="n"/>
      <c r="F159" s="9" t="n"/>
      <c r="G159" s="9" t="n"/>
      <c r="H159" s="9" t="n"/>
      <c r="I159" s="9" t="n"/>
      <c r="J159" s="3" t="n"/>
      <c r="K159" s="9" t="n"/>
    </row>
    <row r="160">
      <c r="A160" s="4" t="n"/>
      <c r="B160" s="9">
        <f>IF(A160="","",INT((DAY(A160)-1)/7)+1)</f>
        <v/>
      </c>
      <c r="C160" s="9" t="n"/>
      <c r="D160" s="9" t="n"/>
      <c r="E160" s="9" t="n"/>
      <c r="F160" s="9" t="n"/>
      <c r="G160" s="9" t="n"/>
      <c r="H160" s="9" t="n"/>
      <c r="I160" s="9" t="n"/>
      <c r="J160" s="3" t="n"/>
      <c r="K160" s="9" t="n"/>
    </row>
    <row r="161">
      <c r="A161" s="4" t="n"/>
      <c r="B161" s="9">
        <f>IF(A161="","",INT((DAY(A161)-1)/7)+1)</f>
        <v/>
      </c>
      <c r="C161" s="9" t="n"/>
      <c r="D161" s="9" t="n"/>
      <c r="E161" s="9" t="n"/>
      <c r="F161" s="9" t="n"/>
      <c r="G161" s="9" t="n"/>
      <c r="H161" s="9" t="n"/>
      <c r="I161" s="9" t="n"/>
      <c r="J161" s="3" t="n"/>
      <c r="K161" s="9" t="n"/>
    </row>
    <row r="162">
      <c r="A162" s="4" t="n"/>
      <c r="B162" s="9">
        <f>IF(A162="","",INT((DAY(A162)-1)/7)+1)</f>
        <v/>
      </c>
      <c r="C162" s="9" t="n"/>
      <c r="D162" s="9" t="n"/>
      <c r="E162" s="9" t="n"/>
      <c r="F162" s="9" t="n"/>
      <c r="G162" s="9" t="n"/>
      <c r="H162" s="9" t="n"/>
      <c r="I162" s="9" t="n"/>
      <c r="J162" s="3" t="n"/>
      <c r="K162" s="9" t="n"/>
    </row>
    <row r="163">
      <c r="A163" s="4" t="n"/>
      <c r="B163" s="9">
        <f>IF(A163="","",INT((DAY(A163)-1)/7)+1)</f>
        <v/>
      </c>
      <c r="C163" s="9" t="n"/>
      <c r="D163" s="9" t="n"/>
      <c r="E163" s="9" t="n"/>
      <c r="F163" s="9" t="n"/>
      <c r="G163" s="9" t="n"/>
      <c r="H163" s="9" t="n"/>
      <c r="I163" s="9" t="n"/>
      <c r="J163" s="3" t="n"/>
      <c r="K163" s="9" t="n"/>
    </row>
    <row r="164">
      <c r="A164" s="4" t="n"/>
      <c r="B164" s="9">
        <f>IF(A164="","",INT((DAY(A164)-1)/7)+1)</f>
        <v/>
      </c>
      <c r="C164" s="9" t="n"/>
      <c r="D164" s="9" t="n"/>
      <c r="E164" s="9" t="n"/>
      <c r="F164" s="9" t="n"/>
      <c r="G164" s="9" t="n"/>
      <c r="H164" s="9" t="n"/>
      <c r="I164" s="9" t="n"/>
      <c r="J164" s="3" t="n"/>
      <c r="K164" s="9" t="n"/>
    </row>
    <row r="165">
      <c r="A165" s="4" t="n"/>
      <c r="B165" s="9">
        <f>IF(A165="","",INT((DAY(A165)-1)/7)+1)</f>
        <v/>
      </c>
      <c r="C165" s="9" t="n"/>
      <c r="D165" s="9" t="n"/>
      <c r="E165" s="9" t="n"/>
      <c r="F165" s="9" t="n"/>
      <c r="G165" s="9" t="n"/>
      <c r="H165" s="9" t="n"/>
      <c r="I165" s="9" t="n"/>
      <c r="J165" s="3" t="n"/>
      <c r="K165" s="9" t="n"/>
    </row>
    <row r="166">
      <c r="A166" s="4" t="n"/>
      <c r="B166" s="9">
        <f>IF(A166="","",INT((DAY(A166)-1)/7)+1)</f>
        <v/>
      </c>
      <c r="C166" s="9" t="n"/>
      <c r="D166" s="9" t="n"/>
      <c r="E166" s="9" t="n"/>
      <c r="F166" s="9" t="n"/>
      <c r="G166" s="9" t="n"/>
      <c r="H166" s="9" t="n"/>
      <c r="I166" s="9" t="n"/>
      <c r="J166" s="3" t="n"/>
      <c r="K166" s="9" t="n"/>
    </row>
    <row r="167">
      <c r="A167" s="4" t="n"/>
      <c r="B167" s="9">
        <f>IF(A167="","",INT((DAY(A167)-1)/7)+1)</f>
        <v/>
      </c>
      <c r="C167" s="9" t="n"/>
      <c r="D167" s="9" t="n"/>
      <c r="E167" s="9" t="n"/>
      <c r="F167" s="9" t="n"/>
      <c r="G167" s="9" t="n"/>
      <c r="H167" s="9" t="n"/>
      <c r="I167" s="9" t="n"/>
      <c r="J167" s="3" t="n"/>
      <c r="K167" s="9" t="n"/>
    </row>
    <row r="168">
      <c r="A168" s="4" t="n"/>
      <c r="B168" s="9">
        <f>IF(A168="","",INT((DAY(A168)-1)/7)+1)</f>
        <v/>
      </c>
      <c r="C168" s="9" t="n"/>
      <c r="D168" s="9" t="n"/>
      <c r="E168" s="9" t="n"/>
      <c r="F168" s="9" t="n"/>
      <c r="G168" s="9" t="n"/>
      <c r="H168" s="9" t="n"/>
      <c r="I168" s="9" t="n"/>
      <c r="J168" s="3" t="n"/>
      <c r="K168" s="9" t="n"/>
    </row>
    <row r="169">
      <c r="A169" s="4" t="n"/>
      <c r="B169" s="9">
        <f>IF(A169="","",INT((DAY(A169)-1)/7)+1)</f>
        <v/>
      </c>
      <c r="C169" s="9" t="n"/>
      <c r="D169" s="9" t="n"/>
      <c r="E169" s="9" t="n"/>
      <c r="F169" s="9" t="n"/>
      <c r="G169" s="9" t="n"/>
      <c r="H169" s="9" t="n"/>
      <c r="I169" s="9" t="n"/>
      <c r="J169" s="3" t="n"/>
      <c r="K169" s="9" t="n"/>
    </row>
    <row r="170">
      <c r="A170" s="4" t="n"/>
      <c r="B170" s="9">
        <f>IF(A170="","",INT((DAY(A170)-1)/7)+1)</f>
        <v/>
      </c>
      <c r="C170" s="9" t="n"/>
      <c r="D170" s="9" t="n"/>
      <c r="E170" s="9" t="n"/>
      <c r="F170" s="9" t="n"/>
      <c r="G170" s="9" t="n"/>
      <c r="H170" s="9" t="n"/>
      <c r="I170" s="9" t="n"/>
      <c r="J170" s="3" t="n"/>
      <c r="K170" s="9" t="n"/>
    </row>
    <row r="171">
      <c r="A171" s="4" t="n"/>
      <c r="B171" s="9">
        <f>IF(A171="","",INT((DAY(A171)-1)/7)+1)</f>
        <v/>
      </c>
      <c r="C171" s="9" t="n"/>
      <c r="D171" s="9" t="n"/>
      <c r="E171" s="9" t="n"/>
      <c r="F171" s="9" t="n"/>
      <c r="G171" s="9" t="n"/>
      <c r="H171" s="9" t="n"/>
      <c r="I171" s="9" t="n"/>
      <c r="J171" s="3" t="n"/>
      <c r="K171" s="9" t="n"/>
    </row>
    <row r="172">
      <c r="A172" s="4" t="n"/>
      <c r="B172" s="9">
        <f>IF(A172="","",INT((DAY(A172)-1)/7)+1)</f>
        <v/>
      </c>
      <c r="C172" s="9" t="n"/>
      <c r="D172" s="9" t="n"/>
      <c r="E172" s="9" t="n"/>
      <c r="F172" s="9" t="n"/>
      <c r="G172" s="9" t="n"/>
      <c r="H172" s="9" t="n"/>
      <c r="I172" s="9" t="n"/>
      <c r="J172" s="3" t="n"/>
      <c r="K172" s="9" t="n"/>
    </row>
    <row r="173">
      <c r="A173" s="4" t="n"/>
      <c r="B173" s="9">
        <f>IF(A173="","",INT((DAY(A173)-1)/7)+1)</f>
        <v/>
      </c>
      <c r="C173" s="9" t="n"/>
      <c r="D173" s="9" t="n"/>
      <c r="E173" s="9" t="n"/>
      <c r="F173" s="9" t="n"/>
      <c r="G173" s="9" t="n"/>
      <c r="H173" s="9" t="n"/>
      <c r="I173" s="9" t="n"/>
      <c r="J173" s="3" t="n"/>
      <c r="K173" s="9" t="n"/>
    </row>
    <row r="174">
      <c r="A174" s="4" t="n"/>
      <c r="B174" s="9">
        <f>IF(A174="","",INT((DAY(A174)-1)/7)+1)</f>
        <v/>
      </c>
      <c r="C174" s="9" t="n"/>
      <c r="D174" s="9" t="n"/>
      <c r="E174" s="9" t="n"/>
      <c r="F174" s="9" t="n"/>
      <c r="G174" s="9" t="n"/>
      <c r="H174" s="9" t="n"/>
      <c r="I174" s="9" t="n"/>
      <c r="J174" s="3" t="n"/>
      <c r="K174" s="9" t="n"/>
    </row>
    <row r="175">
      <c r="A175" s="4" t="n"/>
      <c r="B175" s="9">
        <f>IF(A175="","",INT((DAY(A175)-1)/7)+1)</f>
        <v/>
      </c>
      <c r="C175" s="9" t="n"/>
      <c r="D175" s="9" t="n"/>
      <c r="E175" s="9" t="n"/>
      <c r="F175" s="9" t="n"/>
      <c r="G175" s="9" t="n"/>
      <c r="H175" s="9" t="n"/>
      <c r="I175" s="9" t="n"/>
      <c r="J175" s="3" t="n"/>
      <c r="K175" s="9" t="n"/>
    </row>
    <row r="176">
      <c r="A176" s="4" t="n"/>
      <c r="B176" s="9">
        <f>IF(A176="","",INT((DAY(A176)-1)/7)+1)</f>
        <v/>
      </c>
      <c r="C176" s="9" t="n"/>
      <c r="D176" s="9" t="n"/>
      <c r="E176" s="9" t="n"/>
      <c r="F176" s="9" t="n"/>
      <c r="G176" s="9" t="n"/>
      <c r="H176" s="9" t="n"/>
      <c r="I176" s="9" t="n"/>
      <c r="J176" s="3" t="n"/>
      <c r="K176" s="9" t="n"/>
    </row>
    <row r="177">
      <c r="A177" s="4" t="n"/>
      <c r="B177" s="9">
        <f>IF(A177="","",INT((DAY(A177)-1)/7)+1)</f>
        <v/>
      </c>
      <c r="C177" s="9" t="n"/>
      <c r="D177" s="9" t="n"/>
      <c r="E177" s="9" t="n"/>
      <c r="F177" s="9" t="n"/>
      <c r="G177" s="9" t="n"/>
      <c r="H177" s="9" t="n"/>
      <c r="I177" s="9" t="n"/>
      <c r="J177" s="3" t="n"/>
      <c r="K177" s="9" t="n"/>
    </row>
    <row r="178">
      <c r="A178" s="4" t="n"/>
      <c r="B178" s="9">
        <f>IF(A178="","",INT((DAY(A178)-1)/7)+1)</f>
        <v/>
      </c>
      <c r="C178" s="9" t="n"/>
      <c r="D178" s="9" t="n"/>
      <c r="E178" s="9" t="n"/>
      <c r="F178" s="9" t="n"/>
      <c r="G178" s="9" t="n"/>
      <c r="H178" s="9" t="n"/>
      <c r="I178" s="9" t="n"/>
      <c r="J178" s="3" t="n"/>
      <c r="K178" s="9" t="n"/>
    </row>
    <row r="179">
      <c r="A179" s="4" t="n"/>
      <c r="B179" s="9">
        <f>IF(A179="","",INT((DAY(A179)-1)/7)+1)</f>
        <v/>
      </c>
      <c r="C179" s="9" t="n"/>
      <c r="D179" s="9" t="n"/>
      <c r="E179" s="9" t="n"/>
      <c r="F179" s="9" t="n"/>
      <c r="G179" s="9" t="n"/>
      <c r="H179" s="9" t="n"/>
      <c r="I179" s="9" t="n"/>
      <c r="J179" s="3" t="n"/>
      <c r="K179" s="9" t="n"/>
    </row>
    <row r="180">
      <c r="A180" s="4" t="n"/>
      <c r="B180" s="9">
        <f>IF(A180="","",INT((DAY(A180)-1)/7)+1)</f>
        <v/>
      </c>
      <c r="C180" s="9" t="n"/>
      <c r="D180" s="9" t="n"/>
      <c r="E180" s="9" t="n"/>
      <c r="F180" s="9" t="n"/>
      <c r="G180" s="9" t="n"/>
      <c r="H180" s="9" t="n"/>
      <c r="I180" s="9" t="n"/>
      <c r="J180" s="3" t="n"/>
      <c r="K180" s="9" t="n"/>
    </row>
    <row r="181">
      <c r="A181" s="4" t="n"/>
      <c r="B181" s="9">
        <f>IF(A181="","",INT((DAY(A181)-1)/7)+1)</f>
        <v/>
      </c>
      <c r="C181" s="9" t="n"/>
      <c r="D181" s="9" t="n"/>
      <c r="E181" s="9" t="n"/>
      <c r="F181" s="9" t="n"/>
      <c r="G181" s="9" t="n"/>
      <c r="H181" s="9" t="n"/>
      <c r="I181" s="9" t="n"/>
      <c r="J181" s="3" t="n"/>
      <c r="K181" s="9" t="n"/>
    </row>
    <row r="182">
      <c r="A182" s="4" t="n"/>
      <c r="B182" s="9">
        <f>IF(A182="","",INT((DAY(A182)-1)/7)+1)</f>
        <v/>
      </c>
      <c r="C182" s="9" t="n"/>
      <c r="D182" s="9" t="n"/>
      <c r="E182" s="9" t="n"/>
      <c r="F182" s="9" t="n"/>
      <c r="G182" s="9" t="n"/>
      <c r="H182" s="9" t="n"/>
      <c r="I182" s="9" t="n"/>
      <c r="J182" s="3" t="n"/>
      <c r="K182" s="9" t="n"/>
    </row>
    <row r="183">
      <c r="A183" s="4" t="n"/>
      <c r="B183" s="9">
        <f>IF(A183="","",INT((DAY(A183)-1)/7)+1)</f>
        <v/>
      </c>
      <c r="C183" s="9" t="n"/>
      <c r="D183" s="9" t="n"/>
      <c r="E183" s="9" t="n"/>
      <c r="F183" s="9" t="n"/>
      <c r="G183" s="9" t="n"/>
      <c r="H183" s="9" t="n"/>
      <c r="I183" s="9" t="n"/>
      <c r="J183" s="3" t="n"/>
      <c r="K183" s="9" t="n"/>
    </row>
    <row r="184">
      <c r="A184" s="4" t="n"/>
      <c r="B184" s="9">
        <f>IF(A184="","",INT((DAY(A184)-1)/7)+1)</f>
        <v/>
      </c>
      <c r="C184" s="9" t="n"/>
      <c r="D184" s="9" t="n"/>
      <c r="E184" s="9" t="n"/>
      <c r="F184" s="9" t="n"/>
      <c r="G184" s="9" t="n"/>
      <c r="H184" s="9" t="n"/>
      <c r="I184" s="9" t="n"/>
      <c r="J184" s="3" t="n"/>
      <c r="K184" s="9" t="n"/>
    </row>
    <row r="185">
      <c r="A185" s="4" t="n"/>
      <c r="B185" s="9">
        <f>IF(A185="","",INT((DAY(A185)-1)/7)+1)</f>
        <v/>
      </c>
      <c r="C185" s="9" t="n"/>
      <c r="D185" s="9" t="n"/>
      <c r="E185" s="9" t="n"/>
      <c r="F185" s="9" t="n"/>
      <c r="G185" s="9" t="n"/>
      <c r="H185" s="9" t="n"/>
      <c r="I185" s="9" t="n"/>
      <c r="J185" s="3" t="n"/>
      <c r="K185" s="9" t="n"/>
    </row>
    <row r="186">
      <c r="A186" s="4" t="n"/>
      <c r="B186" s="9">
        <f>IF(A186="","",INT((DAY(A186)-1)/7)+1)</f>
        <v/>
      </c>
      <c r="C186" s="9" t="n"/>
      <c r="D186" s="9" t="n"/>
      <c r="E186" s="9" t="n"/>
      <c r="F186" s="9" t="n"/>
      <c r="G186" s="9" t="n"/>
      <c r="H186" s="9" t="n"/>
      <c r="I186" s="9" t="n"/>
      <c r="J186" s="3" t="n"/>
      <c r="K186" s="9" t="n"/>
    </row>
    <row r="187">
      <c r="A187" s="4" t="n"/>
      <c r="B187" s="9">
        <f>IF(A187="","",INT((DAY(A187)-1)/7)+1)</f>
        <v/>
      </c>
      <c r="C187" s="9" t="n"/>
      <c r="D187" s="9" t="n"/>
      <c r="E187" s="9" t="n"/>
      <c r="F187" s="9" t="n"/>
      <c r="G187" s="9" t="n"/>
      <c r="H187" s="9" t="n"/>
      <c r="I187" s="9" t="n"/>
      <c r="J187" s="3" t="n"/>
      <c r="K187" s="9" t="n"/>
    </row>
    <row r="188">
      <c r="A188" s="4" t="n"/>
      <c r="B188" s="9">
        <f>IF(A188="","",INT((DAY(A188)-1)/7)+1)</f>
        <v/>
      </c>
      <c r="C188" s="9" t="n"/>
      <c r="D188" s="9" t="n"/>
      <c r="E188" s="9" t="n"/>
      <c r="F188" s="9" t="n"/>
      <c r="G188" s="9" t="n"/>
      <c r="H188" s="9" t="n"/>
      <c r="I188" s="9" t="n"/>
      <c r="J188" s="3" t="n"/>
      <c r="K188" s="9" t="n"/>
    </row>
    <row r="189">
      <c r="A189" s="4" t="n"/>
      <c r="B189" s="9">
        <f>IF(A189="","",INT((DAY(A189)-1)/7)+1)</f>
        <v/>
      </c>
      <c r="C189" s="9" t="n"/>
      <c r="D189" s="9" t="n"/>
      <c r="E189" s="9" t="n"/>
      <c r="F189" s="9" t="n"/>
      <c r="G189" s="9" t="n"/>
      <c r="H189" s="9" t="n"/>
      <c r="I189" s="9" t="n"/>
      <c r="J189" s="3" t="n"/>
      <c r="K189" s="9" t="n"/>
    </row>
    <row r="190">
      <c r="A190" s="4" t="n"/>
      <c r="B190" s="9">
        <f>IF(A190="","",INT((DAY(A190)-1)/7)+1)</f>
        <v/>
      </c>
      <c r="C190" s="9" t="n"/>
      <c r="D190" s="9" t="n"/>
      <c r="E190" s="9" t="n"/>
      <c r="F190" s="9" t="n"/>
      <c r="G190" s="9" t="n"/>
      <c r="H190" s="9" t="n"/>
      <c r="I190" s="9" t="n"/>
      <c r="J190" s="3" t="n"/>
      <c r="K190" s="9" t="n"/>
    </row>
    <row r="191">
      <c r="A191" s="4" t="n"/>
      <c r="B191" s="9">
        <f>IF(A191="","",INT((DAY(A191)-1)/7)+1)</f>
        <v/>
      </c>
      <c r="C191" s="9" t="n"/>
      <c r="D191" s="9" t="n"/>
      <c r="E191" s="9" t="n"/>
      <c r="F191" s="9" t="n"/>
      <c r="G191" s="9" t="n"/>
      <c r="H191" s="9" t="n"/>
      <c r="I191" s="9" t="n"/>
      <c r="J191" s="3" t="n"/>
      <c r="K191" s="9" t="n"/>
    </row>
    <row r="192">
      <c r="A192" s="4" t="n"/>
      <c r="B192" s="9">
        <f>IF(A192="","",INT((DAY(A192)-1)/7)+1)</f>
        <v/>
      </c>
      <c r="C192" s="9" t="n"/>
      <c r="D192" s="9" t="n"/>
      <c r="E192" s="9" t="n"/>
      <c r="F192" s="9" t="n"/>
      <c r="G192" s="9" t="n"/>
      <c r="H192" s="9" t="n"/>
      <c r="I192" s="9" t="n"/>
      <c r="J192" s="3" t="n"/>
      <c r="K192" s="9" t="n"/>
    </row>
    <row r="193">
      <c r="A193" s="4" t="n"/>
      <c r="B193" s="9">
        <f>IF(A193="","",INT((DAY(A193)-1)/7)+1)</f>
        <v/>
      </c>
      <c r="C193" s="9" t="n"/>
      <c r="D193" s="9" t="n"/>
      <c r="E193" s="9" t="n"/>
      <c r="F193" s="9" t="n"/>
      <c r="G193" s="9" t="n"/>
      <c r="H193" s="9" t="n"/>
      <c r="I193" s="9" t="n"/>
      <c r="J193" s="3" t="n"/>
      <c r="K193" s="9" t="n"/>
    </row>
    <row r="194">
      <c r="A194" s="4" t="n"/>
      <c r="B194" s="9">
        <f>IF(A194="","",INT((DAY(A194)-1)/7)+1)</f>
        <v/>
      </c>
      <c r="C194" s="9" t="n"/>
      <c r="D194" s="9" t="n"/>
      <c r="E194" s="9" t="n"/>
      <c r="F194" s="9" t="n"/>
      <c r="G194" s="9" t="n"/>
      <c r="H194" s="9" t="n"/>
      <c r="I194" s="9" t="n"/>
      <c r="J194" s="3" t="n"/>
      <c r="K194" s="9" t="n"/>
    </row>
    <row r="195">
      <c r="A195" s="4" t="n"/>
      <c r="B195" s="9">
        <f>IF(A195="","",INT((DAY(A195)-1)/7)+1)</f>
        <v/>
      </c>
      <c r="C195" s="9" t="n"/>
      <c r="D195" s="9" t="n"/>
      <c r="E195" s="9" t="n"/>
      <c r="F195" s="9" t="n"/>
      <c r="G195" s="9" t="n"/>
      <c r="H195" s="9" t="n"/>
      <c r="I195" s="9" t="n"/>
      <c r="J195" s="3" t="n"/>
      <c r="K195" s="9" t="n"/>
    </row>
    <row r="196">
      <c r="A196" s="4" t="n"/>
      <c r="B196" s="9">
        <f>IF(A196="","",INT((DAY(A196)-1)/7)+1)</f>
        <v/>
      </c>
      <c r="C196" s="9" t="n"/>
      <c r="D196" s="9" t="n"/>
      <c r="E196" s="9" t="n"/>
      <c r="F196" s="9" t="n"/>
      <c r="G196" s="9" t="n"/>
      <c r="H196" s="9" t="n"/>
      <c r="I196" s="9" t="n"/>
      <c r="J196" s="3" t="n"/>
      <c r="K196" s="9" t="n"/>
    </row>
    <row r="197">
      <c r="A197" s="4" t="n"/>
      <c r="B197" s="9">
        <f>IF(A197="","",INT((DAY(A197)-1)/7)+1)</f>
        <v/>
      </c>
      <c r="C197" s="9" t="n"/>
      <c r="D197" s="9" t="n"/>
      <c r="E197" s="9" t="n"/>
      <c r="F197" s="9" t="n"/>
      <c r="G197" s="9" t="n"/>
      <c r="H197" s="9" t="n"/>
      <c r="I197" s="9" t="n"/>
      <c r="J197" s="3" t="n"/>
      <c r="K197" s="9" t="n"/>
    </row>
    <row r="198">
      <c r="A198" s="4" t="n"/>
      <c r="B198" s="9">
        <f>IF(A198="","",INT((DAY(A198)-1)/7)+1)</f>
        <v/>
      </c>
      <c r="C198" s="9" t="n"/>
      <c r="D198" s="9" t="n"/>
      <c r="E198" s="9" t="n"/>
      <c r="F198" s="9" t="n"/>
      <c r="G198" s="9" t="n"/>
      <c r="H198" s="9" t="n"/>
      <c r="I198" s="9" t="n"/>
      <c r="J198" s="3" t="n"/>
      <c r="K198" s="9" t="n"/>
    </row>
    <row r="199">
      <c r="A199" s="4" t="n"/>
      <c r="B199" s="9">
        <f>IF(A199="","",INT((DAY(A199)-1)/7)+1)</f>
        <v/>
      </c>
      <c r="C199" s="9" t="n"/>
      <c r="D199" s="9" t="n"/>
      <c r="E199" s="9" t="n"/>
      <c r="F199" s="9" t="n"/>
      <c r="G199" s="9" t="n"/>
      <c r="H199" s="9" t="n"/>
      <c r="I199" s="9" t="n"/>
      <c r="J199" s="3" t="n"/>
      <c r="K199" s="9" t="n"/>
    </row>
    <row r="200">
      <c r="A200" s="4" t="n"/>
      <c r="B200" s="9">
        <f>IF(A200="","",INT((DAY(A200)-1)/7)+1)</f>
        <v/>
      </c>
      <c r="C200" s="9" t="n"/>
      <c r="D200" s="9" t="n"/>
      <c r="E200" s="9" t="n"/>
      <c r="F200" s="9" t="n"/>
      <c r="G200" s="9" t="n"/>
      <c r="H200" s="9" t="n"/>
      <c r="I200" s="9" t="n"/>
      <c r="J200" s="3" t="n"/>
      <c r="K200" s="9" t="n"/>
    </row>
    <row r="201">
      <c r="A201" s="4" t="n"/>
      <c r="B201" s="9">
        <f>IF(A201="","",INT((DAY(A201)-1)/7)+1)</f>
        <v/>
      </c>
      <c r="C201" s="9" t="n"/>
      <c r="D201" s="9" t="n"/>
      <c r="E201" s="9" t="n"/>
      <c r="F201" s="9" t="n"/>
      <c r="G201" s="9" t="n"/>
      <c r="H201" s="9" t="n"/>
      <c r="I201" s="9" t="n"/>
      <c r="J201" s="3" t="n"/>
      <c r="K201" s="9" t="n"/>
    </row>
    <row r="202">
      <c r="A202" s="4" t="n"/>
      <c r="B202" s="9">
        <f>IF(A202="","",INT((DAY(A202)-1)/7)+1)</f>
        <v/>
      </c>
      <c r="C202" s="9" t="n"/>
      <c r="D202" s="9" t="n"/>
      <c r="E202" s="9" t="n"/>
      <c r="F202" s="9" t="n"/>
      <c r="G202" s="9" t="n"/>
      <c r="H202" s="9" t="n"/>
      <c r="I202" s="9" t="n"/>
      <c r="J202" s="3" t="n"/>
      <c r="K202" s="9" t="n"/>
    </row>
    <row r="203">
      <c r="A203" s="4" t="n"/>
      <c r="B203" s="9">
        <f>IF(A203="","",INT((DAY(A203)-1)/7)+1)</f>
        <v/>
      </c>
      <c r="C203" s="9" t="n"/>
      <c r="D203" s="9" t="n"/>
      <c r="E203" s="9" t="n"/>
      <c r="F203" s="9" t="n"/>
      <c r="G203" s="9" t="n"/>
      <c r="H203" s="9" t="n"/>
      <c r="I203" s="9" t="n"/>
      <c r="J203" s="3" t="n"/>
      <c r="K203" s="9" t="n"/>
    </row>
    <row r="204">
      <c r="A204" s="4" t="n"/>
      <c r="B204" s="9">
        <f>IF(A204="","",INT((DAY(A204)-1)/7)+1)</f>
        <v/>
      </c>
      <c r="C204" s="9" t="n"/>
      <c r="D204" s="9" t="n"/>
      <c r="E204" s="9" t="n"/>
      <c r="F204" s="9" t="n"/>
      <c r="G204" s="9" t="n"/>
      <c r="H204" s="9" t="n"/>
      <c r="I204" s="9" t="n"/>
      <c r="J204" s="3" t="n"/>
      <c r="K204" s="9" t="n"/>
    </row>
    <row r="205">
      <c r="A205" s="4" t="n"/>
      <c r="B205" s="9">
        <f>IF(A205="","",INT((DAY(A205)-1)/7)+1)</f>
        <v/>
      </c>
      <c r="C205" s="9" t="n"/>
      <c r="D205" s="9" t="n"/>
      <c r="E205" s="9" t="n"/>
      <c r="F205" s="9" t="n"/>
      <c r="G205" s="9" t="n"/>
      <c r="H205" s="9" t="n"/>
      <c r="I205" s="9" t="n"/>
      <c r="J205" s="3" t="n"/>
      <c r="K205" s="9" t="n"/>
    </row>
    <row r="206">
      <c r="A206" s="4" t="n"/>
      <c r="B206" s="9">
        <f>IF(A206="","",INT((DAY(A206)-1)/7)+1)</f>
        <v/>
      </c>
      <c r="C206" s="9" t="n"/>
      <c r="D206" s="9" t="n"/>
      <c r="E206" s="9" t="n"/>
      <c r="F206" s="9" t="n"/>
      <c r="G206" s="9" t="n"/>
      <c r="H206" s="9" t="n"/>
      <c r="I206" s="9" t="n"/>
      <c r="J206" s="3" t="n"/>
      <c r="K206" s="9" t="n"/>
    </row>
    <row r="207">
      <c r="A207" s="4" t="n"/>
      <c r="B207" s="9">
        <f>IF(A207="","",INT((DAY(A207)-1)/7)+1)</f>
        <v/>
      </c>
      <c r="C207" s="9" t="n"/>
      <c r="D207" s="9" t="n"/>
      <c r="E207" s="9" t="n"/>
      <c r="F207" s="9" t="n"/>
      <c r="G207" s="9" t="n"/>
      <c r="H207" s="9" t="n"/>
      <c r="I207" s="9" t="n"/>
      <c r="J207" s="3" t="n"/>
      <c r="K207" s="9" t="n"/>
    </row>
    <row r="208">
      <c r="A208" s="4" t="n"/>
      <c r="B208" s="9">
        <f>IF(A208="","",INT((DAY(A208)-1)/7)+1)</f>
        <v/>
      </c>
      <c r="C208" s="9" t="n"/>
      <c r="D208" s="9" t="n"/>
      <c r="E208" s="9" t="n"/>
      <c r="F208" s="9" t="n"/>
      <c r="G208" s="9" t="n"/>
      <c r="H208" s="9" t="n"/>
      <c r="I208" s="9" t="n"/>
      <c r="J208" s="3" t="n"/>
      <c r="K208" s="9" t="n"/>
    </row>
    <row r="209">
      <c r="A209" s="4" t="n"/>
      <c r="B209" s="9">
        <f>IF(A209="","",INT((DAY(A209)-1)/7)+1)</f>
        <v/>
      </c>
      <c r="C209" s="9" t="n"/>
      <c r="D209" s="9" t="n"/>
      <c r="E209" s="9" t="n"/>
      <c r="F209" s="9" t="n"/>
      <c r="G209" s="9" t="n"/>
      <c r="H209" s="9" t="n"/>
      <c r="I209" s="9" t="n"/>
      <c r="J209" s="3" t="n"/>
      <c r="K209" s="9" t="n"/>
    </row>
    <row r="210">
      <c r="A210" s="4" t="n"/>
      <c r="B210" s="9">
        <f>IF(A210="","",INT((DAY(A210)-1)/7)+1)</f>
        <v/>
      </c>
      <c r="C210" s="9" t="n"/>
      <c r="D210" s="9" t="n"/>
      <c r="E210" s="9" t="n"/>
      <c r="F210" s="9" t="n"/>
      <c r="G210" s="9" t="n"/>
      <c r="H210" s="9" t="n"/>
      <c r="I210" s="9" t="n"/>
      <c r="J210" s="3" t="n"/>
      <c r="K210" s="9" t="n"/>
    </row>
    <row r="211">
      <c r="A211" s="4" t="n"/>
      <c r="B211" s="9">
        <f>IF(A211="","",INT((DAY(A211)-1)/7)+1)</f>
        <v/>
      </c>
      <c r="C211" s="9" t="n"/>
      <c r="D211" s="9" t="n"/>
      <c r="E211" s="9" t="n"/>
      <c r="F211" s="9" t="n"/>
      <c r="G211" s="9" t="n"/>
      <c r="H211" s="9" t="n"/>
      <c r="I211" s="9" t="n"/>
      <c r="J211" s="3" t="n"/>
      <c r="K211" s="9" t="n"/>
    </row>
    <row r="212">
      <c r="A212" s="4" t="n"/>
      <c r="B212" s="9">
        <f>IF(A212="","",INT((DAY(A212)-1)/7)+1)</f>
        <v/>
      </c>
      <c r="C212" s="9" t="n"/>
      <c r="D212" s="9" t="n"/>
      <c r="E212" s="9" t="n"/>
      <c r="F212" s="9" t="n"/>
      <c r="G212" s="9" t="n"/>
      <c r="H212" s="9" t="n"/>
      <c r="I212" s="9" t="n"/>
      <c r="J212" s="3" t="n"/>
      <c r="K212" s="9" t="n"/>
    </row>
    <row r="213">
      <c r="A213" s="4" t="n"/>
      <c r="B213" s="9">
        <f>IF(A213="","",INT((DAY(A213)-1)/7)+1)</f>
        <v/>
      </c>
      <c r="C213" s="9" t="n"/>
      <c r="D213" s="9" t="n"/>
      <c r="E213" s="9" t="n"/>
      <c r="F213" s="9" t="n"/>
      <c r="G213" s="9" t="n"/>
      <c r="H213" s="9" t="n"/>
      <c r="I213" s="9" t="n"/>
      <c r="J213" s="3" t="n"/>
      <c r="K213" s="9" t="n"/>
    </row>
    <row r="214">
      <c r="A214" s="4" t="n"/>
      <c r="B214" s="9">
        <f>IF(A214="","",INT((DAY(A214)-1)/7)+1)</f>
        <v/>
      </c>
      <c r="C214" s="9" t="n"/>
      <c r="D214" s="9" t="n"/>
      <c r="E214" s="9" t="n"/>
      <c r="F214" s="9" t="n"/>
      <c r="G214" s="9" t="n"/>
      <c r="H214" s="9" t="n"/>
      <c r="I214" s="9" t="n"/>
      <c r="J214" s="3" t="n"/>
      <c r="K214" s="9" t="n"/>
    </row>
    <row r="215">
      <c r="A215" s="4" t="n"/>
      <c r="B215" s="9">
        <f>IF(A215="","",INT((DAY(A215)-1)/7)+1)</f>
        <v/>
      </c>
      <c r="C215" s="9" t="n"/>
      <c r="D215" s="9" t="n"/>
      <c r="E215" s="9" t="n"/>
      <c r="F215" s="9" t="n"/>
      <c r="G215" s="9" t="n"/>
      <c r="H215" s="9" t="n"/>
      <c r="I215" s="9" t="n"/>
      <c r="J215" s="3" t="n"/>
      <c r="K215" s="9" t="n"/>
    </row>
    <row r="216">
      <c r="A216" s="4" t="n"/>
      <c r="B216" s="9">
        <f>IF(A216="","",INT((DAY(A216)-1)/7)+1)</f>
        <v/>
      </c>
      <c r="C216" s="9" t="n"/>
      <c r="D216" s="9" t="n"/>
      <c r="E216" s="9" t="n"/>
      <c r="F216" s="9" t="n"/>
      <c r="G216" s="9" t="n"/>
      <c r="H216" s="9" t="n"/>
      <c r="I216" s="9" t="n"/>
      <c r="J216" s="3" t="n"/>
      <c r="K216" s="9" t="n"/>
    </row>
    <row r="217">
      <c r="A217" s="4" t="n"/>
      <c r="B217" s="9">
        <f>IF(A217="","",INT((DAY(A217)-1)/7)+1)</f>
        <v/>
      </c>
      <c r="C217" s="9" t="n"/>
      <c r="D217" s="9" t="n"/>
      <c r="E217" s="9" t="n"/>
      <c r="F217" s="9" t="n"/>
      <c r="G217" s="9" t="n"/>
      <c r="H217" s="9" t="n"/>
      <c r="I217" s="9" t="n"/>
      <c r="J217" s="3" t="n"/>
      <c r="K217" s="9" t="n"/>
    </row>
    <row r="218">
      <c r="A218" s="4" t="n"/>
      <c r="B218" s="9">
        <f>IF(A218="","",INT((DAY(A218)-1)/7)+1)</f>
        <v/>
      </c>
      <c r="C218" s="9" t="n"/>
      <c r="D218" s="9" t="n"/>
      <c r="E218" s="9" t="n"/>
      <c r="F218" s="9" t="n"/>
      <c r="G218" s="9" t="n"/>
      <c r="H218" s="9" t="n"/>
      <c r="I218" s="9" t="n"/>
      <c r="J218" s="3" t="n"/>
      <c r="K218" s="9" t="n"/>
    </row>
    <row r="219">
      <c r="A219" s="4" t="n"/>
      <c r="B219" s="9">
        <f>IF(A219="","",INT((DAY(A219)-1)/7)+1)</f>
        <v/>
      </c>
      <c r="C219" s="9" t="n"/>
      <c r="D219" s="9" t="n"/>
      <c r="E219" s="9" t="n"/>
      <c r="F219" s="9" t="n"/>
      <c r="G219" s="9" t="n"/>
      <c r="H219" s="9" t="n"/>
      <c r="I219" s="9" t="n"/>
      <c r="J219" s="3" t="n"/>
      <c r="K219" s="9" t="n"/>
    </row>
    <row r="220">
      <c r="A220" s="4" t="n"/>
      <c r="B220" s="9">
        <f>IF(A220="","",INT((DAY(A220)-1)/7)+1)</f>
        <v/>
      </c>
      <c r="C220" s="9" t="n"/>
      <c r="D220" s="9" t="n"/>
      <c r="E220" s="9" t="n"/>
      <c r="F220" s="9" t="n"/>
      <c r="G220" s="9" t="n"/>
      <c r="H220" s="9" t="n"/>
      <c r="I220" s="9" t="n"/>
      <c r="J220" s="3" t="n"/>
      <c r="K220" s="9" t="n"/>
    </row>
    <row r="221">
      <c r="A221" s="4" t="n"/>
      <c r="B221" s="9">
        <f>IF(A221="","",INT((DAY(A221)-1)/7)+1)</f>
        <v/>
      </c>
      <c r="C221" s="9" t="n"/>
      <c r="D221" s="9" t="n"/>
      <c r="E221" s="9" t="n"/>
      <c r="F221" s="9" t="n"/>
      <c r="G221" s="9" t="n"/>
      <c r="H221" s="9" t="n"/>
      <c r="I221" s="9" t="n"/>
      <c r="J221" s="3" t="n"/>
      <c r="K221" s="9" t="n"/>
    </row>
    <row r="222">
      <c r="A222" s="4" t="n"/>
      <c r="B222" s="9">
        <f>IF(A222="","",INT((DAY(A222)-1)/7)+1)</f>
        <v/>
      </c>
      <c r="C222" s="9" t="n"/>
      <c r="D222" s="9" t="n"/>
      <c r="E222" s="9" t="n"/>
      <c r="F222" s="9" t="n"/>
      <c r="G222" s="9" t="n"/>
      <c r="H222" s="9" t="n"/>
      <c r="I222" s="9" t="n"/>
      <c r="J222" s="3" t="n"/>
      <c r="K222" s="9" t="n"/>
    </row>
    <row r="223">
      <c r="A223" s="4" t="n"/>
      <c r="B223" s="9">
        <f>IF(A223="","",INT((DAY(A223)-1)/7)+1)</f>
        <v/>
      </c>
      <c r="C223" s="9" t="n"/>
      <c r="D223" s="9" t="n"/>
      <c r="E223" s="9" t="n"/>
      <c r="F223" s="9" t="n"/>
      <c r="G223" s="9" t="n"/>
      <c r="H223" s="9" t="n"/>
      <c r="I223" s="9" t="n"/>
      <c r="J223" s="3" t="n"/>
      <c r="K223" s="9" t="n"/>
    </row>
    <row r="224">
      <c r="A224" s="4" t="n"/>
      <c r="B224" s="9">
        <f>IF(A224="","",INT((DAY(A224)-1)/7)+1)</f>
        <v/>
      </c>
      <c r="C224" s="9" t="n"/>
      <c r="D224" s="9" t="n"/>
      <c r="E224" s="9" t="n"/>
      <c r="F224" s="9" t="n"/>
      <c r="G224" s="9" t="n"/>
      <c r="H224" s="9" t="n"/>
      <c r="I224" s="9" t="n"/>
      <c r="J224" s="3" t="n"/>
      <c r="K224" s="9" t="n"/>
    </row>
    <row r="225">
      <c r="A225" s="4" t="n"/>
      <c r="B225" s="9">
        <f>IF(A225="","",INT((DAY(A225)-1)/7)+1)</f>
        <v/>
      </c>
      <c r="C225" s="9" t="n"/>
      <c r="D225" s="9" t="n"/>
      <c r="E225" s="9" t="n"/>
      <c r="F225" s="9" t="n"/>
      <c r="G225" s="9" t="n"/>
      <c r="H225" s="9" t="n"/>
      <c r="I225" s="9" t="n"/>
      <c r="J225" s="3" t="n"/>
      <c r="K225" s="9" t="n"/>
    </row>
    <row r="226">
      <c r="A226" s="4" t="n"/>
      <c r="B226" s="9">
        <f>IF(A226="","",INT((DAY(A226)-1)/7)+1)</f>
        <v/>
      </c>
      <c r="C226" s="9" t="n"/>
      <c r="D226" s="9" t="n"/>
      <c r="E226" s="9" t="n"/>
      <c r="F226" s="9" t="n"/>
      <c r="G226" s="9" t="n"/>
      <c r="H226" s="9" t="n"/>
      <c r="I226" s="9" t="n"/>
      <c r="J226" s="3" t="n"/>
      <c r="K226" s="9" t="n"/>
    </row>
    <row r="227">
      <c r="A227" s="4" t="n"/>
      <c r="B227" s="9">
        <f>IF(A227="","",INT((DAY(A227)-1)/7)+1)</f>
        <v/>
      </c>
      <c r="C227" s="9" t="n"/>
      <c r="D227" s="9" t="n"/>
      <c r="E227" s="9" t="n"/>
      <c r="F227" s="9" t="n"/>
      <c r="G227" s="9" t="n"/>
      <c r="H227" s="9" t="n"/>
      <c r="I227" s="9" t="n"/>
      <c r="J227" s="3" t="n"/>
      <c r="K227" s="9" t="n"/>
    </row>
    <row r="228">
      <c r="A228" s="4" t="n"/>
      <c r="B228" s="9">
        <f>IF(A228="","",INT((DAY(A228)-1)/7)+1)</f>
        <v/>
      </c>
      <c r="C228" s="9" t="n"/>
      <c r="D228" s="9" t="n"/>
      <c r="E228" s="9" t="n"/>
      <c r="F228" s="9" t="n"/>
      <c r="G228" s="9" t="n"/>
      <c r="H228" s="9" t="n"/>
      <c r="I228" s="9" t="n"/>
      <c r="J228" s="3" t="n"/>
      <c r="K228" s="9" t="n"/>
    </row>
    <row r="229">
      <c r="A229" s="4" t="n"/>
      <c r="B229" s="9">
        <f>IF(A229="","",INT((DAY(A229)-1)/7)+1)</f>
        <v/>
      </c>
      <c r="C229" s="9" t="n"/>
      <c r="D229" s="9" t="n"/>
      <c r="E229" s="9" t="n"/>
      <c r="F229" s="9" t="n"/>
      <c r="G229" s="9" t="n"/>
      <c r="H229" s="9" t="n"/>
      <c r="I229" s="9" t="n"/>
      <c r="J229" s="3" t="n"/>
      <c r="K229" s="9" t="n"/>
    </row>
    <row r="230">
      <c r="A230" s="4" t="n"/>
      <c r="B230" s="9">
        <f>IF(A230="","",INT((DAY(A230)-1)/7)+1)</f>
        <v/>
      </c>
      <c r="C230" s="9" t="n"/>
      <c r="D230" s="9" t="n"/>
      <c r="E230" s="9" t="n"/>
      <c r="F230" s="9" t="n"/>
      <c r="G230" s="9" t="n"/>
      <c r="H230" s="9" t="n"/>
      <c r="I230" s="9" t="n"/>
      <c r="J230" s="3" t="n"/>
      <c r="K230" s="9" t="n"/>
    </row>
    <row r="231">
      <c r="A231" s="4" t="n"/>
      <c r="B231" s="9">
        <f>IF(A231="","",INT((DAY(A231)-1)/7)+1)</f>
        <v/>
      </c>
      <c r="C231" s="9" t="n"/>
      <c r="D231" s="9" t="n"/>
      <c r="E231" s="9" t="n"/>
      <c r="F231" s="9" t="n"/>
      <c r="G231" s="9" t="n"/>
      <c r="H231" s="9" t="n"/>
      <c r="I231" s="9" t="n"/>
      <c r="J231" s="3" t="n"/>
      <c r="K231" s="9" t="n"/>
    </row>
    <row r="232">
      <c r="A232" s="4" t="n"/>
      <c r="B232" s="9">
        <f>IF(A232="","",INT((DAY(A232)-1)/7)+1)</f>
        <v/>
      </c>
      <c r="C232" s="9" t="n"/>
      <c r="D232" s="9" t="n"/>
      <c r="E232" s="9" t="n"/>
      <c r="F232" s="9" t="n"/>
      <c r="G232" s="9" t="n"/>
      <c r="H232" s="9" t="n"/>
      <c r="I232" s="9" t="n"/>
      <c r="J232" s="3" t="n"/>
      <c r="K232" s="9" t="n"/>
    </row>
    <row r="233">
      <c r="A233" s="4" t="n"/>
      <c r="B233" s="9">
        <f>IF(A233="","",INT((DAY(A233)-1)/7)+1)</f>
        <v/>
      </c>
      <c r="C233" s="9" t="n"/>
      <c r="D233" s="9" t="n"/>
      <c r="E233" s="9" t="n"/>
      <c r="F233" s="9" t="n"/>
      <c r="G233" s="9" t="n"/>
      <c r="H233" s="9" t="n"/>
      <c r="I233" s="9" t="n"/>
      <c r="J233" s="3" t="n"/>
      <c r="K233" s="9" t="n"/>
    </row>
    <row r="234">
      <c r="A234" s="4" t="n"/>
      <c r="B234" s="9">
        <f>IF(A234="","",INT((DAY(A234)-1)/7)+1)</f>
        <v/>
      </c>
      <c r="C234" s="9" t="n"/>
      <c r="D234" s="9" t="n"/>
      <c r="E234" s="9" t="n"/>
      <c r="F234" s="9" t="n"/>
      <c r="G234" s="9" t="n"/>
      <c r="H234" s="9" t="n"/>
      <c r="I234" s="9" t="n"/>
      <c r="J234" s="3" t="n"/>
      <c r="K234" s="9" t="n"/>
    </row>
    <row r="235">
      <c r="A235" s="4" t="n"/>
      <c r="B235" s="9">
        <f>IF(A235="","",INT((DAY(A235)-1)/7)+1)</f>
        <v/>
      </c>
      <c r="C235" s="9" t="n"/>
      <c r="D235" s="9" t="n"/>
      <c r="E235" s="9" t="n"/>
      <c r="F235" s="9" t="n"/>
      <c r="G235" s="9" t="n"/>
      <c r="H235" s="9" t="n"/>
      <c r="I235" s="9" t="n"/>
      <c r="J235" s="3" t="n"/>
      <c r="K235" s="9" t="n"/>
    </row>
    <row r="236">
      <c r="A236" s="4" t="n"/>
      <c r="B236" s="9">
        <f>IF(A236="","",INT((DAY(A236)-1)/7)+1)</f>
        <v/>
      </c>
      <c r="C236" s="9" t="n"/>
      <c r="D236" s="9" t="n"/>
      <c r="E236" s="9" t="n"/>
      <c r="F236" s="9" t="n"/>
      <c r="G236" s="9" t="n"/>
      <c r="H236" s="9" t="n"/>
      <c r="I236" s="9" t="n"/>
      <c r="J236" s="3" t="n"/>
      <c r="K236" s="9" t="n"/>
    </row>
    <row r="237">
      <c r="A237" s="4" t="n"/>
      <c r="B237" s="9">
        <f>IF(A237="","",INT((DAY(A237)-1)/7)+1)</f>
        <v/>
      </c>
      <c r="C237" s="9" t="n"/>
      <c r="D237" s="9" t="n"/>
      <c r="E237" s="9" t="n"/>
      <c r="F237" s="9" t="n"/>
      <c r="G237" s="9" t="n"/>
      <c r="H237" s="9" t="n"/>
      <c r="I237" s="9" t="n"/>
      <c r="J237" s="3" t="n"/>
      <c r="K237" s="9" t="n"/>
    </row>
    <row r="238">
      <c r="A238" s="4" t="n"/>
      <c r="B238" s="9">
        <f>IF(A238="","",INT((DAY(A238)-1)/7)+1)</f>
        <v/>
      </c>
      <c r="C238" s="9" t="n"/>
      <c r="D238" s="9" t="n"/>
      <c r="E238" s="9" t="n"/>
      <c r="F238" s="9" t="n"/>
      <c r="G238" s="9" t="n"/>
      <c r="H238" s="9" t="n"/>
      <c r="I238" s="9" t="n"/>
      <c r="J238" s="3" t="n"/>
      <c r="K238" s="9" t="n"/>
    </row>
    <row r="239">
      <c r="A239" s="4" t="n"/>
      <c r="B239" s="9">
        <f>IF(A239="","",INT((DAY(A239)-1)/7)+1)</f>
        <v/>
      </c>
      <c r="C239" s="9" t="n"/>
      <c r="D239" s="9" t="n"/>
      <c r="E239" s="9" t="n"/>
      <c r="F239" s="9" t="n"/>
      <c r="G239" s="9" t="n"/>
      <c r="H239" s="9" t="n"/>
      <c r="I239" s="9" t="n"/>
      <c r="J239" s="3" t="n"/>
      <c r="K239" s="9" t="n"/>
    </row>
    <row r="240">
      <c r="A240" s="4" t="n"/>
      <c r="B240" s="9">
        <f>IF(A240="","",INT((DAY(A240)-1)/7)+1)</f>
        <v/>
      </c>
      <c r="C240" s="9" t="n"/>
      <c r="D240" s="9" t="n"/>
      <c r="E240" s="9" t="n"/>
      <c r="F240" s="9" t="n"/>
      <c r="G240" s="9" t="n"/>
      <c r="H240" s="9" t="n"/>
      <c r="I240" s="9" t="n"/>
      <c r="J240" s="3" t="n"/>
      <c r="K240" s="9" t="n"/>
    </row>
    <row r="241">
      <c r="A241" s="4" t="n"/>
      <c r="B241" s="9">
        <f>IF(A241="","",INT((DAY(A241)-1)/7)+1)</f>
        <v/>
      </c>
      <c r="C241" s="9" t="n"/>
      <c r="D241" s="9" t="n"/>
      <c r="E241" s="9" t="n"/>
      <c r="F241" s="9" t="n"/>
      <c r="G241" s="9" t="n"/>
      <c r="H241" s="9" t="n"/>
      <c r="I241" s="9" t="n"/>
      <c r="J241" s="3" t="n"/>
      <c r="K241" s="9" t="n"/>
    </row>
    <row r="242">
      <c r="A242" s="4" t="n"/>
      <c r="B242" s="9">
        <f>IF(A242="","",INT((DAY(A242)-1)/7)+1)</f>
        <v/>
      </c>
      <c r="C242" s="9" t="n"/>
      <c r="D242" s="9" t="n"/>
      <c r="E242" s="9" t="n"/>
      <c r="F242" s="9" t="n"/>
      <c r="G242" s="9" t="n"/>
      <c r="H242" s="9" t="n"/>
      <c r="I242" s="9" t="n"/>
      <c r="J242" s="3" t="n"/>
      <c r="K242" s="9" t="n"/>
    </row>
    <row r="243">
      <c r="A243" s="4" t="n"/>
      <c r="B243" s="9">
        <f>IF(A243="","",INT((DAY(A243)-1)/7)+1)</f>
        <v/>
      </c>
      <c r="C243" s="9" t="n"/>
      <c r="D243" s="9" t="n"/>
      <c r="E243" s="9" t="n"/>
      <c r="F243" s="9" t="n"/>
      <c r="G243" s="9" t="n"/>
      <c r="H243" s="9" t="n"/>
      <c r="I243" s="9" t="n"/>
      <c r="J243" s="3" t="n"/>
      <c r="K243" s="9" t="n"/>
    </row>
    <row r="244">
      <c r="A244" s="4" t="n"/>
      <c r="B244" s="9">
        <f>IF(A244="","",INT((DAY(A244)-1)/7)+1)</f>
        <v/>
      </c>
      <c r="C244" s="9" t="n"/>
      <c r="D244" s="9" t="n"/>
      <c r="E244" s="9" t="n"/>
      <c r="F244" s="9" t="n"/>
      <c r="G244" s="9" t="n"/>
      <c r="H244" s="9" t="n"/>
      <c r="I244" s="9" t="n"/>
      <c r="J244" s="3" t="n"/>
      <c r="K244" s="9" t="n"/>
    </row>
    <row r="245">
      <c r="A245" s="4" t="n"/>
      <c r="B245" s="9">
        <f>IF(A245="","",INT((DAY(A245)-1)/7)+1)</f>
        <v/>
      </c>
      <c r="C245" s="9" t="n"/>
      <c r="D245" s="9" t="n"/>
      <c r="E245" s="9" t="n"/>
      <c r="F245" s="9" t="n"/>
      <c r="G245" s="9" t="n"/>
      <c r="H245" s="9" t="n"/>
      <c r="I245" s="9" t="n"/>
      <c r="J245" s="3" t="n"/>
      <c r="K245" s="9" t="n"/>
    </row>
    <row r="246">
      <c r="A246" s="4" t="n"/>
      <c r="B246" s="9">
        <f>IF(A246="","",INT((DAY(A246)-1)/7)+1)</f>
        <v/>
      </c>
      <c r="C246" s="9" t="n"/>
      <c r="D246" s="9" t="n"/>
      <c r="E246" s="9" t="n"/>
      <c r="F246" s="9" t="n"/>
      <c r="G246" s="9" t="n"/>
      <c r="H246" s="9" t="n"/>
      <c r="I246" s="9" t="n"/>
      <c r="J246" s="3" t="n"/>
      <c r="K246" s="9" t="n"/>
    </row>
    <row r="247">
      <c r="A247" s="4" t="n"/>
      <c r="B247" s="9">
        <f>IF(A247="","",INT((DAY(A247)-1)/7)+1)</f>
        <v/>
      </c>
      <c r="C247" s="9" t="n"/>
      <c r="D247" s="9" t="n"/>
      <c r="E247" s="9" t="n"/>
      <c r="F247" s="9" t="n"/>
      <c r="G247" s="9" t="n"/>
      <c r="H247" s="9" t="n"/>
      <c r="I247" s="9" t="n"/>
      <c r="J247" s="3" t="n"/>
      <c r="K247" s="9" t="n"/>
    </row>
    <row r="248">
      <c r="A248" s="4" t="n"/>
      <c r="B248" s="9">
        <f>IF(A248="","",INT((DAY(A248)-1)/7)+1)</f>
        <v/>
      </c>
      <c r="C248" s="9" t="n"/>
      <c r="D248" s="9" t="n"/>
      <c r="E248" s="9" t="n"/>
      <c r="F248" s="9" t="n"/>
      <c r="G248" s="9" t="n"/>
      <c r="H248" s="9" t="n"/>
      <c r="I248" s="9" t="n"/>
      <c r="J248" s="3" t="n"/>
      <c r="K248" s="9" t="n"/>
    </row>
    <row r="249">
      <c r="A249" s="4" t="n"/>
      <c r="B249" s="9">
        <f>IF(A249="","",INT((DAY(A249)-1)/7)+1)</f>
        <v/>
      </c>
      <c r="C249" s="9" t="n"/>
      <c r="D249" s="9" t="n"/>
      <c r="E249" s="9" t="n"/>
      <c r="F249" s="9" t="n"/>
      <c r="G249" s="9" t="n"/>
      <c r="H249" s="9" t="n"/>
      <c r="I249" s="9" t="n"/>
      <c r="J249" s="3" t="n"/>
      <c r="K249" s="9" t="n"/>
    </row>
    <row r="250">
      <c r="A250" s="4" t="n"/>
      <c r="B250" s="9">
        <f>IF(A250="","",INT((DAY(A250)-1)/7)+1)</f>
        <v/>
      </c>
      <c r="C250" s="9" t="n"/>
      <c r="D250" s="9" t="n"/>
      <c r="E250" s="9" t="n"/>
      <c r="F250" s="9" t="n"/>
      <c r="G250" s="9" t="n"/>
      <c r="H250" s="9" t="n"/>
      <c r="I250" s="9" t="n"/>
      <c r="J250" s="3" t="n"/>
      <c r="K250" s="9" t="n"/>
    </row>
    <row r="251">
      <c r="A251" s="4" t="n"/>
      <c r="B251" s="9">
        <f>IF(A251="","",INT((DAY(A251)-1)/7)+1)</f>
        <v/>
      </c>
      <c r="C251" s="9" t="n"/>
      <c r="D251" s="9" t="n"/>
      <c r="E251" s="9" t="n"/>
      <c r="F251" s="9" t="n"/>
      <c r="G251" s="9" t="n"/>
      <c r="H251" s="9" t="n"/>
      <c r="I251" s="9" t="n"/>
      <c r="J251" s="3" t="n"/>
      <c r="K251" s="9" t="n"/>
    </row>
    <row r="252">
      <c r="A252" s="4" t="n"/>
      <c r="B252" s="9">
        <f>IF(A252="","",INT((DAY(A252)-1)/7)+1)</f>
        <v/>
      </c>
      <c r="C252" s="9" t="n"/>
      <c r="D252" s="9" t="n"/>
      <c r="E252" s="9" t="n"/>
      <c r="F252" s="9" t="n"/>
      <c r="G252" s="9" t="n"/>
      <c r="H252" s="9" t="n"/>
      <c r="I252" s="9" t="n"/>
      <c r="J252" s="3" t="n"/>
      <c r="K252" s="9" t="n"/>
    </row>
    <row r="253">
      <c r="A253" s="4" t="n"/>
      <c r="B253" s="9">
        <f>IF(A253="","",INT((DAY(A253)-1)/7)+1)</f>
        <v/>
      </c>
      <c r="C253" s="9" t="n"/>
      <c r="D253" s="9" t="n"/>
      <c r="E253" s="9" t="n"/>
      <c r="F253" s="9" t="n"/>
      <c r="G253" s="9" t="n"/>
      <c r="H253" s="9" t="n"/>
      <c r="I253" s="9" t="n"/>
      <c r="J253" s="3" t="n"/>
      <c r="K253" s="9" t="n"/>
    </row>
    <row r="254">
      <c r="A254" s="4" t="n"/>
      <c r="B254" s="9">
        <f>IF(A254="","",INT((DAY(A254)-1)/7)+1)</f>
        <v/>
      </c>
      <c r="C254" s="9" t="n"/>
      <c r="D254" s="9" t="n"/>
      <c r="E254" s="9" t="n"/>
      <c r="F254" s="9" t="n"/>
      <c r="G254" s="9" t="n"/>
      <c r="H254" s="9" t="n"/>
      <c r="I254" s="9" t="n"/>
      <c r="J254" s="3" t="n"/>
      <c r="K254" s="9" t="n"/>
    </row>
    <row r="255">
      <c r="A255" s="4" t="n"/>
      <c r="B255" s="9">
        <f>IF(A255="","",INT((DAY(A255)-1)/7)+1)</f>
        <v/>
      </c>
      <c r="C255" s="9" t="n"/>
      <c r="D255" s="9" t="n"/>
      <c r="E255" s="9" t="n"/>
      <c r="F255" s="9" t="n"/>
      <c r="G255" s="9" t="n"/>
      <c r="H255" s="9" t="n"/>
      <c r="I255" s="9" t="n"/>
      <c r="J255" s="3" t="n"/>
      <c r="K255" s="9" t="n"/>
    </row>
    <row r="256">
      <c r="A256" s="4" t="n"/>
      <c r="B256" s="9">
        <f>IF(A256="","",INT((DAY(A256)-1)/7)+1)</f>
        <v/>
      </c>
      <c r="C256" s="9" t="n"/>
      <c r="D256" s="9" t="n"/>
      <c r="E256" s="9" t="n"/>
      <c r="F256" s="9" t="n"/>
      <c r="G256" s="9" t="n"/>
      <c r="H256" s="9" t="n"/>
      <c r="I256" s="9" t="n"/>
      <c r="J256" s="3" t="n"/>
      <c r="K256" s="9" t="n"/>
    </row>
    <row r="257">
      <c r="A257" s="4" t="n"/>
      <c r="B257" s="9">
        <f>IF(A257="","",INT((DAY(A257)-1)/7)+1)</f>
        <v/>
      </c>
      <c r="C257" s="9" t="n"/>
      <c r="D257" s="9" t="n"/>
      <c r="E257" s="9" t="n"/>
      <c r="F257" s="9" t="n"/>
      <c r="G257" s="9" t="n"/>
      <c r="H257" s="9" t="n"/>
      <c r="I257" s="9" t="n"/>
      <c r="J257" s="3" t="n"/>
      <c r="K257" s="9" t="n"/>
    </row>
    <row r="258">
      <c r="A258" s="4" t="n"/>
      <c r="B258" s="9">
        <f>IF(A258="","",INT((DAY(A258)-1)/7)+1)</f>
        <v/>
      </c>
      <c r="C258" s="9" t="n"/>
      <c r="D258" s="9" t="n"/>
      <c r="E258" s="9" t="n"/>
      <c r="F258" s="9" t="n"/>
      <c r="G258" s="9" t="n"/>
      <c r="H258" s="9" t="n"/>
      <c r="I258" s="9" t="n"/>
      <c r="J258" s="3" t="n"/>
      <c r="K258" s="9" t="n"/>
    </row>
    <row r="259">
      <c r="A259" s="4" t="n"/>
      <c r="B259" s="9">
        <f>IF(A259="","",INT((DAY(A259)-1)/7)+1)</f>
        <v/>
      </c>
      <c r="C259" s="9" t="n"/>
      <c r="D259" s="9" t="n"/>
      <c r="E259" s="9" t="n"/>
      <c r="F259" s="9" t="n"/>
      <c r="G259" s="9" t="n"/>
      <c r="H259" s="9" t="n"/>
      <c r="I259" s="9" t="n"/>
      <c r="J259" s="3" t="n"/>
      <c r="K259" s="9" t="n"/>
    </row>
    <row r="260">
      <c r="A260" s="4" t="n"/>
      <c r="B260" s="9">
        <f>IF(A260="","",INT((DAY(A260)-1)/7)+1)</f>
        <v/>
      </c>
      <c r="C260" s="9" t="n"/>
      <c r="D260" s="9" t="n"/>
      <c r="E260" s="9" t="n"/>
      <c r="F260" s="9" t="n"/>
      <c r="G260" s="9" t="n"/>
      <c r="H260" s="9" t="n"/>
      <c r="I260" s="9" t="n"/>
      <c r="J260" s="3" t="n"/>
      <c r="K260" s="9" t="n"/>
    </row>
    <row r="261">
      <c r="A261" s="4" t="n"/>
      <c r="B261" s="9">
        <f>IF(A261="","",INT((DAY(A261)-1)/7)+1)</f>
        <v/>
      </c>
      <c r="C261" s="9" t="n"/>
      <c r="D261" s="9" t="n"/>
      <c r="E261" s="9" t="n"/>
      <c r="F261" s="9" t="n"/>
      <c r="G261" s="9" t="n"/>
      <c r="H261" s="9" t="n"/>
      <c r="I261" s="9" t="n"/>
      <c r="J261" s="3" t="n"/>
      <c r="K261" s="9" t="n"/>
    </row>
    <row r="262">
      <c r="A262" s="4" t="n"/>
      <c r="B262" s="9">
        <f>IF(A262="","",INT((DAY(A262)-1)/7)+1)</f>
        <v/>
      </c>
      <c r="C262" s="9" t="n"/>
      <c r="D262" s="9" t="n"/>
      <c r="E262" s="9" t="n"/>
      <c r="F262" s="9" t="n"/>
      <c r="G262" s="9" t="n"/>
      <c r="H262" s="9" t="n"/>
      <c r="I262" s="9" t="n"/>
      <c r="J262" s="3" t="n"/>
      <c r="K262" s="9" t="n"/>
    </row>
    <row r="263">
      <c r="A263" s="4" t="n"/>
      <c r="B263" s="9">
        <f>IF(A263="","",INT((DAY(A263)-1)/7)+1)</f>
        <v/>
      </c>
      <c r="C263" s="9" t="n"/>
      <c r="D263" s="9" t="n"/>
      <c r="E263" s="9" t="n"/>
      <c r="F263" s="9" t="n"/>
      <c r="G263" s="9" t="n"/>
      <c r="H263" s="9" t="n"/>
      <c r="I263" s="9" t="n"/>
      <c r="J263" s="3" t="n"/>
      <c r="K263" s="9" t="n"/>
    </row>
    <row r="264">
      <c r="A264" s="4" t="n"/>
      <c r="B264" s="9">
        <f>IF(A264="","",INT((DAY(A264)-1)/7)+1)</f>
        <v/>
      </c>
      <c r="C264" s="9" t="n"/>
      <c r="D264" s="9" t="n"/>
      <c r="E264" s="9" t="n"/>
      <c r="F264" s="9" t="n"/>
      <c r="G264" s="9" t="n"/>
      <c r="H264" s="9" t="n"/>
      <c r="I264" s="9" t="n"/>
      <c r="J264" s="3" t="n"/>
      <c r="K264" s="9" t="n"/>
    </row>
    <row r="265">
      <c r="A265" s="4" t="n"/>
      <c r="B265" s="9">
        <f>IF(A265="","",INT((DAY(A265)-1)/7)+1)</f>
        <v/>
      </c>
      <c r="C265" s="9" t="n"/>
      <c r="D265" s="9" t="n"/>
      <c r="E265" s="9" t="n"/>
      <c r="F265" s="9" t="n"/>
      <c r="G265" s="9" t="n"/>
      <c r="H265" s="9" t="n"/>
      <c r="I265" s="9" t="n"/>
      <c r="J265" s="3" t="n"/>
      <c r="K265" s="9" t="n"/>
    </row>
    <row r="266">
      <c r="A266" s="4" t="n"/>
      <c r="B266" s="9">
        <f>IF(A266="","",INT((DAY(A266)-1)/7)+1)</f>
        <v/>
      </c>
      <c r="C266" s="9" t="n"/>
      <c r="D266" s="9" t="n"/>
      <c r="E266" s="9" t="n"/>
      <c r="F266" s="9" t="n"/>
      <c r="G266" s="9" t="n"/>
      <c r="H266" s="9" t="n"/>
      <c r="I266" s="9" t="n"/>
      <c r="J266" s="3" t="n"/>
      <c r="K266" s="9" t="n"/>
    </row>
    <row r="267">
      <c r="A267" s="4" t="n"/>
      <c r="B267" s="9">
        <f>IF(A267="","",INT((DAY(A267)-1)/7)+1)</f>
        <v/>
      </c>
      <c r="C267" s="9" t="n"/>
      <c r="D267" s="9" t="n"/>
      <c r="E267" s="9" t="n"/>
      <c r="F267" s="9" t="n"/>
      <c r="G267" s="9" t="n"/>
      <c r="H267" s="9" t="n"/>
      <c r="I267" s="9" t="n"/>
      <c r="J267" s="3" t="n"/>
      <c r="K267" s="9" t="n"/>
    </row>
    <row r="268">
      <c r="A268" s="4" t="n"/>
      <c r="B268" s="9">
        <f>IF(A268="","",INT((DAY(A268)-1)/7)+1)</f>
        <v/>
      </c>
      <c r="C268" s="9" t="n"/>
      <c r="D268" s="9" t="n"/>
      <c r="E268" s="9" t="n"/>
      <c r="F268" s="9" t="n"/>
      <c r="G268" s="9" t="n"/>
      <c r="H268" s="9" t="n"/>
      <c r="I268" s="9" t="n"/>
      <c r="J268" s="3" t="n"/>
      <c r="K268" s="9" t="n"/>
    </row>
    <row r="269">
      <c r="A269" s="4" t="n"/>
      <c r="B269" s="9">
        <f>IF(A269="","",INT((DAY(A269)-1)/7)+1)</f>
        <v/>
      </c>
      <c r="C269" s="9" t="n"/>
      <c r="D269" s="9" t="n"/>
      <c r="E269" s="9" t="n"/>
      <c r="F269" s="9" t="n"/>
      <c r="G269" s="9" t="n"/>
      <c r="H269" s="9" t="n"/>
      <c r="I269" s="9" t="n"/>
      <c r="J269" s="3" t="n"/>
      <c r="K269" s="9" t="n"/>
    </row>
    <row r="270">
      <c r="A270" s="4" t="n"/>
      <c r="B270" s="9">
        <f>IF(A270="","",INT((DAY(A270)-1)/7)+1)</f>
        <v/>
      </c>
      <c r="C270" s="9" t="n"/>
      <c r="D270" s="9" t="n"/>
      <c r="E270" s="9" t="n"/>
      <c r="F270" s="9" t="n"/>
      <c r="G270" s="9" t="n"/>
      <c r="H270" s="9" t="n"/>
      <c r="I270" s="9" t="n"/>
      <c r="J270" s="3" t="n"/>
      <c r="K270" s="9" t="n"/>
    </row>
    <row r="271">
      <c r="A271" s="4" t="n"/>
      <c r="B271" s="9">
        <f>IF(A271="","",INT((DAY(A271)-1)/7)+1)</f>
        <v/>
      </c>
      <c r="C271" s="9" t="n"/>
      <c r="D271" s="9" t="n"/>
      <c r="E271" s="9" t="n"/>
      <c r="F271" s="9" t="n"/>
      <c r="G271" s="9" t="n"/>
      <c r="H271" s="9" t="n"/>
      <c r="I271" s="9" t="n"/>
      <c r="J271" s="3" t="n"/>
      <c r="K271" s="9" t="n"/>
    </row>
    <row r="272">
      <c r="A272" s="4" t="n"/>
      <c r="B272" s="9">
        <f>IF(A272="","",INT((DAY(A272)-1)/7)+1)</f>
        <v/>
      </c>
      <c r="C272" s="9" t="n"/>
      <c r="D272" s="9" t="n"/>
      <c r="E272" s="9" t="n"/>
      <c r="F272" s="9" t="n"/>
      <c r="G272" s="9" t="n"/>
      <c r="H272" s="9" t="n"/>
      <c r="I272" s="9" t="n"/>
      <c r="J272" s="3" t="n"/>
      <c r="K272" s="9" t="n"/>
    </row>
    <row r="273">
      <c r="A273" s="4" t="n"/>
      <c r="B273" s="9">
        <f>IF(A273="","",INT((DAY(A273)-1)/7)+1)</f>
        <v/>
      </c>
      <c r="C273" s="9" t="n"/>
      <c r="D273" s="9" t="n"/>
      <c r="E273" s="9" t="n"/>
      <c r="F273" s="9" t="n"/>
      <c r="G273" s="9" t="n"/>
      <c r="H273" s="9" t="n"/>
      <c r="I273" s="9" t="n"/>
      <c r="J273" s="3" t="n"/>
      <c r="K273" s="9" t="n"/>
    </row>
    <row r="274">
      <c r="A274" s="4" t="n"/>
      <c r="B274" s="9">
        <f>IF(A274="","",INT((DAY(A274)-1)/7)+1)</f>
        <v/>
      </c>
      <c r="C274" s="9" t="n"/>
      <c r="D274" s="9" t="n"/>
      <c r="E274" s="9" t="n"/>
      <c r="F274" s="9" t="n"/>
      <c r="G274" s="9" t="n"/>
      <c r="H274" s="9" t="n"/>
      <c r="I274" s="9" t="n"/>
      <c r="J274" s="3" t="n"/>
      <c r="K274" s="9" t="n"/>
    </row>
    <row r="275">
      <c r="A275" s="4" t="n"/>
      <c r="B275" s="9">
        <f>IF(A275="","",INT((DAY(A275)-1)/7)+1)</f>
        <v/>
      </c>
      <c r="C275" s="9" t="n"/>
      <c r="D275" s="9" t="n"/>
      <c r="E275" s="9" t="n"/>
      <c r="F275" s="9" t="n"/>
      <c r="G275" s="9" t="n"/>
      <c r="H275" s="9" t="n"/>
      <c r="I275" s="9" t="n"/>
      <c r="J275" s="3" t="n"/>
      <c r="K275" s="9" t="n"/>
    </row>
    <row r="276">
      <c r="A276" s="4" t="n"/>
      <c r="B276" s="9">
        <f>IF(A276="","",INT((DAY(A276)-1)/7)+1)</f>
        <v/>
      </c>
      <c r="C276" s="9" t="n"/>
      <c r="D276" s="9" t="n"/>
      <c r="E276" s="9" t="n"/>
      <c r="F276" s="9" t="n"/>
      <c r="G276" s="9" t="n"/>
      <c r="H276" s="9" t="n"/>
      <c r="I276" s="9" t="n"/>
      <c r="J276" s="3" t="n"/>
      <c r="K276" s="9" t="n"/>
    </row>
    <row r="277">
      <c r="A277" s="4" t="n"/>
      <c r="B277" s="9">
        <f>IF(A277="","",INT((DAY(A277)-1)/7)+1)</f>
        <v/>
      </c>
      <c r="C277" s="9" t="n"/>
      <c r="D277" s="9" t="n"/>
      <c r="E277" s="9" t="n"/>
      <c r="F277" s="9" t="n"/>
      <c r="G277" s="9" t="n"/>
      <c r="H277" s="9" t="n"/>
      <c r="I277" s="9" t="n"/>
      <c r="J277" s="3" t="n"/>
      <c r="K277" s="9" t="n"/>
    </row>
    <row r="278">
      <c r="A278" s="4" t="n"/>
      <c r="B278" s="9">
        <f>IF(A278="","",INT((DAY(A278)-1)/7)+1)</f>
        <v/>
      </c>
      <c r="C278" s="9" t="n"/>
      <c r="D278" s="9" t="n"/>
      <c r="E278" s="9" t="n"/>
      <c r="F278" s="9" t="n"/>
      <c r="G278" s="9" t="n"/>
      <c r="H278" s="9" t="n"/>
      <c r="I278" s="9" t="n"/>
      <c r="J278" s="3" t="n"/>
      <c r="K278" s="9" t="n"/>
    </row>
    <row r="279">
      <c r="A279" s="4" t="n"/>
      <c r="B279" s="9">
        <f>IF(A279="","",INT((DAY(A279)-1)/7)+1)</f>
        <v/>
      </c>
      <c r="C279" s="9" t="n"/>
      <c r="D279" s="9" t="n"/>
      <c r="E279" s="9" t="n"/>
      <c r="F279" s="9" t="n"/>
      <c r="G279" s="9" t="n"/>
      <c r="H279" s="9" t="n"/>
      <c r="I279" s="9" t="n"/>
      <c r="J279" s="3" t="n"/>
      <c r="K279" s="9" t="n"/>
    </row>
    <row r="280">
      <c r="A280" s="4" t="n"/>
      <c r="B280" s="9">
        <f>IF(A280="","",INT((DAY(A280)-1)/7)+1)</f>
        <v/>
      </c>
      <c r="C280" s="9" t="n"/>
      <c r="D280" s="9" t="n"/>
      <c r="E280" s="9" t="n"/>
      <c r="F280" s="9" t="n"/>
      <c r="G280" s="9" t="n"/>
      <c r="H280" s="9" t="n"/>
      <c r="I280" s="9" t="n"/>
      <c r="J280" s="3" t="n"/>
      <c r="K280" s="9" t="n"/>
    </row>
    <row r="281">
      <c r="A281" s="4" t="n"/>
      <c r="B281" s="9">
        <f>IF(A281="","",INT((DAY(A281)-1)/7)+1)</f>
        <v/>
      </c>
      <c r="C281" s="9" t="n"/>
      <c r="D281" s="9" t="n"/>
      <c r="E281" s="9" t="n"/>
      <c r="F281" s="9" t="n"/>
      <c r="G281" s="9" t="n"/>
      <c r="H281" s="9" t="n"/>
      <c r="I281" s="9" t="n"/>
      <c r="J281" s="3" t="n"/>
      <c r="K281" s="9" t="n"/>
    </row>
    <row r="282">
      <c r="A282" s="4" t="n"/>
      <c r="B282" s="9">
        <f>IF(A282="","",INT((DAY(A282)-1)/7)+1)</f>
        <v/>
      </c>
      <c r="C282" s="9" t="n"/>
      <c r="D282" s="9" t="n"/>
      <c r="E282" s="9" t="n"/>
      <c r="F282" s="9" t="n"/>
      <c r="G282" s="9" t="n"/>
      <c r="H282" s="9" t="n"/>
      <c r="I282" s="9" t="n"/>
      <c r="J282" s="3" t="n"/>
      <c r="K282" s="9" t="n"/>
    </row>
    <row r="283">
      <c r="A283" s="4" t="n"/>
      <c r="B283" s="9">
        <f>IF(A283="","",INT((DAY(A283)-1)/7)+1)</f>
        <v/>
      </c>
      <c r="C283" s="9" t="n"/>
      <c r="D283" s="9" t="n"/>
      <c r="E283" s="9" t="n"/>
      <c r="F283" s="9" t="n"/>
      <c r="G283" s="9" t="n"/>
      <c r="H283" s="9" t="n"/>
      <c r="I283" s="9" t="n"/>
      <c r="J283" s="3" t="n"/>
      <c r="K283" s="9" t="n"/>
    </row>
    <row r="284">
      <c r="A284" s="4" t="n"/>
      <c r="B284" s="9">
        <f>IF(A284="","",INT((DAY(A284)-1)/7)+1)</f>
        <v/>
      </c>
      <c r="C284" s="9" t="n"/>
      <c r="D284" s="9" t="n"/>
      <c r="E284" s="9" t="n"/>
      <c r="F284" s="9" t="n"/>
      <c r="G284" s="9" t="n"/>
      <c r="H284" s="9" t="n"/>
      <c r="I284" s="9" t="n"/>
      <c r="J284" s="3" t="n"/>
      <c r="K284" s="9" t="n"/>
    </row>
    <row r="285">
      <c r="A285" s="4" t="n"/>
      <c r="B285" s="9">
        <f>IF(A285="","",INT((DAY(A285)-1)/7)+1)</f>
        <v/>
      </c>
      <c r="C285" s="9" t="n"/>
      <c r="D285" s="9" t="n"/>
      <c r="E285" s="9" t="n"/>
      <c r="F285" s="9" t="n"/>
      <c r="G285" s="9" t="n"/>
      <c r="H285" s="9" t="n"/>
      <c r="I285" s="9" t="n"/>
      <c r="J285" s="3" t="n"/>
      <c r="K285" s="9" t="n"/>
    </row>
    <row r="286">
      <c r="A286" s="4" t="n"/>
      <c r="B286" s="9">
        <f>IF(A286="","",INT((DAY(A286)-1)/7)+1)</f>
        <v/>
      </c>
      <c r="C286" s="9" t="n"/>
      <c r="D286" s="9" t="n"/>
      <c r="E286" s="9" t="n"/>
      <c r="F286" s="9" t="n"/>
      <c r="G286" s="9" t="n"/>
      <c r="H286" s="9" t="n"/>
      <c r="I286" s="9" t="n"/>
      <c r="J286" s="3" t="n"/>
      <c r="K286" s="9" t="n"/>
    </row>
    <row r="287">
      <c r="A287" s="4" t="n"/>
      <c r="B287" s="9">
        <f>IF(A287="","",INT((DAY(A287)-1)/7)+1)</f>
        <v/>
      </c>
      <c r="C287" s="9" t="n"/>
      <c r="D287" s="9" t="n"/>
      <c r="E287" s="9" t="n"/>
      <c r="F287" s="9" t="n"/>
      <c r="G287" s="9" t="n"/>
      <c r="H287" s="9" t="n"/>
      <c r="I287" s="9" t="n"/>
      <c r="J287" s="3" t="n"/>
      <c r="K287" s="9" t="n"/>
    </row>
    <row r="288">
      <c r="A288" s="4" t="n"/>
      <c r="B288" s="9">
        <f>IF(A288="","",INT((DAY(A288)-1)/7)+1)</f>
        <v/>
      </c>
      <c r="C288" s="9" t="n"/>
      <c r="D288" s="9" t="n"/>
      <c r="E288" s="9" t="n"/>
      <c r="F288" s="9" t="n"/>
      <c r="G288" s="9" t="n"/>
      <c r="H288" s="9" t="n"/>
      <c r="I288" s="9" t="n"/>
      <c r="J288" s="3" t="n"/>
      <c r="K288" s="9" t="n"/>
    </row>
    <row r="289">
      <c r="A289" s="4" t="n"/>
      <c r="B289" s="9">
        <f>IF(A289="","",INT((DAY(A289)-1)/7)+1)</f>
        <v/>
      </c>
      <c r="C289" s="9" t="n"/>
      <c r="D289" s="9" t="n"/>
      <c r="E289" s="9" t="n"/>
      <c r="F289" s="9" t="n"/>
      <c r="G289" s="9" t="n"/>
      <c r="H289" s="9" t="n"/>
      <c r="I289" s="9" t="n"/>
      <c r="J289" s="3" t="n"/>
      <c r="K289" s="9" t="n"/>
    </row>
    <row r="290">
      <c r="A290" s="4" t="n"/>
      <c r="B290" s="9">
        <f>IF(A290="","",INT((DAY(A290)-1)/7)+1)</f>
        <v/>
      </c>
      <c r="C290" s="9" t="n"/>
      <c r="D290" s="9" t="n"/>
      <c r="E290" s="9" t="n"/>
      <c r="F290" s="9" t="n"/>
      <c r="G290" s="9" t="n"/>
      <c r="H290" s="9" t="n"/>
      <c r="I290" s="9" t="n"/>
      <c r="J290" s="3" t="n"/>
      <c r="K290" s="9" t="n"/>
    </row>
    <row r="291">
      <c r="A291" s="4" t="n"/>
      <c r="B291" s="9">
        <f>IF(A291="","",INT((DAY(A291)-1)/7)+1)</f>
        <v/>
      </c>
      <c r="C291" s="9" t="n"/>
      <c r="D291" s="9" t="n"/>
      <c r="E291" s="9" t="n"/>
      <c r="F291" s="9" t="n"/>
      <c r="G291" s="9" t="n"/>
      <c r="H291" s="9" t="n"/>
      <c r="I291" s="9" t="n"/>
      <c r="J291" s="3" t="n"/>
      <c r="K291" s="9" t="n"/>
    </row>
    <row r="292">
      <c r="A292" s="4" t="n"/>
      <c r="B292" s="9">
        <f>IF(A292="","",INT((DAY(A292)-1)/7)+1)</f>
        <v/>
      </c>
      <c r="C292" s="9" t="n"/>
      <c r="D292" s="9" t="n"/>
      <c r="E292" s="9" t="n"/>
      <c r="F292" s="9" t="n"/>
      <c r="G292" s="9" t="n"/>
      <c r="H292" s="9" t="n"/>
      <c r="I292" s="9" t="n"/>
      <c r="J292" s="3" t="n"/>
      <c r="K292" s="9" t="n"/>
    </row>
    <row r="293">
      <c r="A293" s="4" t="n"/>
      <c r="B293" s="9">
        <f>IF(A293="","",INT((DAY(A293)-1)/7)+1)</f>
        <v/>
      </c>
      <c r="C293" s="9" t="n"/>
      <c r="D293" s="9" t="n"/>
      <c r="E293" s="9" t="n"/>
      <c r="F293" s="9" t="n"/>
      <c r="G293" s="9" t="n"/>
      <c r="H293" s="9" t="n"/>
      <c r="I293" s="9" t="n"/>
      <c r="J293" s="3" t="n"/>
      <c r="K293" s="9" t="n"/>
    </row>
    <row r="294">
      <c r="A294" s="4" t="n"/>
      <c r="B294" s="9">
        <f>IF(A294="","",INT((DAY(A294)-1)/7)+1)</f>
        <v/>
      </c>
      <c r="C294" s="9" t="n"/>
      <c r="D294" s="9" t="n"/>
      <c r="E294" s="9" t="n"/>
      <c r="F294" s="9" t="n"/>
      <c r="G294" s="9" t="n"/>
      <c r="H294" s="9" t="n"/>
      <c r="I294" s="9" t="n"/>
      <c r="J294" s="3" t="n"/>
      <c r="K294" s="9" t="n"/>
    </row>
    <row r="295">
      <c r="A295" s="4" t="n"/>
      <c r="B295" s="9">
        <f>IF(A295="","",INT((DAY(A295)-1)/7)+1)</f>
        <v/>
      </c>
      <c r="C295" s="9" t="n"/>
      <c r="D295" s="9" t="n"/>
      <c r="E295" s="9" t="n"/>
      <c r="F295" s="9" t="n"/>
      <c r="G295" s="9" t="n"/>
      <c r="H295" s="9" t="n"/>
      <c r="I295" s="9" t="n"/>
      <c r="J295" s="3" t="n"/>
      <c r="K295" s="9" t="n"/>
    </row>
    <row r="296">
      <c r="A296" s="4" t="n"/>
      <c r="B296" s="9">
        <f>IF(A296="","",INT((DAY(A296)-1)/7)+1)</f>
        <v/>
      </c>
      <c r="C296" s="9" t="n"/>
      <c r="D296" s="9" t="n"/>
      <c r="E296" s="9" t="n"/>
      <c r="F296" s="9" t="n"/>
      <c r="G296" s="9" t="n"/>
      <c r="H296" s="9" t="n"/>
      <c r="I296" s="9" t="n"/>
      <c r="J296" s="3" t="n"/>
      <c r="K296" s="9" t="n"/>
    </row>
    <row r="297">
      <c r="A297" s="4" t="n"/>
      <c r="B297" s="9">
        <f>IF(A297="","",INT((DAY(A297)-1)/7)+1)</f>
        <v/>
      </c>
      <c r="C297" s="9" t="n"/>
      <c r="D297" s="9" t="n"/>
      <c r="E297" s="9" t="n"/>
      <c r="F297" s="9" t="n"/>
      <c r="G297" s="9" t="n"/>
      <c r="H297" s="9" t="n"/>
      <c r="I297" s="9" t="n"/>
      <c r="J297" s="3" t="n"/>
      <c r="K297" s="9" t="n"/>
    </row>
    <row r="298">
      <c r="A298" s="4" t="n"/>
      <c r="B298" s="9">
        <f>IF(A298="","",INT((DAY(A298)-1)/7)+1)</f>
        <v/>
      </c>
      <c r="C298" s="9" t="n"/>
      <c r="D298" s="9" t="n"/>
      <c r="E298" s="9" t="n"/>
      <c r="F298" s="9" t="n"/>
      <c r="G298" s="9" t="n"/>
      <c r="H298" s="9" t="n"/>
      <c r="I298" s="9" t="n"/>
      <c r="J298" s="3" t="n"/>
      <c r="K298" s="9" t="n"/>
    </row>
    <row r="299">
      <c r="A299" s="4" t="n"/>
      <c r="B299" s="9">
        <f>IF(A299="","",INT((DAY(A299)-1)/7)+1)</f>
        <v/>
      </c>
      <c r="C299" s="9" t="n"/>
      <c r="D299" s="9" t="n"/>
      <c r="E299" s="9" t="n"/>
      <c r="F299" s="9" t="n"/>
      <c r="G299" s="9" t="n"/>
      <c r="H299" s="9" t="n"/>
      <c r="I299" s="9" t="n"/>
      <c r="J299" s="3" t="n"/>
      <c r="K299" s="9" t="n"/>
    </row>
    <row r="300">
      <c r="A300" s="4" t="n"/>
      <c r="B300" s="9">
        <f>IF(A300="","",INT((DAY(A300)-1)/7)+1)</f>
        <v/>
      </c>
      <c r="C300" s="9" t="n"/>
      <c r="D300" s="9" t="n"/>
      <c r="E300" s="9" t="n"/>
      <c r="F300" s="9" t="n"/>
      <c r="G300" s="9" t="n"/>
      <c r="H300" s="9" t="n"/>
      <c r="I300" s="9" t="n"/>
      <c r="J300" s="3" t="n"/>
      <c r="K300" s="9" t="n"/>
    </row>
    <row r="301">
      <c r="A301" s="4" t="n"/>
      <c r="B301" s="9">
        <f>IF(A301="","",INT((DAY(A301)-1)/7)+1)</f>
        <v/>
      </c>
      <c r="C301" s="9" t="n"/>
      <c r="D301" s="9" t="n"/>
      <c r="E301" s="9" t="n"/>
      <c r="F301" s="9" t="n"/>
      <c r="G301" s="9" t="n"/>
      <c r="H301" s="9" t="n"/>
      <c r="I301" s="9" t="n"/>
      <c r="J301" s="3" t="n"/>
      <c r="K301" s="9" t="n"/>
    </row>
    <row r="302">
      <c r="A302" s="4" t="n"/>
      <c r="B302" s="9">
        <f>IF(A302="","",INT((DAY(A302)-1)/7)+1)</f>
        <v/>
      </c>
      <c r="C302" s="9" t="n"/>
      <c r="D302" s="9" t="n"/>
      <c r="E302" s="9" t="n"/>
      <c r="F302" s="9" t="n"/>
      <c r="G302" s="9" t="n"/>
      <c r="H302" s="9" t="n"/>
      <c r="I302" s="9" t="n"/>
      <c r="J302" s="3" t="n"/>
      <c r="K302" s="9" t="n"/>
    </row>
    <row r="303">
      <c r="A303" s="4" t="n"/>
      <c r="B303" s="9">
        <f>IF(A303="","",INT((DAY(A303)-1)/7)+1)</f>
        <v/>
      </c>
      <c r="C303" s="9" t="n"/>
      <c r="D303" s="9" t="n"/>
      <c r="E303" s="9" t="n"/>
      <c r="F303" s="9" t="n"/>
      <c r="G303" s="9" t="n"/>
      <c r="H303" s="9" t="n"/>
      <c r="I303" s="9" t="n"/>
      <c r="J303" s="3" t="n"/>
      <c r="K303" s="9" t="n"/>
    </row>
    <row r="304">
      <c r="A304" s="4" t="n"/>
      <c r="B304" s="9">
        <f>IF(A304="","",INT((DAY(A304)-1)/7)+1)</f>
        <v/>
      </c>
      <c r="C304" s="9" t="n"/>
      <c r="D304" s="9" t="n"/>
      <c r="E304" s="9" t="n"/>
      <c r="F304" s="9" t="n"/>
      <c r="G304" s="9" t="n"/>
      <c r="H304" s="9" t="n"/>
      <c r="I304" s="9" t="n"/>
      <c r="J304" s="3" t="n"/>
      <c r="K304" s="9" t="n"/>
    </row>
    <row r="305">
      <c r="A305" s="4" t="n"/>
      <c r="B305" s="9">
        <f>IF(A305="","",INT((DAY(A305)-1)/7)+1)</f>
        <v/>
      </c>
      <c r="C305" s="9" t="n"/>
      <c r="D305" s="9" t="n"/>
      <c r="E305" s="9" t="n"/>
      <c r="F305" s="9" t="n"/>
      <c r="G305" s="9" t="n"/>
      <c r="H305" s="9" t="n"/>
      <c r="I305" s="9" t="n"/>
      <c r="J305" s="3" t="n"/>
      <c r="K305" s="9" t="n"/>
    </row>
    <row r="306">
      <c r="A306" s="4" t="n"/>
      <c r="B306" s="9">
        <f>IF(A306="","",INT((DAY(A306)-1)/7)+1)</f>
        <v/>
      </c>
      <c r="C306" s="9" t="n"/>
      <c r="D306" s="9" t="n"/>
      <c r="E306" s="9" t="n"/>
      <c r="F306" s="9" t="n"/>
      <c r="G306" s="9" t="n"/>
      <c r="H306" s="9" t="n"/>
      <c r="I306" s="9" t="n"/>
      <c r="J306" s="3" t="n"/>
      <c r="K306" s="9" t="n"/>
    </row>
    <row r="307">
      <c r="A307" s="4" t="n"/>
      <c r="B307" s="9">
        <f>IF(A307="","",INT((DAY(A307)-1)/7)+1)</f>
        <v/>
      </c>
      <c r="C307" s="9" t="n"/>
      <c r="D307" s="9" t="n"/>
      <c r="E307" s="9" t="n"/>
      <c r="F307" s="9" t="n"/>
      <c r="G307" s="9" t="n"/>
      <c r="H307" s="9" t="n"/>
      <c r="I307" s="9" t="n"/>
      <c r="J307" s="3" t="n"/>
      <c r="K307" s="9" t="n"/>
    </row>
    <row r="308">
      <c r="A308" s="4" t="n"/>
      <c r="B308" s="9">
        <f>IF(A308="","",INT((DAY(A308)-1)/7)+1)</f>
        <v/>
      </c>
      <c r="C308" s="9" t="n"/>
      <c r="D308" s="9" t="n"/>
      <c r="E308" s="9" t="n"/>
      <c r="F308" s="9" t="n"/>
      <c r="G308" s="9" t="n"/>
      <c r="H308" s="9" t="n"/>
      <c r="I308" s="9" t="n"/>
      <c r="J308" s="3" t="n"/>
      <c r="K308" s="9" t="n"/>
    </row>
    <row r="309">
      <c r="A309" s="4" t="n"/>
      <c r="B309" s="9">
        <f>IF(A309="","",INT((DAY(A309)-1)/7)+1)</f>
        <v/>
      </c>
      <c r="C309" s="9" t="n"/>
      <c r="D309" s="9" t="n"/>
      <c r="E309" s="9" t="n"/>
      <c r="F309" s="9" t="n"/>
      <c r="G309" s="9" t="n"/>
      <c r="H309" s="9" t="n"/>
      <c r="I309" s="9" t="n"/>
      <c r="J309" s="3" t="n"/>
      <c r="K309" s="9" t="n"/>
    </row>
    <row r="310">
      <c r="A310" s="4" t="n"/>
      <c r="B310" s="9">
        <f>IF(A310="","",INT((DAY(A310)-1)/7)+1)</f>
        <v/>
      </c>
      <c r="C310" s="9" t="n"/>
      <c r="D310" s="9" t="n"/>
      <c r="E310" s="9" t="n"/>
      <c r="F310" s="9" t="n"/>
      <c r="G310" s="9" t="n"/>
      <c r="H310" s="9" t="n"/>
      <c r="I310" s="9" t="n"/>
      <c r="J310" s="3" t="n"/>
      <c r="K310" s="9" t="n"/>
    </row>
    <row r="311">
      <c r="A311" s="4" t="n"/>
      <c r="B311" s="9">
        <f>IF(A311="","",INT((DAY(A311)-1)/7)+1)</f>
        <v/>
      </c>
      <c r="C311" s="9" t="n"/>
      <c r="D311" s="9" t="n"/>
      <c r="E311" s="9" t="n"/>
      <c r="F311" s="9" t="n"/>
      <c r="G311" s="9" t="n"/>
      <c r="H311" s="9" t="n"/>
      <c r="I311" s="9" t="n"/>
      <c r="J311" s="3" t="n"/>
      <c r="K311" s="9" t="n"/>
    </row>
    <row r="312">
      <c r="A312" s="4" t="n"/>
      <c r="B312" s="9">
        <f>IF(A312="","",INT((DAY(A312)-1)/7)+1)</f>
        <v/>
      </c>
      <c r="C312" s="9" t="n"/>
      <c r="D312" s="9" t="n"/>
      <c r="E312" s="9" t="n"/>
      <c r="F312" s="9" t="n"/>
      <c r="G312" s="9" t="n"/>
      <c r="H312" s="9" t="n"/>
      <c r="I312" s="9" t="n"/>
      <c r="J312" s="3" t="n"/>
      <c r="K312" s="9" t="n"/>
    </row>
    <row r="313">
      <c r="A313" s="4" t="n"/>
      <c r="B313" s="9">
        <f>IF(A313="","",INT((DAY(A313)-1)/7)+1)</f>
        <v/>
      </c>
      <c r="C313" s="9" t="n"/>
      <c r="D313" s="9" t="n"/>
      <c r="E313" s="9" t="n"/>
      <c r="F313" s="9" t="n"/>
      <c r="G313" s="9" t="n"/>
      <c r="H313" s="9" t="n"/>
      <c r="I313" s="9" t="n"/>
      <c r="J313" s="3" t="n"/>
      <c r="K313" s="9" t="n"/>
    </row>
    <row r="314">
      <c r="A314" s="4" t="n"/>
      <c r="B314" s="9">
        <f>IF(A314="","",INT((DAY(A314)-1)/7)+1)</f>
        <v/>
      </c>
      <c r="C314" s="9" t="n"/>
      <c r="D314" s="9" t="n"/>
      <c r="E314" s="9" t="n"/>
      <c r="F314" s="9" t="n"/>
      <c r="G314" s="9" t="n"/>
      <c r="H314" s="9" t="n"/>
      <c r="I314" s="9" t="n"/>
      <c r="J314" s="3" t="n"/>
      <c r="K314" s="9" t="n"/>
    </row>
    <row r="315">
      <c r="A315" s="4" t="n"/>
      <c r="B315" s="9">
        <f>IF(A315="","",INT((DAY(A315)-1)/7)+1)</f>
        <v/>
      </c>
      <c r="C315" s="9" t="n"/>
      <c r="D315" s="9" t="n"/>
      <c r="E315" s="9" t="n"/>
      <c r="F315" s="9" t="n"/>
      <c r="G315" s="9" t="n"/>
      <c r="H315" s="9" t="n"/>
      <c r="I315" s="9" t="n"/>
      <c r="J315" s="3" t="n"/>
      <c r="K315" s="9" t="n"/>
    </row>
    <row r="316">
      <c r="A316" s="4" t="n"/>
      <c r="B316" s="9">
        <f>IF(A316="","",INT((DAY(A316)-1)/7)+1)</f>
        <v/>
      </c>
      <c r="C316" s="9" t="n"/>
      <c r="D316" s="9" t="n"/>
      <c r="E316" s="9" t="n"/>
      <c r="F316" s="9" t="n"/>
      <c r="G316" s="9" t="n"/>
      <c r="H316" s="9" t="n"/>
      <c r="I316" s="9" t="n"/>
      <c r="J316" s="3" t="n"/>
      <c r="K316" s="9" t="n"/>
    </row>
    <row r="317">
      <c r="A317" s="4" t="n"/>
      <c r="B317" s="9">
        <f>IF(A317="","",INT((DAY(A317)-1)/7)+1)</f>
        <v/>
      </c>
      <c r="C317" s="9" t="n"/>
      <c r="D317" s="9" t="n"/>
      <c r="E317" s="9" t="n"/>
      <c r="F317" s="9" t="n"/>
      <c r="G317" s="9" t="n"/>
      <c r="H317" s="9" t="n"/>
      <c r="I317" s="9" t="n"/>
      <c r="J317" s="3" t="n"/>
      <c r="K317" s="9" t="n"/>
    </row>
    <row r="318">
      <c r="A318" s="4" t="n"/>
      <c r="B318" s="9">
        <f>IF(A318="","",INT((DAY(A318)-1)/7)+1)</f>
        <v/>
      </c>
      <c r="C318" s="9" t="n"/>
      <c r="D318" s="9" t="n"/>
      <c r="E318" s="9" t="n"/>
      <c r="F318" s="9" t="n"/>
      <c r="G318" s="9" t="n"/>
      <c r="H318" s="9" t="n"/>
      <c r="I318" s="9" t="n"/>
      <c r="J318" s="3" t="n"/>
      <c r="K318" s="9" t="n"/>
    </row>
    <row r="319">
      <c r="A319" s="4" t="n"/>
      <c r="B319" s="9">
        <f>IF(A319="","",INT((DAY(A319)-1)/7)+1)</f>
        <v/>
      </c>
      <c r="C319" s="9" t="n"/>
      <c r="D319" s="9" t="n"/>
      <c r="E319" s="9" t="n"/>
      <c r="F319" s="9" t="n"/>
      <c r="G319" s="9" t="n"/>
      <c r="H319" s="9" t="n"/>
      <c r="I319" s="9" t="n"/>
      <c r="J319" s="3" t="n"/>
      <c r="K319" s="9" t="n"/>
    </row>
    <row r="320">
      <c r="A320" s="4" t="n"/>
      <c r="B320" s="9">
        <f>IF(A320="","",INT((DAY(A320)-1)/7)+1)</f>
        <v/>
      </c>
      <c r="C320" s="9" t="n"/>
      <c r="D320" s="9" t="n"/>
      <c r="E320" s="9" t="n"/>
      <c r="F320" s="9" t="n"/>
      <c r="G320" s="9" t="n"/>
      <c r="H320" s="9" t="n"/>
      <c r="I320" s="9" t="n"/>
      <c r="J320" s="3" t="n"/>
      <c r="K320" s="9" t="n"/>
    </row>
    <row r="321">
      <c r="A321" s="4" t="n"/>
      <c r="B321" s="9">
        <f>IF(A321="","",INT((DAY(A321)-1)/7)+1)</f>
        <v/>
      </c>
      <c r="C321" s="9" t="n"/>
      <c r="D321" s="9" t="n"/>
      <c r="E321" s="9" t="n"/>
      <c r="F321" s="9" t="n"/>
      <c r="G321" s="9" t="n"/>
      <c r="H321" s="9" t="n"/>
      <c r="I321" s="9" t="n"/>
      <c r="J321" s="3" t="n"/>
      <c r="K321" s="9" t="n"/>
    </row>
    <row r="322">
      <c r="A322" s="4" t="n"/>
      <c r="B322" s="9">
        <f>IF(A322="","",INT((DAY(A322)-1)/7)+1)</f>
        <v/>
      </c>
      <c r="C322" s="9" t="n"/>
      <c r="D322" s="9" t="n"/>
      <c r="E322" s="9" t="n"/>
      <c r="F322" s="9" t="n"/>
      <c r="G322" s="9" t="n"/>
      <c r="H322" s="9" t="n"/>
      <c r="I322" s="9" t="n"/>
      <c r="J322" s="3" t="n"/>
      <c r="K322" s="9" t="n"/>
    </row>
    <row r="323">
      <c r="A323" s="4" t="n"/>
      <c r="B323" s="9">
        <f>IF(A323="","",INT((DAY(A323)-1)/7)+1)</f>
        <v/>
      </c>
      <c r="C323" s="9" t="n"/>
      <c r="D323" s="9" t="n"/>
      <c r="E323" s="9" t="n"/>
      <c r="F323" s="9" t="n"/>
      <c r="G323" s="9" t="n"/>
      <c r="H323" s="9" t="n"/>
      <c r="I323" s="9" t="n"/>
      <c r="J323" s="3" t="n"/>
      <c r="K323" s="9" t="n"/>
    </row>
    <row r="324">
      <c r="A324" s="4" t="n"/>
      <c r="B324" s="9">
        <f>IF(A324="","",INT((DAY(A324)-1)/7)+1)</f>
        <v/>
      </c>
      <c r="C324" s="9" t="n"/>
      <c r="D324" s="9" t="n"/>
      <c r="E324" s="9" t="n"/>
      <c r="F324" s="9" t="n"/>
      <c r="G324" s="9" t="n"/>
      <c r="H324" s="9" t="n"/>
      <c r="I324" s="9" t="n"/>
      <c r="J324" s="3" t="n"/>
      <c r="K324" s="9" t="n"/>
    </row>
    <row r="325">
      <c r="A325" s="4" t="n"/>
      <c r="B325" s="9">
        <f>IF(A325="","",INT((DAY(A325)-1)/7)+1)</f>
        <v/>
      </c>
      <c r="C325" s="9" t="n"/>
      <c r="D325" s="9" t="n"/>
      <c r="E325" s="9" t="n"/>
      <c r="F325" s="9" t="n"/>
      <c r="G325" s="9" t="n"/>
      <c r="H325" s="9" t="n"/>
      <c r="I325" s="9" t="n"/>
      <c r="J325" s="3" t="n"/>
      <c r="K325" s="9" t="n"/>
    </row>
    <row r="326">
      <c r="A326" s="4" t="n"/>
      <c r="B326" s="9">
        <f>IF(A326="","",INT((DAY(A326)-1)/7)+1)</f>
        <v/>
      </c>
      <c r="C326" s="9" t="n"/>
      <c r="D326" s="9" t="n"/>
      <c r="E326" s="9" t="n"/>
      <c r="F326" s="9" t="n"/>
      <c r="G326" s="9" t="n"/>
      <c r="H326" s="9" t="n"/>
      <c r="I326" s="9" t="n"/>
      <c r="J326" s="3" t="n"/>
      <c r="K326" s="9" t="n"/>
    </row>
    <row r="327">
      <c r="A327" s="4" t="n"/>
      <c r="B327" s="9">
        <f>IF(A327="","",INT((DAY(A327)-1)/7)+1)</f>
        <v/>
      </c>
      <c r="C327" s="9" t="n"/>
      <c r="D327" s="9" t="n"/>
      <c r="E327" s="9" t="n"/>
      <c r="F327" s="9" t="n"/>
      <c r="G327" s="9" t="n"/>
      <c r="H327" s="9" t="n"/>
      <c r="I327" s="9" t="n"/>
      <c r="J327" s="3" t="n"/>
      <c r="K327" s="9" t="n"/>
    </row>
    <row r="328">
      <c r="A328" s="4" t="n"/>
      <c r="B328" s="9">
        <f>IF(A328="","",INT((DAY(A328)-1)/7)+1)</f>
        <v/>
      </c>
      <c r="C328" s="9" t="n"/>
      <c r="D328" s="9" t="n"/>
      <c r="E328" s="9" t="n"/>
      <c r="F328" s="9" t="n"/>
      <c r="G328" s="9" t="n"/>
      <c r="H328" s="9" t="n"/>
      <c r="I328" s="9" t="n"/>
      <c r="J328" s="3" t="n"/>
      <c r="K328" s="9" t="n"/>
    </row>
    <row r="329">
      <c r="A329" s="4" t="n"/>
      <c r="B329" s="9">
        <f>IF(A329="","",INT((DAY(A329)-1)/7)+1)</f>
        <v/>
      </c>
      <c r="C329" s="9" t="n"/>
      <c r="D329" s="9" t="n"/>
      <c r="E329" s="9" t="n"/>
      <c r="F329" s="9" t="n"/>
      <c r="G329" s="9" t="n"/>
      <c r="H329" s="9" t="n"/>
      <c r="I329" s="9" t="n"/>
      <c r="J329" s="3" t="n"/>
      <c r="K329" s="9" t="n"/>
    </row>
    <row r="330">
      <c r="A330" s="4" t="n"/>
      <c r="B330" s="9">
        <f>IF(A330="","",INT((DAY(A330)-1)/7)+1)</f>
        <v/>
      </c>
      <c r="C330" s="9" t="n"/>
      <c r="D330" s="9" t="n"/>
      <c r="E330" s="9" t="n"/>
      <c r="F330" s="9" t="n"/>
      <c r="G330" s="9" t="n"/>
      <c r="H330" s="9" t="n"/>
      <c r="I330" s="9" t="n"/>
      <c r="J330" s="3" t="n"/>
      <c r="K330" s="9" t="n"/>
    </row>
    <row r="331">
      <c r="A331" s="4" t="n"/>
      <c r="B331" s="9">
        <f>IF(A331="","",INT((DAY(A331)-1)/7)+1)</f>
        <v/>
      </c>
      <c r="C331" s="9" t="n"/>
      <c r="D331" s="9" t="n"/>
      <c r="E331" s="9" t="n"/>
      <c r="F331" s="9" t="n"/>
      <c r="G331" s="9" t="n"/>
      <c r="H331" s="9" t="n"/>
      <c r="I331" s="9" t="n"/>
      <c r="J331" s="3" t="n"/>
      <c r="K331" s="9" t="n"/>
    </row>
    <row r="332">
      <c r="A332" s="4" t="n"/>
      <c r="B332" s="9">
        <f>IF(A332="","",INT((DAY(A332)-1)/7)+1)</f>
        <v/>
      </c>
      <c r="C332" s="9" t="n"/>
      <c r="D332" s="9" t="n"/>
      <c r="E332" s="9" t="n"/>
      <c r="F332" s="9" t="n"/>
      <c r="G332" s="9" t="n"/>
      <c r="H332" s="9" t="n"/>
      <c r="I332" s="9" t="n"/>
      <c r="J332" s="3" t="n"/>
      <c r="K332" s="9" t="n"/>
    </row>
    <row r="333">
      <c r="A333" s="4" t="n"/>
      <c r="B333" s="9">
        <f>IF(A333="","",INT((DAY(A333)-1)/7)+1)</f>
        <v/>
      </c>
      <c r="C333" s="9" t="n"/>
      <c r="D333" s="9" t="n"/>
      <c r="E333" s="9" t="n"/>
      <c r="F333" s="9" t="n"/>
      <c r="G333" s="9" t="n"/>
      <c r="H333" s="9" t="n"/>
      <c r="I333" s="9" t="n"/>
      <c r="J333" s="3" t="n"/>
      <c r="K333" s="9" t="n"/>
    </row>
    <row r="334">
      <c r="A334" s="4" t="n"/>
      <c r="B334" s="9">
        <f>IF(A334="","",INT((DAY(A334)-1)/7)+1)</f>
        <v/>
      </c>
      <c r="C334" s="9" t="n"/>
      <c r="D334" s="9" t="n"/>
      <c r="E334" s="9" t="n"/>
      <c r="F334" s="9" t="n"/>
      <c r="G334" s="9" t="n"/>
      <c r="H334" s="9" t="n"/>
      <c r="I334" s="9" t="n"/>
      <c r="J334" s="3" t="n"/>
      <c r="K334" s="9" t="n"/>
    </row>
    <row r="335">
      <c r="A335" s="4" t="n"/>
      <c r="B335" s="9">
        <f>IF(A335="","",INT((DAY(A335)-1)/7)+1)</f>
        <v/>
      </c>
      <c r="C335" s="9" t="n"/>
      <c r="D335" s="9" t="n"/>
      <c r="E335" s="9" t="n"/>
      <c r="F335" s="9" t="n"/>
      <c r="G335" s="9" t="n"/>
      <c r="H335" s="9" t="n"/>
      <c r="I335" s="9" t="n"/>
      <c r="J335" s="3" t="n"/>
      <c r="K335" s="9" t="n"/>
    </row>
    <row r="336">
      <c r="A336" s="4" t="n"/>
      <c r="B336" s="9">
        <f>IF(A336="","",INT((DAY(A336)-1)/7)+1)</f>
        <v/>
      </c>
      <c r="C336" s="9" t="n"/>
      <c r="D336" s="9" t="n"/>
      <c r="E336" s="9" t="n"/>
      <c r="F336" s="9" t="n"/>
      <c r="G336" s="9" t="n"/>
      <c r="H336" s="9" t="n"/>
      <c r="I336" s="9" t="n"/>
      <c r="J336" s="3" t="n"/>
      <c r="K336" s="9" t="n"/>
    </row>
    <row r="337">
      <c r="A337" s="4" t="n"/>
      <c r="B337" s="9">
        <f>IF(A337="","",INT((DAY(A337)-1)/7)+1)</f>
        <v/>
      </c>
      <c r="C337" s="9" t="n"/>
      <c r="D337" s="9" t="n"/>
      <c r="E337" s="9" t="n"/>
      <c r="F337" s="9" t="n"/>
      <c r="G337" s="9" t="n"/>
      <c r="H337" s="9" t="n"/>
      <c r="I337" s="9" t="n"/>
      <c r="J337" s="3" t="n"/>
      <c r="K337" s="9" t="n"/>
    </row>
    <row r="338">
      <c r="A338" s="4" t="n"/>
      <c r="B338" s="9">
        <f>IF(A338="","",INT((DAY(A338)-1)/7)+1)</f>
        <v/>
      </c>
      <c r="C338" s="9" t="n"/>
      <c r="D338" s="9" t="n"/>
      <c r="E338" s="9" t="n"/>
      <c r="F338" s="9" t="n"/>
      <c r="G338" s="9" t="n"/>
      <c r="H338" s="9" t="n"/>
      <c r="I338" s="9" t="n"/>
      <c r="J338" s="3" t="n"/>
      <c r="K338" s="9" t="n"/>
    </row>
    <row r="339">
      <c r="A339" s="4" t="n"/>
      <c r="B339" s="9">
        <f>IF(A339="","",INT((DAY(A339)-1)/7)+1)</f>
        <v/>
      </c>
      <c r="C339" s="9" t="n"/>
      <c r="D339" s="9" t="n"/>
      <c r="E339" s="9" t="n"/>
      <c r="F339" s="9" t="n"/>
      <c r="G339" s="9" t="n"/>
      <c r="H339" s="9" t="n"/>
      <c r="I339" s="9" t="n"/>
      <c r="J339" s="3" t="n"/>
      <c r="K339" s="9" t="n"/>
    </row>
    <row r="340">
      <c r="A340" s="4" t="n"/>
      <c r="B340" s="9">
        <f>IF(A340="","",INT((DAY(A340)-1)/7)+1)</f>
        <v/>
      </c>
      <c r="C340" s="9" t="n"/>
      <c r="D340" s="9" t="n"/>
      <c r="E340" s="9" t="n"/>
      <c r="F340" s="9" t="n"/>
      <c r="G340" s="9" t="n"/>
      <c r="H340" s="9" t="n"/>
      <c r="I340" s="9" t="n"/>
      <c r="J340" s="3" t="n"/>
      <c r="K340" s="9" t="n"/>
    </row>
    <row r="341">
      <c r="A341" s="4" t="n"/>
      <c r="B341" s="9">
        <f>IF(A341="","",INT((DAY(A341)-1)/7)+1)</f>
        <v/>
      </c>
      <c r="C341" s="9" t="n"/>
      <c r="D341" s="9" t="n"/>
      <c r="E341" s="9" t="n"/>
      <c r="F341" s="9" t="n"/>
      <c r="G341" s="9" t="n"/>
      <c r="H341" s="9" t="n"/>
      <c r="I341" s="9" t="n"/>
      <c r="J341" s="3" t="n"/>
      <c r="K341" s="9" t="n"/>
    </row>
    <row r="342">
      <c r="A342" s="4" t="n"/>
      <c r="B342" s="9">
        <f>IF(A342="","",INT((DAY(A342)-1)/7)+1)</f>
        <v/>
      </c>
      <c r="C342" s="9" t="n"/>
      <c r="D342" s="9" t="n"/>
      <c r="E342" s="9" t="n"/>
      <c r="F342" s="9" t="n"/>
      <c r="G342" s="9" t="n"/>
      <c r="H342" s="9" t="n"/>
      <c r="I342" s="9" t="n"/>
      <c r="J342" s="3" t="n"/>
      <c r="K342" s="9" t="n"/>
    </row>
    <row r="343">
      <c r="A343" s="4" t="n"/>
      <c r="B343" s="9">
        <f>IF(A343="","",INT((DAY(A343)-1)/7)+1)</f>
        <v/>
      </c>
      <c r="C343" s="9" t="n"/>
      <c r="D343" s="9" t="n"/>
      <c r="E343" s="9" t="n"/>
      <c r="F343" s="9" t="n"/>
      <c r="G343" s="9" t="n"/>
      <c r="H343" s="9" t="n"/>
      <c r="I343" s="9" t="n"/>
      <c r="J343" s="3" t="n"/>
      <c r="K343" s="9" t="n"/>
    </row>
    <row r="344">
      <c r="A344" s="4" t="n"/>
      <c r="B344" s="9">
        <f>IF(A344="","",INT((DAY(A344)-1)/7)+1)</f>
        <v/>
      </c>
      <c r="C344" s="9" t="n"/>
      <c r="D344" s="9" t="n"/>
      <c r="E344" s="9" t="n"/>
      <c r="F344" s="9" t="n"/>
      <c r="G344" s="9" t="n"/>
      <c r="H344" s="9" t="n"/>
      <c r="I344" s="9" t="n"/>
      <c r="J344" s="3" t="n"/>
      <c r="K344" s="9" t="n"/>
    </row>
    <row r="345">
      <c r="A345" s="4" t="n"/>
      <c r="B345" s="9">
        <f>IF(A345="","",INT((DAY(A345)-1)/7)+1)</f>
        <v/>
      </c>
      <c r="C345" s="9" t="n"/>
      <c r="D345" s="9" t="n"/>
      <c r="E345" s="9" t="n"/>
      <c r="F345" s="9" t="n"/>
      <c r="G345" s="9" t="n"/>
      <c r="H345" s="9" t="n"/>
      <c r="I345" s="9" t="n"/>
      <c r="J345" s="3" t="n"/>
      <c r="K345" s="9" t="n"/>
    </row>
    <row r="346">
      <c r="A346" s="4" t="n"/>
      <c r="B346" s="9">
        <f>IF(A346="","",INT((DAY(A346)-1)/7)+1)</f>
        <v/>
      </c>
      <c r="C346" s="9" t="n"/>
      <c r="D346" s="9" t="n"/>
      <c r="E346" s="9" t="n"/>
      <c r="F346" s="9" t="n"/>
      <c r="G346" s="9" t="n"/>
      <c r="H346" s="9" t="n"/>
      <c r="I346" s="9" t="n"/>
      <c r="J346" s="3" t="n"/>
      <c r="K346" s="9" t="n"/>
    </row>
    <row r="347">
      <c r="A347" s="4" t="n"/>
      <c r="B347" s="9">
        <f>IF(A347="","",INT((DAY(A347)-1)/7)+1)</f>
        <v/>
      </c>
      <c r="C347" s="9" t="n"/>
      <c r="D347" s="9" t="n"/>
      <c r="E347" s="9" t="n"/>
      <c r="F347" s="9" t="n"/>
      <c r="G347" s="9" t="n"/>
      <c r="H347" s="9" t="n"/>
      <c r="I347" s="9" t="n"/>
      <c r="J347" s="3" t="n"/>
      <c r="K347" s="9" t="n"/>
    </row>
    <row r="348">
      <c r="A348" s="4" t="n"/>
      <c r="B348" s="9">
        <f>IF(A348="","",INT((DAY(A348)-1)/7)+1)</f>
        <v/>
      </c>
      <c r="C348" s="9" t="n"/>
      <c r="D348" s="9" t="n"/>
      <c r="E348" s="9" t="n"/>
      <c r="F348" s="9" t="n"/>
      <c r="G348" s="9" t="n"/>
      <c r="H348" s="9" t="n"/>
      <c r="I348" s="9" t="n"/>
      <c r="J348" s="3" t="n"/>
      <c r="K348" s="9" t="n"/>
    </row>
    <row r="349">
      <c r="A349" s="4" t="n"/>
      <c r="B349" s="9">
        <f>IF(A349="","",INT((DAY(A349)-1)/7)+1)</f>
        <v/>
      </c>
      <c r="C349" s="9" t="n"/>
      <c r="D349" s="9" t="n"/>
      <c r="E349" s="9" t="n"/>
      <c r="F349" s="9" t="n"/>
      <c r="G349" s="9" t="n"/>
      <c r="H349" s="9" t="n"/>
      <c r="I349" s="9" t="n"/>
      <c r="J349" s="3" t="n"/>
      <c r="K349" s="9" t="n"/>
    </row>
    <row r="350">
      <c r="A350" s="4" t="n"/>
      <c r="B350" s="9">
        <f>IF(A350="","",INT((DAY(A350)-1)/7)+1)</f>
        <v/>
      </c>
      <c r="C350" s="9" t="n"/>
      <c r="D350" s="9" t="n"/>
      <c r="E350" s="9" t="n"/>
      <c r="F350" s="9" t="n"/>
      <c r="G350" s="9" t="n"/>
      <c r="H350" s="9" t="n"/>
      <c r="I350" s="9" t="n"/>
      <c r="J350" s="3" t="n"/>
      <c r="K350" s="9" t="n"/>
    </row>
    <row r="351">
      <c r="A351" s="4" t="n"/>
      <c r="B351" s="9">
        <f>IF(A351="","",INT((DAY(A351)-1)/7)+1)</f>
        <v/>
      </c>
      <c r="C351" s="9" t="n"/>
      <c r="D351" s="9" t="n"/>
      <c r="E351" s="9" t="n"/>
      <c r="F351" s="9" t="n"/>
      <c r="G351" s="9" t="n"/>
      <c r="H351" s="9" t="n"/>
      <c r="I351" s="9" t="n"/>
      <c r="J351" s="3" t="n"/>
      <c r="K351" s="9" t="n"/>
    </row>
    <row r="352">
      <c r="A352" s="4" t="n"/>
      <c r="B352" s="9">
        <f>IF(A352="","",INT((DAY(A352)-1)/7)+1)</f>
        <v/>
      </c>
      <c r="C352" s="9" t="n"/>
      <c r="D352" s="9" t="n"/>
      <c r="E352" s="9" t="n"/>
      <c r="F352" s="9" t="n"/>
      <c r="G352" s="9" t="n"/>
      <c r="H352" s="9" t="n"/>
      <c r="I352" s="9" t="n"/>
      <c r="J352" s="3" t="n"/>
      <c r="K352" s="9" t="n"/>
    </row>
    <row r="353">
      <c r="A353" s="4" t="n"/>
      <c r="B353" s="9">
        <f>IF(A353="","",INT((DAY(A353)-1)/7)+1)</f>
        <v/>
      </c>
      <c r="C353" s="9" t="n"/>
      <c r="D353" s="9" t="n"/>
      <c r="E353" s="9" t="n"/>
      <c r="F353" s="9" t="n"/>
      <c r="G353" s="9" t="n"/>
      <c r="H353" s="9" t="n"/>
      <c r="I353" s="9" t="n"/>
      <c r="J353" s="3" t="n"/>
      <c r="K353" s="9" t="n"/>
    </row>
    <row r="354">
      <c r="A354" s="4" t="n"/>
      <c r="B354" s="9">
        <f>IF(A354="","",INT((DAY(A354)-1)/7)+1)</f>
        <v/>
      </c>
      <c r="C354" s="9" t="n"/>
      <c r="D354" s="9" t="n"/>
      <c r="E354" s="9" t="n"/>
      <c r="F354" s="9" t="n"/>
      <c r="G354" s="9" t="n"/>
      <c r="H354" s="9" t="n"/>
      <c r="I354" s="9" t="n"/>
      <c r="J354" s="3" t="n"/>
      <c r="K354" s="9" t="n"/>
    </row>
    <row r="355">
      <c r="A355" s="4" t="n"/>
      <c r="B355" s="9">
        <f>IF(A355="","",INT((DAY(A355)-1)/7)+1)</f>
        <v/>
      </c>
      <c r="C355" s="9" t="n"/>
      <c r="D355" s="9" t="n"/>
      <c r="E355" s="9" t="n"/>
      <c r="F355" s="9" t="n"/>
      <c r="G355" s="9" t="n"/>
      <c r="H355" s="9" t="n"/>
      <c r="I355" s="9" t="n"/>
      <c r="J355" s="3" t="n"/>
      <c r="K355" s="9" t="n"/>
    </row>
    <row r="356">
      <c r="A356" s="4" t="n"/>
      <c r="B356" s="9">
        <f>IF(A356="","",INT((DAY(A356)-1)/7)+1)</f>
        <v/>
      </c>
      <c r="C356" s="9" t="n"/>
      <c r="D356" s="9" t="n"/>
      <c r="E356" s="9" t="n"/>
      <c r="F356" s="9" t="n"/>
      <c r="G356" s="9" t="n"/>
      <c r="H356" s="9" t="n"/>
      <c r="I356" s="9" t="n"/>
      <c r="J356" s="3" t="n"/>
      <c r="K356" s="9" t="n"/>
    </row>
    <row r="357">
      <c r="A357" s="4" t="n"/>
      <c r="B357" s="9">
        <f>IF(A357="","",INT((DAY(A357)-1)/7)+1)</f>
        <v/>
      </c>
      <c r="C357" s="9" t="n"/>
      <c r="D357" s="9" t="n"/>
      <c r="E357" s="9" t="n"/>
      <c r="F357" s="9" t="n"/>
      <c r="G357" s="9" t="n"/>
      <c r="H357" s="9" t="n"/>
      <c r="I357" s="9" t="n"/>
      <c r="J357" s="3" t="n"/>
      <c r="K357" s="9" t="n"/>
    </row>
    <row r="358">
      <c r="A358" s="4" t="n"/>
      <c r="B358" s="9">
        <f>IF(A358="","",INT((DAY(A358)-1)/7)+1)</f>
        <v/>
      </c>
      <c r="C358" s="9" t="n"/>
      <c r="D358" s="9" t="n"/>
      <c r="E358" s="9" t="n"/>
      <c r="F358" s="9" t="n"/>
      <c r="G358" s="9" t="n"/>
      <c r="H358" s="9" t="n"/>
      <c r="I358" s="9" t="n"/>
      <c r="J358" s="3" t="n"/>
      <c r="K358" s="9" t="n"/>
    </row>
    <row r="359">
      <c r="A359" s="4" t="n"/>
      <c r="B359" s="9">
        <f>IF(A359="","",INT((DAY(A359)-1)/7)+1)</f>
        <v/>
      </c>
      <c r="C359" s="9" t="n"/>
      <c r="D359" s="9" t="n"/>
      <c r="E359" s="9" t="n"/>
      <c r="F359" s="9" t="n"/>
      <c r="G359" s="9" t="n"/>
      <c r="H359" s="9" t="n"/>
      <c r="I359" s="9" t="n"/>
      <c r="J359" s="3" t="n"/>
      <c r="K359" s="9" t="n"/>
    </row>
    <row r="360">
      <c r="A360" s="4" t="n"/>
      <c r="B360" s="9">
        <f>IF(A360="","",INT((DAY(A360)-1)/7)+1)</f>
        <v/>
      </c>
      <c r="C360" s="9" t="n"/>
      <c r="D360" s="9" t="n"/>
      <c r="E360" s="9" t="n"/>
      <c r="F360" s="9" t="n"/>
      <c r="G360" s="9" t="n"/>
      <c r="H360" s="9" t="n"/>
      <c r="I360" s="9" t="n"/>
      <c r="J360" s="3" t="n"/>
      <c r="K360" s="9" t="n"/>
    </row>
    <row r="361">
      <c r="A361" s="4" t="n"/>
      <c r="B361" s="9">
        <f>IF(A361="","",INT((DAY(A361)-1)/7)+1)</f>
        <v/>
      </c>
      <c r="C361" s="9" t="n"/>
      <c r="D361" s="9" t="n"/>
      <c r="E361" s="9" t="n"/>
      <c r="F361" s="9" t="n"/>
      <c r="G361" s="9" t="n"/>
      <c r="H361" s="9" t="n"/>
      <c r="I361" s="9" t="n"/>
      <c r="J361" s="3" t="n"/>
      <c r="K361" s="9" t="n"/>
    </row>
    <row r="362">
      <c r="A362" s="4" t="n"/>
      <c r="B362" s="9">
        <f>IF(A362="","",INT((DAY(A362)-1)/7)+1)</f>
        <v/>
      </c>
      <c r="C362" s="9" t="n"/>
      <c r="D362" s="9" t="n"/>
      <c r="E362" s="9" t="n"/>
      <c r="F362" s="9" t="n"/>
      <c r="G362" s="9" t="n"/>
      <c r="H362" s="9" t="n"/>
      <c r="I362" s="9" t="n"/>
      <c r="J362" s="3" t="n"/>
      <c r="K362" s="9" t="n"/>
    </row>
    <row r="363">
      <c r="A363" s="4" t="n"/>
      <c r="B363" s="9">
        <f>IF(A363="","",INT((DAY(A363)-1)/7)+1)</f>
        <v/>
      </c>
      <c r="C363" s="9" t="n"/>
      <c r="D363" s="9" t="n"/>
      <c r="E363" s="9" t="n"/>
      <c r="F363" s="9" t="n"/>
      <c r="G363" s="9" t="n"/>
      <c r="H363" s="9" t="n"/>
      <c r="I363" s="9" t="n"/>
      <c r="J363" s="3" t="n"/>
      <c r="K363" s="9" t="n"/>
    </row>
    <row r="364">
      <c r="A364" s="4" t="n"/>
      <c r="B364" s="9">
        <f>IF(A364="","",INT((DAY(A364)-1)/7)+1)</f>
        <v/>
      </c>
      <c r="C364" s="9" t="n"/>
      <c r="D364" s="9" t="n"/>
      <c r="E364" s="9" t="n"/>
      <c r="F364" s="9" t="n"/>
      <c r="G364" s="9" t="n"/>
      <c r="H364" s="9" t="n"/>
      <c r="I364" s="9" t="n"/>
      <c r="J364" s="3" t="n"/>
      <c r="K364" s="9" t="n"/>
    </row>
    <row r="365">
      <c r="A365" s="4" t="n"/>
      <c r="B365" s="9">
        <f>IF(A365="","",INT((DAY(A365)-1)/7)+1)</f>
        <v/>
      </c>
      <c r="C365" s="9" t="n"/>
      <c r="D365" s="9" t="n"/>
      <c r="E365" s="9" t="n"/>
      <c r="F365" s="9" t="n"/>
      <c r="G365" s="9" t="n"/>
      <c r="H365" s="9" t="n"/>
      <c r="I365" s="9" t="n"/>
      <c r="J365" s="3" t="n"/>
      <c r="K365" s="9" t="n"/>
    </row>
    <row r="366">
      <c r="A366" s="4" t="n"/>
      <c r="B366" s="9">
        <f>IF(A366="","",INT((DAY(A366)-1)/7)+1)</f>
        <v/>
      </c>
      <c r="C366" s="9" t="n"/>
      <c r="D366" s="9" t="n"/>
      <c r="E366" s="9" t="n"/>
      <c r="F366" s="9" t="n"/>
      <c r="G366" s="9" t="n"/>
      <c r="H366" s="9" t="n"/>
      <c r="I366" s="9" t="n"/>
      <c r="J366" s="3" t="n"/>
      <c r="K366" s="9" t="n"/>
    </row>
    <row r="367">
      <c r="A367" s="4" t="n"/>
      <c r="B367" s="9">
        <f>IF(A367="","",INT((DAY(A367)-1)/7)+1)</f>
        <v/>
      </c>
      <c r="C367" s="9" t="n"/>
      <c r="D367" s="9" t="n"/>
      <c r="E367" s="9" t="n"/>
      <c r="F367" s="9" t="n"/>
      <c r="G367" s="9" t="n"/>
      <c r="H367" s="9" t="n"/>
      <c r="I367" s="9" t="n"/>
      <c r="J367" s="3" t="n"/>
      <c r="K367" s="9" t="n"/>
    </row>
    <row r="368">
      <c r="A368" s="4" t="n"/>
      <c r="B368" s="9">
        <f>IF(A368="","",INT((DAY(A368)-1)/7)+1)</f>
        <v/>
      </c>
      <c r="C368" s="9" t="n"/>
      <c r="D368" s="9" t="n"/>
      <c r="E368" s="9" t="n"/>
      <c r="F368" s="9" t="n"/>
      <c r="G368" s="9" t="n"/>
      <c r="H368" s="9" t="n"/>
      <c r="I368" s="9" t="n"/>
      <c r="J368" s="3" t="n"/>
      <c r="K368" s="9" t="n"/>
    </row>
    <row r="369">
      <c r="A369" s="4" t="n"/>
      <c r="B369" s="9">
        <f>IF(A369="","",INT((DAY(A369)-1)/7)+1)</f>
        <v/>
      </c>
      <c r="C369" s="9" t="n"/>
      <c r="D369" s="9" t="n"/>
      <c r="E369" s="9" t="n"/>
      <c r="F369" s="9" t="n"/>
      <c r="G369" s="9" t="n"/>
      <c r="H369" s="9" t="n"/>
      <c r="I369" s="9" t="n"/>
      <c r="J369" s="3" t="n"/>
      <c r="K369" s="9" t="n"/>
    </row>
    <row r="370">
      <c r="A370" s="4" t="n"/>
      <c r="B370" s="9">
        <f>IF(A370="","",INT((DAY(A370)-1)/7)+1)</f>
        <v/>
      </c>
      <c r="C370" s="9" t="n"/>
      <c r="D370" s="9" t="n"/>
      <c r="E370" s="9" t="n"/>
      <c r="F370" s="9" t="n"/>
      <c r="G370" s="9" t="n"/>
      <c r="H370" s="9" t="n"/>
      <c r="I370" s="9" t="n"/>
      <c r="J370" s="3" t="n"/>
      <c r="K370" s="9" t="n"/>
    </row>
    <row r="371">
      <c r="A371" s="4" t="n"/>
      <c r="B371" s="9">
        <f>IF(A371="","",INT((DAY(A371)-1)/7)+1)</f>
        <v/>
      </c>
      <c r="C371" s="9" t="n"/>
      <c r="D371" s="9" t="n"/>
      <c r="E371" s="9" t="n"/>
      <c r="F371" s="9" t="n"/>
      <c r="G371" s="9" t="n"/>
      <c r="H371" s="9" t="n"/>
      <c r="I371" s="9" t="n"/>
      <c r="J371" s="3" t="n"/>
      <c r="K371" s="9" t="n"/>
    </row>
    <row r="372">
      <c r="A372" s="4" t="n"/>
      <c r="B372" s="9">
        <f>IF(A372="","",INT((DAY(A372)-1)/7)+1)</f>
        <v/>
      </c>
      <c r="C372" s="9" t="n"/>
      <c r="D372" s="9" t="n"/>
      <c r="E372" s="9" t="n"/>
      <c r="F372" s="9" t="n"/>
      <c r="G372" s="9" t="n"/>
      <c r="H372" s="9" t="n"/>
      <c r="I372" s="9" t="n"/>
      <c r="J372" s="3" t="n"/>
      <c r="K372" s="9" t="n"/>
    </row>
    <row r="373">
      <c r="A373" s="4" t="n"/>
      <c r="B373" s="9">
        <f>IF(A373="","",INT((DAY(A373)-1)/7)+1)</f>
        <v/>
      </c>
      <c r="C373" s="9" t="n"/>
      <c r="D373" s="9" t="n"/>
      <c r="E373" s="9" t="n"/>
      <c r="F373" s="9" t="n"/>
      <c r="G373" s="9" t="n"/>
      <c r="H373" s="9" t="n"/>
      <c r="I373" s="9" t="n"/>
      <c r="J373" s="3" t="n"/>
      <c r="K373" s="9" t="n"/>
    </row>
    <row r="374">
      <c r="A374" s="4" t="n"/>
      <c r="B374" s="9">
        <f>IF(A374="","",INT((DAY(A374)-1)/7)+1)</f>
        <v/>
      </c>
      <c r="C374" s="9" t="n"/>
      <c r="D374" s="9" t="n"/>
      <c r="E374" s="9" t="n"/>
      <c r="F374" s="9" t="n"/>
      <c r="G374" s="9" t="n"/>
      <c r="H374" s="9" t="n"/>
      <c r="I374" s="9" t="n"/>
      <c r="J374" s="3" t="n"/>
      <c r="K374" s="9" t="n"/>
    </row>
    <row r="375">
      <c r="A375" s="4" t="n"/>
      <c r="B375" s="9">
        <f>IF(A375="","",INT((DAY(A375)-1)/7)+1)</f>
        <v/>
      </c>
      <c r="C375" s="9" t="n"/>
      <c r="D375" s="9" t="n"/>
      <c r="E375" s="9" t="n"/>
      <c r="F375" s="9" t="n"/>
      <c r="G375" s="9" t="n"/>
      <c r="H375" s="9" t="n"/>
      <c r="I375" s="9" t="n"/>
      <c r="J375" s="3" t="n"/>
      <c r="K375" s="9" t="n"/>
    </row>
    <row r="376">
      <c r="A376" s="4" t="n"/>
      <c r="B376" s="9">
        <f>IF(A376="","",INT((DAY(A376)-1)/7)+1)</f>
        <v/>
      </c>
      <c r="C376" s="9" t="n"/>
      <c r="D376" s="9" t="n"/>
      <c r="E376" s="9" t="n"/>
      <c r="F376" s="9" t="n"/>
      <c r="G376" s="9" t="n"/>
      <c r="H376" s="9" t="n"/>
      <c r="I376" s="9" t="n"/>
      <c r="J376" s="3" t="n"/>
      <c r="K376" s="9" t="n"/>
    </row>
    <row r="377">
      <c r="A377" s="4" t="n"/>
      <c r="B377" s="9">
        <f>IF(A377="","",INT((DAY(A377)-1)/7)+1)</f>
        <v/>
      </c>
      <c r="C377" s="9" t="n"/>
      <c r="D377" s="9" t="n"/>
      <c r="E377" s="9" t="n"/>
      <c r="F377" s="9" t="n"/>
      <c r="G377" s="9" t="n"/>
      <c r="H377" s="9" t="n"/>
      <c r="I377" s="9" t="n"/>
      <c r="J377" s="3" t="n"/>
      <c r="K377" s="9" t="n"/>
    </row>
    <row r="378">
      <c r="A378" s="4" t="n"/>
      <c r="B378" s="9">
        <f>IF(A378="","",INT((DAY(A378)-1)/7)+1)</f>
        <v/>
      </c>
      <c r="C378" s="9" t="n"/>
      <c r="D378" s="9" t="n"/>
      <c r="E378" s="9" t="n"/>
      <c r="F378" s="9" t="n"/>
      <c r="G378" s="9" t="n"/>
      <c r="H378" s="9" t="n"/>
      <c r="I378" s="9" t="n"/>
      <c r="J378" s="3" t="n"/>
      <c r="K378" s="9" t="n"/>
    </row>
    <row r="379">
      <c r="A379" s="4" t="n"/>
      <c r="B379" s="9">
        <f>IF(A379="","",INT((DAY(A379)-1)/7)+1)</f>
        <v/>
      </c>
      <c r="C379" s="9" t="n"/>
      <c r="D379" s="9" t="n"/>
      <c r="E379" s="9" t="n"/>
      <c r="F379" s="9" t="n"/>
      <c r="G379" s="9" t="n"/>
      <c r="H379" s="9" t="n"/>
      <c r="I379" s="9" t="n"/>
      <c r="J379" s="3" t="n"/>
      <c r="K379" s="9" t="n"/>
    </row>
    <row r="380">
      <c r="A380" s="4" t="n"/>
      <c r="B380" s="9">
        <f>IF(A380="","",INT((DAY(A380)-1)/7)+1)</f>
        <v/>
      </c>
      <c r="C380" s="9" t="n"/>
      <c r="D380" s="9" t="n"/>
      <c r="E380" s="9" t="n"/>
      <c r="F380" s="9" t="n"/>
      <c r="G380" s="9" t="n"/>
      <c r="H380" s="9" t="n"/>
      <c r="I380" s="9" t="n"/>
      <c r="J380" s="3" t="n"/>
      <c r="K380" s="9" t="n"/>
    </row>
    <row r="381">
      <c r="A381" s="4" t="n"/>
      <c r="B381" s="9">
        <f>IF(A381="","",INT((DAY(A381)-1)/7)+1)</f>
        <v/>
      </c>
      <c r="C381" s="9" t="n"/>
      <c r="D381" s="9" t="n"/>
      <c r="E381" s="9" t="n"/>
      <c r="F381" s="9" t="n"/>
      <c r="G381" s="9" t="n"/>
      <c r="H381" s="9" t="n"/>
      <c r="I381" s="9" t="n"/>
      <c r="J381" s="3" t="n"/>
      <c r="K381" s="9" t="n"/>
    </row>
    <row r="382">
      <c r="A382" s="4" t="n"/>
      <c r="B382" s="9">
        <f>IF(A382="","",INT((DAY(A382)-1)/7)+1)</f>
        <v/>
      </c>
      <c r="C382" s="9" t="n"/>
      <c r="D382" s="9" t="n"/>
      <c r="E382" s="9" t="n"/>
      <c r="F382" s="9" t="n"/>
      <c r="G382" s="9" t="n"/>
      <c r="H382" s="9" t="n"/>
      <c r="I382" s="9" t="n"/>
      <c r="J382" s="3" t="n"/>
      <c r="K382" s="9" t="n"/>
    </row>
    <row r="383">
      <c r="A383" s="4" t="n"/>
      <c r="B383" s="9">
        <f>IF(A383="","",INT((DAY(A383)-1)/7)+1)</f>
        <v/>
      </c>
      <c r="C383" s="9" t="n"/>
      <c r="D383" s="9" t="n"/>
      <c r="E383" s="9" t="n"/>
      <c r="F383" s="9" t="n"/>
      <c r="G383" s="9" t="n"/>
      <c r="H383" s="9" t="n"/>
      <c r="I383" s="9" t="n"/>
      <c r="J383" s="3" t="n"/>
      <c r="K383" s="9" t="n"/>
    </row>
    <row r="384">
      <c r="A384" s="4" t="n"/>
      <c r="B384" s="9">
        <f>IF(A384="","",INT((DAY(A384)-1)/7)+1)</f>
        <v/>
      </c>
      <c r="C384" s="9" t="n"/>
      <c r="D384" s="9" t="n"/>
      <c r="E384" s="9" t="n"/>
      <c r="F384" s="9" t="n"/>
      <c r="G384" s="9" t="n"/>
      <c r="H384" s="9" t="n"/>
      <c r="I384" s="9" t="n"/>
      <c r="J384" s="3" t="n"/>
      <c r="K384" s="9" t="n"/>
    </row>
    <row r="385">
      <c r="A385" s="4" t="n"/>
      <c r="B385" s="9">
        <f>IF(A385="","",INT((DAY(A385)-1)/7)+1)</f>
        <v/>
      </c>
      <c r="C385" s="9" t="n"/>
      <c r="D385" s="9" t="n"/>
      <c r="E385" s="9" t="n"/>
      <c r="F385" s="9" t="n"/>
      <c r="G385" s="9" t="n"/>
      <c r="H385" s="9" t="n"/>
      <c r="I385" s="9" t="n"/>
      <c r="J385" s="3" t="n"/>
      <c r="K385" s="9" t="n"/>
    </row>
    <row r="386">
      <c r="A386" s="4" t="n"/>
      <c r="B386" s="9">
        <f>IF(A386="","",INT((DAY(A386)-1)/7)+1)</f>
        <v/>
      </c>
      <c r="C386" s="9" t="n"/>
      <c r="D386" s="9" t="n"/>
      <c r="E386" s="9" t="n"/>
      <c r="F386" s="9" t="n"/>
      <c r="G386" s="9" t="n"/>
      <c r="H386" s="9" t="n"/>
      <c r="I386" s="9" t="n"/>
      <c r="J386" s="3" t="n"/>
      <c r="K386" s="9" t="n"/>
    </row>
    <row r="387">
      <c r="A387" s="4" t="n"/>
      <c r="B387" s="9">
        <f>IF(A387="","",INT((DAY(A387)-1)/7)+1)</f>
        <v/>
      </c>
      <c r="C387" s="9" t="n"/>
      <c r="D387" s="9" t="n"/>
      <c r="E387" s="9" t="n"/>
      <c r="F387" s="9" t="n"/>
      <c r="G387" s="9" t="n"/>
      <c r="H387" s="9" t="n"/>
      <c r="I387" s="9" t="n"/>
      <c r="J387" s="3" t="n"/>
      <c r="K387" s="9" t="n"/>
    </row>
    <row r="388">
      <c r="A388" s="4" t="n"/>
      <c r="B388" s="9">
        <f>IF(A388="","",INT((DAY(A388)-1)/7)+1)</f>
        <v/>
      </c>
      <c r="C388" s="9" t="n"/>
      <c r="D388" s="9" t="n"/>
      <c r="E388" s="9" t="n"/>
      <c r="F388" s="9" t="n"/>
      <c r="G388" s="9" t="n"/>
      <c r="H388" s="9" t="n"/>
      <c r="I388" s="9" t="n"/>
      <c r="J388" s="3" t="n"/>
      <c r="K388" s="9" t="n"/>
    </row>
    <row r="389">
      <c r="A389" s="4" t="n"/>
      <c r="B389" s="9">
        <f>IF(A389="","",INT((DAY(A389)-1)/7)+1)</f>
        <v/>
      </c>
      <c r="C389" s="9" t="n"/>
      <c r="D389" s="9" t="n"/>
      <c r="E389" s="9" t="n"/>
      <c r="F389" s="9" t="n"/>
      <c r="G389" s="9" t="n"/>
      <c r="H389" s="9" t="n"/>
      <c r="I389" s="9" t="n"/>
      <c r="J389" s="3" t="n"/>
      <c r="K389" s="9" t="n"/>
    </row>
    <row r="390">
      <c r="A390" s="4" t="n"/>
      <c r="B390" s="9">
        <f>IF(A390="","",INT((DAY(A390)-1)/7)+1)</f>
        <v/>
      </c>
      <c r="C390" s="9" t="n"/>
      <c r="D390" s="9" t="n"/>
      <c r="E390" s="9" t="n"/>
      <c r="F390" s="9" t="n"/>
      <c r="G390" s="9" t="n"/>
      <c r="H390" s="9" t="n"/>
      <c r="I390" s="9" t="n"/>
      <c r="J390" s="3" t="n"/>
      <c r="K390" s="9" t="n"/>
    </row>
    <row r="391">
      <c r="A391" s="4" t="n"/>
      <c r="B391" s="9">
        <f>IF(A391="","",INT((DAY(A391)-1)/7)+1)</f>
        <v/>
      </c>
      <c r="C391" s="9" t="n"/>
      <c r="D391" s="9" t="n"/>
      <c r="E391" s="9" t="n"/>
      <c r="F391" s="9" t="n"/>
      <c r="G391" s="9" t="n"/>
      <c r="H391" s="9" t="n"/>
      <c r="I391" s="9" t="n"/>
      <c r="J391" s="3" t="n"/>
      <c r="K391" s="9" t="n"/>
    </row>
    <row r="392">
      <c r="A392" s="4" t="n"/>
      <c r="B392" s="9">
        <f>IF(A392="","",INT((DAY(A392)-1)/7)+1)</f>
        <v/>
      </c>
      <c r="C392" s="9" t="n"/>
      <c r="D392" s="9" t="n"/>
      <c r="E392" s="9" t="n"/>
      <c r="F392" s="9" t="n"/>
      <c r="G392" s="9" t="n"/>
      <c r="H392" s="9" t="n"/>
      <c r="I392" s="9" t="n"/>
      <c r="J392" s="3" t="n"/>
      <c r="K392" s="9" t="n"/>
    </row>
    <row r="393">
      <c r="A393" s="4" t="n"/>
      <c r="B393" s="9">
        <f>IF(A393="","",INT((DAY(A393)-1)/7)+1)</f>
        <v/>
      </c>
      <c r="C393" s="9" t="n"/>
      <c r="D393" s="9" t="n"/>
      <c r="E393" s="9" t="n"/>
      <c r="F393" s="9" t="n"/>
      <c r="G393" s="9" t="n"/>
      <c r="H393" s="9" t="n"/>
      <c r="I393" s="9" t="n"/>
      <c r="J393" s="3" t="n"/>
      <c r="K393" s="9" t="n"/>
    </row>
    <row r="394">
      <c r="A394" s="4" t="n"/>
      <c r="B394" s="9">
        <f>IF(A394="","",INT((DAY(A394)-1)/7)+1)</f>
        <v/>
      </c>
      <c r="C394" s="9" t="n"/>
      <c r="D394" s="9" t="n"/>
      <c r="E394" s="9" t="n"/>
      <c r="F394" s="9" t="n"/>
      <c r="G394" s="9" t="n"/>
      <c r="H394" s="9" t="n"/>
      <c r="I394" s="9" t="n"/>
      <c r="J394" s="3" t="n"/>
      <c r="K394" s="9" t="n"/>
    </row>
    <row r="395">
      <c r="A395" s="4" t="n"/>
      <c r="B395" s="9">
        <f>IF(A395="","",INT((DAY(A395)-1)/7)+1)</f>
        <v/>
      </c>
      <c r="C395" s="9" t="n"/>
      <c r="D395" s="9" t="n"/>
      <c r="E395" s="9" t="n"/>
      <c r="F395" s="9" t="n"/>
      <c r="G395" s="9" t="n"/>
      <c r="H395" s="9" t="n"/>
      <c r="I395" s="9" t="n"/>
      <c r="J395" s="3" t="n"/>
      <c r="K395" s="9" t="n"/>
    </row>
    <row r="396">
      <c r="A396" s="4" t="n"/>
      <c r="B396" s="9">
        <f>IF(A396="","",INT((DAY(A396)-1)/7)+1)</f>
        <v/>
      </c>
      <c r="C396" s="9" t="n"/>
      <c r="D396" s="9" t="n"/>
      <c r="E396" s="9" t="n"/>
      <c r="F396" s="9" t="n"/>
      <c r="G396" s="9" t="n"/>
      <c r="H396" s="9" t="n"/>
      <c r="I396" s="9" t="n"/>
      <c r="J396" s="3" t="n"/>
      <c r="K396" s="9" t="n"/>
    </row>
    <row r="397">
      <c r="A397" s="4" t="n"/>
      <c r="B397" s="9">
        <f>IF(A397="","",INT((DAY(A397)-1)/7)+1)</f>
        <v/>
      </c>
      <c r="C397" s="9" t="n"/>
      <c r="D397" s="9" t="n"/>
      <c r="E397" s="9" t="n"/>
      <c r="F397" s="9" t="n"/>
      <c r="G397" s="9" t="n"/>
      <c r="H397" s="9" t="n"/>
      <c r="I397" s="9" t="n"/>
      <c r="J397" s="3" t="n"/>
      <c r="K397" s="9" t="n"/>
    </row>
    <row r="398">
      <c r="A398" s="4" t="n"/>
      <c r="B398" s="9">
        <f>IF(A398="","",INT((DAY(A398)-1)/7)+1)</f>
        <v/>
      </c>
      <c r="C398" s="9" t="n"/>
      <c r="D398" s="9" t="n"/>
      <c r="E398" s="9" t="n"/>
      <c r="F398" s="9" t="n"/>
      <c r="G398" s="9" t="n"/>
      <c r="H398" s="9" t="n"/>
      <c r="I398" s="9" t="n"/>
      <c r="J398" s="3" t="n"/>
      <c r="K398" s="9" t="n"/>
    </row>
    <row r="399">
      <c r="A399" s="4" t="n"/>
      <c r="B399" s="9">
        <f>IF(A399="","",INT((DAY(A399)-1)/7)+1)</f>
        <v/>
      </c>
      <c r="C399" s="9" t="n"/>
      <c r="D399" s="9" t="n"/>
      <c r="E399" s="9" t="n"/>
      <c r="F399" s="9" t="n"/>
      <c r="G399" s="9" t="n"/>
      <c r="H399" s="9" t="n"/>
      <c r="I399" s="9" t="n"/>
      <c r="J399" s="3" t="n"/>
      <c r="K399" s="9" t="n"/>
    </row>
    <row r="400">
      <c r="A400" s="4" t="n"/>
      <c r="B400" s="9">
        <f>IF(A400="","",INT((DAY(A400)-1)/7)+1)</f>
        <v/>
      </c>
      <c r="C400" s="9" t="n"/>
      <c r="D400" s="9" t="n"/>
      <c r="E400" s="9" t="n"/>
      <c r="F400" s="9" t="n"/>
      <c r="G400" s="9" t="n"/>
      <c r="H400" s="9" t="n"/>
      <c r="I400" s="9" t="n"/>
      <c r="J400" s="3" t="n"/>
      <c r="K400" s="9" t="n"/>
    </row>
    <row r="401">
      <c r="A401" s="4" t="n"/>
      <c r="B401" s="9">
        <f>IF(A401="","",INT((DAY(A401)-1)/7)+1)</f>
        <v/>
      </c>
      <c r="C401" s="9" t="n"/>
      <c r="D401" s="9" t="n"/>
      <c r="E401" s="9" t="n"/>
      <c r="F401" s="9" t="n"/>
      <c r="G401" s="9" t="n"/>
      <c r="H401" s="9" t="n"/>
      <c r="I401" s="9" t="n"/>
      <c r="J401" s="3" t="n"/>
      <c r="K401" s="9" t="n"/>
    </row>
    <row r="402">
      <c r="A402" s="4" t="n"/>
      <c r="B402" s="9">
        <f>IF(A402="","",INT((DAY(A402)-1)/7)+1)</f>
        <v/>
      </c>
      <c r="C402" s="9" t="n"/>
      <c r="D402" s="9" t="n"/>
      <c r="E402" s="9" t="n"/>
      <c r="F402" s="9" t="n"/>
      <c r="G402" s="9" t="n"/>
      <c r="H402" s="9" t="n"/>
      <c r="I402" s="9" t="n"/>
      <c r="J402" s="3" t="n"/>
      <c r="K402" s="9" t="n"/>
    </row>
    <row r="403">
      <c r="A403" s="4" t="n"/>
      <c r="B403" s="9">
        <f>IF(A403="","",INT((DAY(A403)-1)/7)+1)</f>
        <v/>
      </c>
      <c r="C403" s="9" t="n"/>
      <c r="D403" s="9" t="n"/>
      <c r="E403" s="9" t="n"/>
      <c r="F403" s="9" t="n"/>
      <c r="G403" s="9" t="n"/>
      <c r="H403" s="9" t="n"/>
      <c r="I403" s="9" t="n"/>
      <c r="J403" s="3" t="n"/>
      <c r="K403" s="9" t="n"/>
    </row>
    <row r="404">
      <c r="A404" s="4" t="n"/>
      <c r="B404" s="9">
        <f>IF(A404="","",INT((DAY(A404)-1)/7)+1)</f>
        <v/>
      </c>
      <c r="C404" s="9" t="n"/>
      <c r="D404" s="9" t="n"/>
      <c r="E404" s="9" t="n"/>
      <c r="F404" s="9" t="n"/>
      <c r="G404" s="9" t="n"/>
      <c r="H404" s="9" t="n"/>
      <c r="I404" s="9" t="n"/>
      <c r="J404" s="3" t="n"/>
      <c r="K404" s="9" t="n"/>
    </row>
    <row r="405">
      <c r="A405" s="4" t="n"/>
      <c r="B405" s="9">
        <f>IF(A405="","",INT((DAY(A405)-1)/7)+1)</f>
        <v/>
      </c>
      <c r="C405" s="9" t="n"/>
      <c r="D405" s="9" t="n"/>
      <c r="E405" s="9" t="n"/>
      <c r="F405" s="9" t="n"/>
      <c r="G405" s="9" t="n"/>
      <c r="H405" s="9" t="n"/>
      <c r="I405" s="9" t="n"/>
      <c r="J405" s="3" t="n"/>
      <c r="K405" s="9" t="n"/>
    </row>
    <row r="406">
      <c r="A406" s="4" t="n"/>
      <c r="B406" s="9">
        <f>IF(A406="","",INT((DAY(A406)-1)/7)+1)</f>
        <v/>
      </c>
      <c r="C406" s="9" t="n"/>
      <c r="D406" s="9" t="n"/>
      <c r="E406" s="9" t="n"/>
      <c r="F406" s="9" t="n"/>
      <c r="G406" s="9" t="n"/>
      <c r="H406" s="9" t="n"/>
      <c r="I406" s="9" t="n"/>
      <c r="J406" s="3" t="n"/>
      <c r="K406" s="9" t="n"/>
    </row>
    <row r="407">
      <c r="A407" s="4" t="n"/>
      <c r="B407" s="9">
        <f>IF(A407="","",INT((DAY(A407)-1)/7)+1)</f>
        <v/>
      </c>
      <c r="C407" s="9" t="n"/>
      <c r="D407" s="9" t="n"/>
      <c r="E407" s="9" t="n"/>
      <c r="F407" s="9" t="n"/>
      <c r="G407" s="9" t="n"/>
      <c r="H407" s="9" t="n"/>
      <c r="I407" s="9" t="n"/>
      <c r="J407" s="3" t="n"/>
      <c r="K407" s="9" t="n"/>
    </row>
    <row r="408">
      <c r="A408" s="4" t="n"/>
      <c r="B408" s="9">
        <f>IF(A408="","",INT((DAY(A408)-1)/7)+1)</f>
        <v/>
      </c>
      <c r="C408" s="9" t="n"/>
      <c r="D408" s="9" t="n"/>
      <c r="E408" s="9" t="n"/>
      <c r="F408" s="9" t="n"/>
      <c r="G408" s="9" t="n"/>
      <c r="H408" s="9" t="n"/>
      <c r="I408" s="9" t="n"/>
      <c r="J408" s="3" t="n"/>
      <c r="K408" s="9" t="n"/>
    </row>
    <row r="409">
      <c r="A409" s="4" t="n"/>
      <c r="B409" s="9">
        <f>IF(A409="","",INT((DAY(A409)-1)/7)+1)</f>
        <v/>
      </c>
      <c r="C409" s="9" t="n"/>
      <c r="D409" s="9" t="n"/>
      <c r="E409" s="9" t="n"/>
      <c r="F409" s="9" t="n"/>
      <c r="G409" s="9" t="n"/>
      <c r="H409" s="9" t="n"/>
      <c r="I409" s="9" t="n"/>
      <c r="J409" s="3" t="n"/>
      <c r="K409" s="9" t="n"/>
    </row>
    <row r="410">
      <c r="A410" s="4" t="n"/>
      <c r="B410" s="9">
        <f>IF(A410="","",INT((DAY(A410)-1)/7)+1)</f>
        <v/>
      </c>
      <c r="C410" s="9" t="n"/>
      <c r="D410" s="9" t="n"/>
      <c r="E410" s="9" t="n"/>
      <c r="F410" s="9" t="n"/>
      <c r="G410" s="9" t="n"/>
      <c r="H410" s="9" t="n"/>
      <c r="I410" s="9" t="n"/>
      <c r="J410" s="3" t="n"/>
      <c r="K410" s="9" t="n"/>
    </row>
    <row r="411">
      <c r="A411" s="4" t="n"/>
      <c r="B411" s="9">
        <f>IF(A411="","",INT((DAY(A411)-1)/7)+1)</f>
        <v/>
      </c>
      <c r="C411" s="9" t="n"/>
      <c r="D411" s="9" t="n"/>
      <c r="E411" s="9" t="n"/>
      <c r="F411" s="9" t="n"/>
      <c r="G411" s="9" t="n"/>
      <c r="H411" s="9" t="n"/>
      <c r="I411" s="9" t="n"/>
      <c r="J411" s="3" t="n"/>
      <c r="K411" s="9" t="n"/>
    </row>
    <row r="412">
      <c r="A412" s="4" t="n"/>
      <c r="B412" s="9">
        <f>IF(A412="","",INT((DAY(A412)-1)/7)+1)</f>
        <v/>
      </c>
      <c r="C412" s="9" t="n"/>
      <c r="D412" s="9" t="n"/>
      <c r="E412" s="9" t="n"/>
      <c r="F412" s="9" t="n"/>
      <c r="G412" s="9" t="n"/>
      <c r="H412" s="9" t="n"/>
      <c r="I412" s="9" t="n"/>
      <c r="J412" s="3" t="n"/>
      <c r="K412" s="9" t="n"/>
    </row>
    <row r="413">
      <c r="A413" s="4" t="n"/>
      <c r="B413" s="9">
        <f>IF(A413="","",INT((DAY(A413)-1)/7)+1)</f>
        <v/>
      </c>
      <c r="C413" s="9" t="n"/>
      <c r="D413" s="9" t="n"/>
      <c r="E413" s="9" t="n"/>
      <c r="F413" s="9" t="n"/>
      <c r="G413" s="9" t="n"/>
      <c r="H413" s="9" t="n"/>
      <c r="I413" s="9" t="n"/>
      <c r="J413" s="3" t="n"/>
      <c r="K413" s="9" t="n"/>
    </row>
    <row r="414">
      <c r="A414" s="4" t="n"/>
      <c r="B414" s="9">
        <f>IF(A414="","",INT((DAY(A414)-1)/7)+1)</f>
        <v/>
      </c>
      <c r="C414" s="9" t="n"/>
      <c r="D414" s="9" t="n"/>
      <c r="E414" s="9" t="n"/>
      <c r="F414" s="9" t="n"/>
      <c r="G414" s="9" t="n"/>
      <c r="H414" s="9" t="n"/>
      <c r="I414" s="9" t="n"/>
      <c r="J414" s="3" t="n"/>
      <c r="K414" s="9" t="n"/>
    </row>
    <row r="415">
      <c r="A415" s="4" t="n"/>
      <c r="B415" s="9">
        <f>IF(A415="","",INT((DAY(A415)-1)/7)+1)</f>
        <v/>
      </c>
      <c r="C415" s="9" t="n"/>
      <c r="D415" s="9" t="n"/>
      <c r="E415" s="9" t="n"/>
      <c r="F415" s="9" t="n"/>
      <c r="G415" s="9" t="n"/>
      <c r="H415" s="9" t="n"/>
      <c r="I415" s="9" t="n"/>
      <c r="J415" s="3" t="n"/>
      <c r="K415" s="9" t="n"/>
    </row>
    <row r="416">
      <c r="A416" s="4" t="n"/>
      <c r="B416" s="9">
        <f>IF(A416="","",INT((DAY(A416)-1)/7)+1)</f>
        <v/>
      </c>
      <c r="C416" s="9" t="n"/>
      <c r="D416" s="9" t="n"/>
      <c r="E416" s="9" t="n"/>
      <c r="F416" s="9" t="n"/>
      <c r="G416" s="9" t="n"/>
      <c r="H416" s="9" t="n"/>
      <c r="I416" s="9" t="n"/>
      <c r="J416" s="3" t="n"/>
      <c r="K416" s="9" t="n"/>
    </row>
    <row r="417">
      <c r="A417" s="4" t="n"/>
      <c r="B417" s="9">
        <f>IF(A417="","",INT((DAY(A417)-1)/7)+1)</f>
        <v/>
      </c>
      <c r="C417" s="9" t="n"/>
      <c r="D417" s="9" t="n"/>
      <c r="E417" s="9" t="n"/>
      <c r="F417" s="9" t="n"/>
      <c r="G417" s="9" t="n"/>
      <c r="H417" s="9" t="n"/>
      <c r="I417" s="9" t="n"/>
      <c r="J417" s="3" t="n"/>
      <c r="K417" s="9" t="n"/>
    </row>
    <row r="418">
      <c r="A418" s="4" t="n"/>
      <c r="B418" s="9">
        <f>IF(A418="","",INT((DAY(A418)-1)/7)+1)</f>
        <v/>
      </c>
      <c r="C418" s="9" t="n"/>
      <c r="D418" s="9" t="n"/>
      <c r="E418" s="9" t="n"/>
      <c r="F418" s="9" t="n"/>
      <c r="G418" s="9" t="n"/>
      <c r="H418" s="9" t="n"/>
      <c r="I418" s="9" t="n"/>
      <c r="J418" s="3" t="n"/>
      <c r="K418" s="9" t="n"/>
    </row>
    <row r="419">
      <c r="A419" s="4" t="n"/>
      <c r="B419" s="9">
        <f>IF(A419="","",INT((DAY(A419)-1)/7)+1)</f>
        <v/>
      </c>
      <c r="C419" s="9" t="n"/>
      <c r="D419" s="9" t="n"/>
      <c r="E419" s="9" t="n"/>
      <c r="F419" s="9" t="n"/>
      <c r="G419" s="9" t="n"/>
      <c r="H419" s="9" t="n"/>
      <c r="I419" s="9" t="n"/>
      <c r="J419" s="3" t="n"/>
      <c r="K419" s="9" t="n"/>
    </row>
    <row r="420">
      <c r="A420" s="4" t="n"/>
      <c r="B420" s="9">
        <f>IF(A420="","",INT((DAY(A420)-1)/7)+1)</f>
        <v/>
      </c>
      <c r="C420" s="9" t="n"/>
      <c r="D420" s="9" t="n"/>
      <c r="E420" s="9" t="n"/>
      <c r="F420" s="9" t="n"/>
      <c r="G420" s="9" t="n"/>
      <c r="H420" s="9" t="n"/>
      <c r="I420" s="9" t="n"/>
      <c r="J420" s="3" t="n"/>
      <c r="K420" s="9" t="n"/>
    </row>
    <row r="421">
      <c r="A421" s="4" t="n"/>
      <c r="B421" s="9">
        <f>IF(A421="","",INT((DAY(A421)-1)/7)+1)</f>
        <v/>
      </c>
      <c r="C421" s="9" t="n"/>
      <c r="D421" s="9" t="n"/>
      <c r="E421" s="9" t="n"/>
      <c r="F421" s="9" t="n"/>
      <c r="G421" s="9" t="n"/>
      <c r="H421" s="9" t="n"/>
      <c r="I421" s="9" t="n"/>
      <c r="J421" s="3" t="n"/>
      <c r="K421" s="9" t="n"/>
    </row>
    <row r="422">
      <c r="A422" s="4" t="n"/>
      <c r="B422" s="9">
        <f>IF(A422="","",INT((DAY(A422)-1)/7)+1)</f>
        <v/>
      </c>
      <c r="C422" s="9" t="n"/>
      <c r="D422" s="9" t="n"/>
      <c r="E422" s="9" t="n"/>
      <c r="F422" s="9" t="n"/>
      <c r="G422" s="9" t="n"/>
      <c r="H422" s="9" t="n"/>
      <c r="I422" s="9" t="n"/>
      <c r="J422" s="3" t="n"/>
      <c r="K422" s="9" t="n"/>
    </row>
    <row r="423">
      <c r="A423" s="4" t="n"/>
      <c r="B423" s="9">
        <f>IF(A423="","",INT((DAY(A423)-1)/7)+1)</f>
        <v/>
      </c>
      <c r="C423" s="9" t="n"/>
      <c r="D423" s="9" t="n"/>
      <c r="E423" s="9" t="n"/>
      <c r="F423" s="9" t="n"/>
      <c r="G423" s="9" t="n"/>
      <c r="H423" s="9" t="n"/>
      <c r="I423" s="9" t="n"/>
      <c r="J423" s="3" t="n"/>
      <c r="K423" s="9" t="n"/>
    </row>
    <row r="424">
      <c r="A424" s="4" t="n"/>
      <c r="B424" s="9">
        <f>IF(A424="","",INT((DAY(A424)-1)/7)+1)</f>
        <v/>
      </c>
      <c r="C424" s="9" t="n"/>
      <c r="D424" s="9" t="n"/>
      <c r="E424" s="9" t="n"/>
      <c r="F424" s="9" t="n"/>
      <c r="G424" s="9" t="n"/>
      <c r="H424" s="9" t="n"/>
      <c r="I424" s="9" t="n"/>
      <c r="J424" s="3" t="n"/>
      <c r="K424" s="9" t="n"/>
    </row>
    <row r="425">
      <c r="A425" s="4" t="n"/>
      <c r="B425" s="9">
        <f>IF(A425="","",INT((DAY(A425)-1)/7)+1)</f>
        <v/>
      </c>
      <c r="C425" s="9" t="n"/>
      <c r="D425" s="9" t="n"/>
      <c r="E425" s="9" t="n"/>
      <c r="F425" s="9" t="n"/>
      <c r="G425" s="9" t="n"/>
      <c r="H425" s="9" t="n"/>
      <c r="I425" s="9" t="n"/>
      <c r="J425" s="3" t="n"/>
      <c r="K425" s="9" t="n"/>
    </row>
    <row r="426">
      <c r="A426" s="4" t="n"/>
      <c r="B426" s="9">
        <f>IF(A426="","",INT((DAY(A426)-1)/7)+1)</f>
        <v/>
      </c>
      <c r="C426" s="9" t="n"/>
      <c r="D426" s="9" t="n"/>
      <c r="E426" s="9" t="n"/>
      <c r="F426" s="9" t="n"/>
      <c r="G426" s="9" t="n"/>
      <c r="H426" s="9" t="n"/>
      <c r="I426" s="9" t="n"/>
      <c r="J426" s="3" t="n"/>
      <c r="K426" s="9" t="n"/>
    </row>
    <row r="427">
      <c r="A427" s="4" t="n"/>
      <c r="B427" s="9">
        <f>IF(A427="","",INT((DAY(A427)-1)/7)+1)</f>
        <v/>
      </c>
      <c r="C427" s="9" t="n"/>
      <c r="D427" s="9" t="n"/>
      <c r="E427" s="9" t="n"/>
      <c r="F427" s="9" t="n"/>
      <c r="G427" s="9" t="n"/>
      <c r="H427" s="9" t="n"/>
      <c r="I427" s="9" t="n"/>
      <c r="J427" s="3" t="n"/>
      <c r="K427" s="9" t="n"/>
    </row>
    <row r="428">
      <c r="A428" s="4" t="n"/>
      <c r="B428" s="9">
        <f>IF(A428="","",INT((DAY(A428)-1)/7)+1)</f>
        <v/>
      </c>
      <c r="C428" s="9" t="n"/>
      <c r="D428" s="9" t="n"/>
      <c r="E428" s="9" t="n"/>
      <c r="F428" s="9" t="n"/>
      <c r="G428" s="9" t="n"/>
      <c r="H428" s="9" t="n"/>
      <c r="I428" s="9" t="n"/>
      <c r="J428" s="3" t="n"/>
      <c r="K428" s="9" t="n"/>
    </row>
    <row r="429">
      <c r="A429" s="4" t="n"/>
      <c r="B429" s="9">
        <f>IF(A429="","",INT((DAY(A429)-1)/7)+1)</f>
        <v/>
      </c>
      <c r="C429" s="9" t="n"/>
      <c r="D429" s="9" t="n"/>
      <c r="E429" s="9" t="n"/>
      <c r="F429" s="9" t="n"/>
      <c r="G429" s="9" t="n"/>
      <c r="H429" s="9" t="n"/>
      <c r="I429" s="9" t="n"/>
      <c r="J429" s="3" t="n"/>
      <c r="K429" s="9" t="n"/>
    </row>
    <row r="430">
      <c r="A430" s="4" t="n"/>
      <c r="B430" s="9">
        <f>IF(A430="","",INT((DAY(A430)-1)/7)+1)</f>
        <v/>
      </c>
      <c r="C430" s="9" t="n"/>
      <c r="D430" s="9" t="n"/>
      <c r="E430" s="9" t="n"/>
      <c r="F430" s="9" t="n"/>
      <c r="G430" s="9" t="n"/>
      <c r="H430" s="9" t="n"/>
      <c r="I430" s="9" t="n"/>
      <c r="J430" s="3" t="n"/>
      <c r="K430" s="9" t="n"/>
    </row>
    <row r="431">
      <c r="A431" s="4" t="n"/>
      <c r="B431" s="9">
        <f>IF(A431="","",INT((DAY(A431)-1)/7)+1)</f>
        <v/>
      </c>
      <c r="C431" s="9" t="n"/>
      <c r="D431" s="9" t="n"/>
      <c r="E431" s="9" t="n"/>
      <c r="F431" s="9" t="n"/>
      <c r="G431" s="9" t="n"/>
      <c r="H431" s="9" t="n"/>
      <c r="I431" s="9" t="n"/>
      <c r="J431" s="3" t="n"/>
      <c r="K431" s="9" t="n"/>
    </row>
    <row r="432">
      <c r="A432" s="4" t="n"/>
      <c r="B432" s="9">
        <f>IF(A432="","",INT((DAY(A432)-1)/7)+1)</f>
        <v/>
      </c>
      <c r="C432" s="9" t="n"/>
      <c r="D432" s="9" t="n"/>
      <c r="E432" s="9" t="n"/>
      <c r="F432" s="9" t="n"/>
      <c r="G432" s="9" t="n"/>
      <c r="H432" s="9" t="n"/>
      <c r="I432" s="9" t="n"/>
      <c r="J432" s="3" t="n"/>
      <c r="K432" s="9" t="n"/>
    </row>
    <row r="433">
      <c r="A433" s="4" t="n"/>
      <c r="B433" s="9">
        <f>IF(A433="","",INT((DAY(A433)-1)/7)+1)</f>
        <v/>
      </c>
      <c r="C433" s="9" t="n"/>
      <c r="D433" s="9" t="n"/>
      <c r="E433" s="9" t="n"/>
      <c r="F433" s="9" t="n"/>
      <c r="G433" s="9" t="n"/>
      <c r="H433" s="9" t="n"/>
      <c r="I433" s="9" t="n"/>
      <c r="J433" s="3" t="n"/>
      <c r="K433" s="9" t="n"/>
    </row>
    <row r="434">
      <c r="A434" s="4" t="n"/>
      <c r="B434" s="9">
        <f>IF(A434="","",INT((DAY(A434)-1)/7)+1)</f>
        <v/>
      </c>
      <c r="C434" s="9" t="n"/>
      <c r="D434" s="9" t="n"/>
      <c r="E434" s="9" t="n"/>
      <c r="F434" s="9" t="n"/>
      <c r="G434" s="9" t="n"/>
      <c r="H434" s="9" t="n"/>
      <c r="I434" s="9" t="n"/>
      <c r="J434" s="3" t="n"/>
      <c r="K434" s="9" t="n"/>
    </row>
    <row r="435">
      <c r="A435" s="4" t="n"/>
      <c r="B435" s="9">
        <f>IF(A435="","",INT((DAY(A435)-1)/7)+1)</f>
        <v/>
      </c>
      <c r="C435" s="9" t="n"/>
      <c r="D435" s="9" t="n"/>
      <c r="E435" s="9" t="n"/>
      <c r="F435" s="9" t="n"/>
      <c r="G435" s="9" t="n"/>
      <c r="H435" s="9" t="n"/>
      <c r="I435" s="9" t="n"/>
      <c r="J435" s="3" t="n"/>
      <c r="K435" s="9" t="n"/>
    </row>
    <row r="436">
      <c r="A436" s="4" t="n"/>
      <c r="B436" s="9">
        <f>IF(A436="","",INT((DAY(A436)-1)/7)+1)</f>
        <v/>
      </c>
      <c r="C436" s="9" t="n"/>
      <c r="D436" s="9" t="n"/>
      <c r="E436" s="9" t="n"/>
      <c r="F436" s="9" t="n"/>
      <c r="G436" s="9" t="n"/>
      <c r="H436" s="9" t="n"/>
      <c r="I436" s="9" t="n"/>
      <c r="J436" s="3" t="n"/>
      <c r="K436" s="9" t="n"/>
    </row>
    <row r="437">
      <c r="A437" s="4" t="n"/>
      <c r="B437" s="9">
        <f>IF(A437="","",INT((DAY(A437)-1)/7)+1)</f>
        <v/>
      </c>
      <c r="C437" s="9" t="n"/>
      <c r="D437" s="9" t="n"/>
      <c r="E437" s="9" t="n"/>
      <c r="F437" s="9" t="n"/>
      <c r="G437" s="9" t="n"/>
      <c r="H437" s="9" t="n"/>
      <c r="I437" s="9" t="n"/>
      <c r="J437" s="3" t="n"/>
      <c r="K437" s="9" t="n"/>
    </row>
    <row r="438">
      <c r="A438" s="4" t="n"/>
      <c r="B438" s="9">
        <f>IF(A438="","",INT((DAY(A438)-1)/7)+1)</f>
        <v/>
      </c>
      <c r="C438" s="9" t="n"/>
      <c r="D438" s="9" t="n"/>
      <c r="E438" s="9" t="n"/>
      <c r="F438" s="9" t="n"/>
      <c r="G438" s="9" t="n"/>
      <c r="H438" s="9" t="n"/>
      <c r="I438" s="9" t="n"/>
      <c r="J438" s="3" t="n"/>
      <c r="K438" s="9" t="n"/>
    </row>
    <row r="439">
      <c r="A439" s="4" t="n"/>
      <c r="B439" s="9">
        <f>IF(A439="","",INT((DAY(A439)-1)/7)+1)</f>
        <v/>
      </c>
      <c r="C439" s="9" t="n"/>
      <c r="D439" s="9" t="n"/>
      <c r="E439" s="9" t="n"/>
      <c r="F439" s="9" t="n"/>
      <c r="G439" s="9" t="n"/>
      <c r="H439" s="9" t="n"/>
      <c r="I439" s="9" t="n"/>
      <c r="J439" s="3" t="n"/>
      <c r="K439" s="9" t="n"/>
    </row>
    <row r="440">
      <c r="A440" s="4" t="n"/>
      <c r="B440" s="9">
        <f>IF(A440="","",INT((DAY(A440)-1)/7)+1)</f>
        <v/>
      </c>
      <c r="C440" s="9" t="n"/>
      <c r="D440" s="9" t="n"/>
      <c r="E440" s="9" t="n"/>
      <c r="F440" s="9" t="n"/>
      <c r="G440" s="9" t="n"/>
      <c r="H440" s="9" t="n"/>
      <c r="I440" s="9" t="n"/>
      <c r="J440" s="3" t="n"/>
      <c r="K440" s="9" t="n"/>
    </row>
    <row r="441">
      <c r="A441" s="4" t="n"/>
      <c r="B441" s="9">
        <f>IF(A441="","",INT((DAY(A441)-1)/7)+1)</f>
        <v/>
      </c>
      <c r="C441" s="9" t="n"/>
      <c r="D441" s="9" t="n"/>
      <c r="E441" s="9" t="n"/>
      <c r="F441" s="9" t="n"/>
      <c r="G441" s="9" t="n"/>
      <c r="H441" s="9" t="n"/>
      <c r="I441" s="9" t="n"/>
      <c r="J441" s="3" t="n"/>
      <c r="K441" s="9" t="n"/>
    </row>
    <row r="442">
      <c r="A442" s="4" t="n"/>
      <c r="B442" s="9">
        <f>IF(A442="","",INT((DAY(A442)-1)/7)+1)</f>
        <v/>
      </c>
      <c r="C442" s="9" t="n"/>
      <c r="D442" s="9" t="n"/>
      <c r="E442" s="9" t="n"/>
      <c r="F442" s="9" t="n"/>
      <c r="G442" s="9" t="n"/>
      <c r="H442" s="9" t="n"/>
      <c r="I442" s="9" t="n"/>
      <c r="J442" s="3" t="n"/>
      <c r="K442" s="9" t="n"/>
    </row>
    <row r="443">
      <c r="A443" s="4" t="n"/>
      <c r="B443" s="9">
        <f>IF(A443="","",INT((DAY(A443)-1)/7)+1)</f>
        <v/>
      </c>
      <c r="C443" s="9" t="n"/>
      <c r="D443" s="9" t="n"/>
      <c r="E443" s="9" t="n"/>
      <c r="F443" s="9" t="n"/>
      <c r="G443" s="9" t="n"/>
      <c r="H443" s="9" t="n"/>
      <c r="I443" s="9" t="n"/>
      <c r="J443" s="3" t="n"/>
      <c r="K443" s="9" t="n"/>
    </row>
    <row r="444">
      <c r="A444" s="4" t="n"/>
      <c r="B444" s="9">
        <f>IF(A444="","",INT((DAY(A444)-1)/7)+1)</f>
        <v/>
      </c>
      <c r="C444" s="9" t="n"/>
      <c r="D444" s="9" t="n"/>
      <c r="E444" s="9" t="n"/>
      <c r="F444" s="9" t="n"/>
      <c r="G444" s="9" t="n"/>
      <c r="H444" s="9" t="n"/>
      <c r="I444" s="9" t="n"/>
      <c r="J444" s="3" t="n"/>
      <c r="K444" s="9" t="n"/>
    </row>
    <row r="445">
      <c r="A445" s="4" t="n"/>
      <c r="B445" s="9">
        <f>IF(A445="","",INT((DAY(A445)-1)/7)+1)</f>
        <v/>
      </c>
      <c r="C445" s="9" t="n"/>
      <c r="D445" s="9" t="n"/>
      <c r="E445" s="9" t="n"/>
      <c r="F445" s="9" t="n"/>
      <c r="G445" s="9" t="n"/>
      <c r="H445" s="9" t="n"/>
      <c r="I445" s="9" t="n"/>
      <c r="J445" s="3" t="n"/>
      <c r="K445" s="9" t="n"/>
    </row>
    <row r="446">
      <c r="A446" s="4" t="n"/>
      <c r="B446" s="9">
        <f>IF(A446="","",INT((DAY(A446)-1)/7)+1)</f>
        <v/>
      </c>
      <c r="C446" s="9" t="n"/>
      <c r="D446" s="9" t="n"/>
      <c r="E446" s="9" t="n"/>
      <c r="F446" s="9" t="n"/>
      <c r="G446" s="9" t="n"/>
      <c r="H446" s="9" t="n"/>
      <c r="I446" s="9" t="n"/>
      <c r="J446" s="3" t="n"/>
      <c r="K446" s="9" t="n"/>
    </row>
    <row r="447">
      <c r="A447" s="4" t="n"/>
      <c r="B447" s="9">
        <f>IF(A447="","",INT((DAY(A447)-1)/7)+1)</f>
        <v/>
      </c>
      <c r="C447" s="9" t="n"/>
      <c r="D447" s="9" t="n"/>
      <c r="E447" s="9" t="n"/>
      <c r="F447" s="9" t="n"/>
      <c r="G447" s="9" t="n"/>
      <c r="H447" s="9" t="n"/>
      <c r="I447" s="9" t="n"/>
      <c r="J447" s="3" t="n"/>
      <c r="K447" s="9" t="n"/>
    </row>
    <row r="448">
      <c r="A448" s="4" t="n"/>
      <c r="B448" s="9">
        <f>IF(A448="","",INT((DAY(A448)-1)/7)+1)</f>
        <v/>
      </c>
      <c r="C448" s="9" t="n"/>
      <c r="D448" s="9" t="n"/>
      <c r="E448" s="9" t="n"/>
      <c r="F448" s="9" t="n"/>
      <c r="G448" s="9" t="n"/>
      <c r="H448" s="9" t="n"/>
      <c r="I448" s="9" t="n"/>
      <c r="J448" s="3" t="n"/>
      <c r="K448" s="9" t="n"/>
    </row>
    <row r="449">
      <c r="A449" s="4" t="n"/>
      <c r="B449" s="9">
        <f>IF(A449="","",INT((DAY(A449)-1)/7)+1)</f>
        <v/>
      </c>
      <c r="C449" s="9" t="n"/>
      <c r="D449" s="9" t="n"/>
      <c r="E449" s="9" t="n"/>
      <c r="F449" s="9" t="n"/>
      <c r="G449" s="9" t="n"/>
      <c r="H449" s="9" t="n"/>
      <c r="I449" s="9" t="n"/>
      <c r="J449" s="3" t="n"/>
      <c r="K449" s="9" t="n"/>
    </row>
    <row r="450">
      <c r="A450" s="4" t="n"/>
      <c r="B450" s="9">
        <f>IF(A450="","",INT((DAY(A450)-1)/7)+1)</f>
        <v/>
      </c>
      <c r="C450" s="9" t="n"/>
      <c r="D450" s="9" t="n"/>
      <c r="E450" s="9" t="n"/>
      <c r="F450" s="9" t="n"/>
      <c r="G450" s="9" t="n"/>
      <c r="H450" s="9" t="n"/>
      <c r="I450" s="9" t="n"/>
      <c r="J450" s="3" t="n"/>
      <c r="K450" s="9" t="n"/>
    </row>
    <row r="451">
      <c r="A451" s="4" t="n"/>
      <c r="B451" s="9">
        <f>IF(A451="","",INT((DAY(A451)-1)/7)+1)</f>
        <v/>
      </c>
      <c r="C451" s="9" t="n"/>
      <c r="D451" s="9" t="n"/>
      <c r="E451" s="9" t="n"/>
      <c r="F451" s="9" t="n"/>
      <c r="G451" s="9" t="n"/>
      <c r="H451" s="9" t="n"/>
      <c r="I451" s="9" t="n"/>
      <c r="J451" s="3" t="n"/>
      <c r="K451" s="9" t="n"/>
    </row>
    <row r="452">
      <c r="A452" s="4" t="n"/>
      <c r="B452" s="9">
        <f>IF(A452="","",INT((DAY(A452)-1)/7)+1)</f>
        <v/>
      </c>
      <c r="C452" s="9" t="n"/>
      <c r="D452" s="9" t="n"/>
      <c r="E452" s="9" t="n"/>
      <c r="F452" s="9" t="n"/>
      <c r="G452" s="9" t="n"/>
      <c r="H452" s="9" t="n"/>
      <c r="I452" s="9" t="n"/>
      <c r="J452" s="3" t="n"/>
      <c r="K452" s="9" t="n"/>
    </row>
    <row r="453">
      <c r="A453" s="4" t="n"/>
      <c r="B453" s="9">
        <f>IF(A453="","",INT((DAY(A453)-1)/7)+1)</f>
        <v/>
      </c>
      <c r="C453" s="9" t="n"/>
      <c r="D453" s="9" t="n"/>
      <c r="E453" s="9" t="n"/>
      <c r="F453" s="9" t="n"/>
      <c r="G453" s="9" t="n"/>
      <c r="H453" s="9" t="n"/>
      <c r="I453" s="9" t="n"/>
      <c r="J453" s="3" t="n"/>
      <c r="K453" s="9" t="n"/>
    </row>
    <row r="454">
      <c r="A454" s="4" t="n"/>
      <c r="B454" s="9">
        <f>IF(A454="","",INT((DAY(A454)-1)/7)+1)</f>
        <v/>
      </c>
      <c r="C454" s="9" t="n"/>
      <c r="D454" s="9" t="n"/>
      <c r="E454" s="9" t="n"/>
      <c r="F454" s="9" t="n"/>
      <c r="G454" s="9" t="n"/>
      <c r="H454" s="9" t="n"/>
      <c r="I454" s="9" t="n"/>
      <c r="J454" s="3" t="n"/>
      <c r="K454" s="9" t="n"/>
    </row>
    <row r="455">
      <c r="A455" s="4" t="n"/>
      <c r="B455" s="9">
        <f>IF(A455="","",INT((DAY(A455)-1)/7)+1)</f>
        <v/>
      </c>
      <c r="C455" s="9" t="n"/>
      <c r="D455" s="9" t="n"/>
      <c r="E455" s="9" t="n"/>
      <c r="F455" s="9" t="n"/>
      <c r="G455" s="9" t="n"/>
      <c r="H455" s="9" t="n"/>
      <c r="I455" s="9" t="n"/>
      <c r="J455" s="3" t="n"/>
      <c r="K455" s="9" t="n"/>
    </row>
    <row r="456">
      <c r="A456" s="4" t="n"/>
      <c r="B456" s="9">
        <f>IF(A456="","",INT((DAY(A456)-1)/7)+1)</f>
        <v/>
      </c>
      <c r="C456" s="9" t="n"/>
      <c r="D456" s="9" t="n"/>
      <c r="E456" s="9" t="n"/>
      <c r="F456" s="9" t="n"/>
      <c r="G456" s="9" t="n"/>
      <c r="H456" s="9" t="n"/>
      <c r="I456" s="9" t="n"/>
      <c r="J456" s="3" t="n"/>
      <c r="K456" s="9" t="n"/>
    </row>
    <row r="457">
      <c r="A457" s="4" t="n"/>
      <c r="B457" s="9">
        <f>IF(A457="","",INT((DAY(A457)-1)/7)+1)</f>
        <v/>
      </c>
      <c r="C457" s="9" t="n"/>
      <c r="D457" s="9" t="n"/>
      <c r="E457" s="9" t="n"/>
      <c r="F457" s="9" t="n"/>
      <c r="G457" s="9" t="n"/>
      <c r="H457" s="9" t="n"/>
      <c r="I457" s="9" t="n"/>
      <c r="J457" s="3" t="n"/>
      <c r="K457" s="9" t="n"/>
    </row>
    <row r="458">
      <c r="A458" s="4" t="n"/>
      <c r="B458" s="9">
        <f>IF(A458="","",INT((DAY(A458)-1)/7)+1)</f>
        <v/>
      </c>
      <c r="C458" s="9" t="n"/>
      <c r="D458" s="9" t="n"/>
      <c r="E458" s="9" t="n"/>
      <c r="F458" s="9" t="n"/>
      <c r="G458" s="9" t="n"/>
      <c r="H458" s="9" t="n"/>
      <c r="I458" s="9" t="n"/>
      <c r="J458" s="3" t="n"/>
      <c r="K458" s="9" t="n"/>
    </row>
    <row r="459">
      <c r="A459" s="4" t="n"/>
      <c r="B459" s="9">
        <f>IF(A459="","",INT((DAY(A459)-1)/7)+1)</f>
        <v/>
      </c>
      <c r="C459" s="9" t="n"/>
      <c r="D459" s="9" t="n"/>
      <c r="E459" s="9" t="n"/>
      <c r="F459" s="9" t="n"/>
      <c r="G459" s="9" t="n"/>
      <c r="H459" s="9" t="n"/>
      <c r="I459" s="9" t="n"/>
      <c r="J459" s="3" t="n"/>
      <c r="K459" s="9" t="n"/>
    </row>
    <row r="460">
      <c r="A460" s="4" t="n"/>
      <c r="B460" s="9">
        <f>IF(A460="","",INT((DAY(A460)-1)/7)+1)</f>
        <v/>
      </c>
      <c r="C460" s="9" t="n"/>
      <c r="D460" s="9" t="n"/>
      <c r="E460" s="9" t="n"/>
      <c r="F460" s="9" t="n"/>
      <c r="G460" s="9" t="n"/>
      <c r="H460" s="9" t="n"/>
      <c r="I460" s="9" t="n"/>
      <c r="J460" s="3" t="n"/>
      <c r="K460" s="9" t="n"/>
    </row>
    <row r="461">
      <c r="A461" s="4" t="n"/>
      <c r="B461" s="9">
        <f>IF(A461="","",INT((DAY(A461)-1)/7)+1)</f>
        <v/>
      </c>
      <c r="C461" s="9" t="n"/>
      <c r="D461" s="9" t="n"/>
      <c r="E461" s="9" t="n"/>
      <c r="F461" s="9" t="n"/>
      <c r="G461" s="9" t="n"/>
      <c r="H461" s="9" t="n"/>
      <c r="I461" s="9" t="n"/>
      <c r="J461" s="3" t="n"/>
      <c r="K461" s="9" t="n"/>
    </row>
    <row r="462">
      <c r="A462" s="4" t="n"/>
      <c r="B462" s="9">
        <f>IF(A462="","",INT((DAY(A462)-1)/7)+1)</f>
        <v/>
      </c>
      <c r="C462" s="9" t="n"/>
      <c r="D462" s="9" t="n"/>
      <c r="E462" s="9" t="n"/>
      <c r="F462" s="9" t="n"/>
      <c r="G462" s="9" t="n"/>
      <c r="H462" s="9" t="n"/>
      <c r="I462" s="9" t="n"/>
      <c r="J462" s="3" t="n"/>
      <c r="K462" s="9" t="n"/>
    </row>
    <row r="463">
      <c r="A463" s="4" t="n"/>
      <c r="B463" s="9">
        <f>IF(A463="","",INT((DAY(A463)-1)/7)+1)</f>
        <v/>
      </c>
      <c r="C463" s="9" t="n"/>
      <c r="D463" s="9" t="n"/>
      <c r="E463" s="9" t="n"/>
      <c r="F463" s="9" t="n"/>
      <c r="G463" s="9" t="n"/>
      <c r="H463" s="9" t="n"/>
      <c r="I463" s="9" t="n"/>
      <c r="J463" s="3" t="n"/>
      <c r="K463" s="9" t="n"/>
    </row>
    <row r="464">
      <c r="A464" s="4" t="n"/>
      <c r="B464" s="9">
        <f>IF(A464="","",INT((DAY(A464)-1)/7)+1)</f>
        <v/>
      </c>
      <c r="C464" s="9" t="n"/>
      <c r="D464" s="9" t="n"/>
      <c r="E464" s="9" t="n"/>
      <c r="F464" s="9" t="n"/>
      <c r="G464" s="9" t="n"/>
      <c r="H464" s="9" t="n"/>
      <c r="I464" s="9" t="n"/>
      <c r="J464" s="3" t="n"/>
      <c r="K464" s="9" t="n"/>
    </row>
    <row r="465">
      <c r="A465" s="4" t="n"/>
      <c r="B465" s="9">
        <f>IF(A465="","",INT((DAY(A465)-1)/7)+1)</f>
        <v/>
      </c>
      <c r="C465" s="9" t="n"/>
      <c r="D465" s="9" t="n"/>
      <c r="E465" s="9" t="n"/>
      <c r="F465" s="9" t="n"/>
      <c r="G465" s="9" t="n"/>
      <c r="H465" s="9" t="n"/>
      <c r="I465" s="9" t="n"/>
      <c r="J465" s="3" t="n"/>
      <c r="K465" s="9" t="n"/>
    </row>
    <row r="466">
      <c r="A466" s="4" t="n"/>
      <c r="B466" s="9">
        <f>IF(A466="","",INT((DAY(A466)-1)/7)+1)</f>
        <v/>
      </c>
      <c r="C466" s="9" t="n"/>
      <c r="D466" s="9" t="n"/>
      <c r="E466" s="9" t="n"/>
      <c r="F466" s="9" t="n"/>
      <c r="G466" s="9" t="n"/>
      <c r="H466" s="9" t="n"/>
      <c r="I466" s="9" t="n"/>
      <c r="J466" s="3" t="n"/>
      <c r="K466" s="9" t="n"/>
    </row>
    <row r="467">
      <c r="A467" s="4" t="n"/>
      <c r="B467" s="9">
        <f>IF(A467="","",INT((DAY(A467)-1)/7)+1)</f>
        <v/>
      </c>
      <c r="C467" s="9" t="n"/>
      <c r="D467" s="9" t="n"/>
      <c r="E467" s="9" t="n"/>
      <c r="F467" s="9" t="n"/>
      <c r="G467" s="9" t="n"/>
      <c r="H467" s="9" t="n"/>
      <c r="I467" s="9" t="n"/>
      <c r="J467" s="3" t="n"/>
      <c r="K467" s="9" t="n"/>
    </row>
    <row r="468">
      <c r="A468" s="4" t="n"/>
      <c r="B468" s="9">
        <f>IF(A468="","",INT((DAY(A468)-1)/7)+1)</f>
        <v/>
      </c>
      <c r="C468" s="9" t="n"/>
      <c r="D468" s="9" t="n"/>
      <c r="E468" s="9" t="n"/>
      <c r="F468" s="9" t="n"/>
      <c r="G468" s="9" t="n"/>
      <c r="H468" s="9" t="n"/>
      <c r="I468" s="9" t="n"/>
      <c r="J468" s="3" t="n"/>
      <c r="K468" s="9" t="n"/>
    </row>
    <row r="469">
      <c r="A469" s="4" t="n"/>
      <c r="B469" s="9">
        <f>IF(A469="","",INT((DAY(A469)-1)/7)+1)</f>
        <v/>
      </c>
      <c r="C469" s="9" t="n"/>
      <c r="D469" s="9" t="n"/>
      <c r="E469" s="9" t="n"/>
      <c r="F469" s="9" t="n"/>
      <c r="G469" s="9" t="n"/>
      <c r="H469" s="9" t="n"/>
      <c r="I469" s="9" t="n"/>
      <c r="J469" s="3" t="n"/>
      <c r="K469" s="9" t="n"/>
    </row>
    <row r="470">
      <c r="A470" s="4" t="n"/>
      <c r="B470" s="9">
        <f>IF(A470="","",INT((DAY(A470)-1)/7)+1)</f>
        <v/>
      </c>
      <c r="C470" s="9" t="n"/>
      <c r="D470" s="9" t="n"/>
      <c r="E470" s="9" t="n"/>
      <c r="F470" s="9" t="n"/>
      <c r="G470" s="9" t="n"/>
      <c r="H470" s="9" t="n"/>
      <c r="I470" s="9" t="n"/>
      <c r="J470" s="3" t="n"/>
      <c r="K470" s="9" t="n"/>
    </row>
    <row r="471">
      <c r="A471" s="4" t="n"/>
      <c r="B471" s="9">
        <f>IF(A471="","",INT((DAY(A471)-1)/7)+1)</f>
        <v/>
      </c>
      <c r="C471" s="9" t="n"/>
      <c r="D471" s="9" t="n"/>
      <c r="E471" s="9" t="n"/>
      <c r="F471" s="9" t="n"/>
      <c r="G471" s="9" t="n"/>
      <c r="H471" s="9" t="n"/>
      <c r="I471" s="9" t="n"/>
      <c r="J471" s="3" t="n"/>
      <c r="K471" s="9" t="n"/>
    </row>
    <row r="472">
      <c r="A472" s="4" t="n"/>
      <c r="B472" s="9">
        <f>IF(A472="","",INT((DAY(A472)-1)/7)+1)</f>
        <v/>
      </c>
      <c r="C472" s="9" t="n"/>
      <c r="D472" s="9" t="n"/>
      <c r="E472" s="9" t="n"/>
      <c r="F472" s="9" t="n"/>
      <c r="G472" s="9" t="n"/>
      <c r="H472" s="9" t="n"/>
      <c r="I472" s="9" t="n"/>
      <c r="J472" s="3" t="n"/>
      <c r="K472" s="9" t="n"/>
    </row>
    <row r="473">
      <c r="A473" s="4" t="n"/>
      <c r="B473" s="9">
        <f>IF(A473="","",INT((DAY(A473)-1)/7)+1)</f>
        <v/>
      </c>
      <c r="C473" s="9" t="n"/>
      <c r="D473" s="9" t="n"/>
      <c r="E473" s="9" t="n"/>
      <c r="F473" s="9" t="n"/>
      <c r="G473" s="9" t="n"/>
      <c r="H473" s="9" t="n"/>
      <c r="I473" s="9" t="n"/>
      <c r="J473" s="3" t="n"/>
      <c r="K473" s="9" t="n"/>
    </row>
    <row r="474">
      <c r="A474" s="4" t="n"/>
      <c r="B474" s="9">
        <f>IF(A474="","",INT((DAY(A474)-1)/7)+1)</f>
        <v/>
      </c>
      <c r="C474" s="9" t="n"/>
      <c r="D474" s="9" t="n"/>
      <c r="E474" s="9" t="n"/>
      <c r="F474" s="9" t="n"/>
      <c r="G474" s="9" t="n"/>
      <c r="H474" s="9" t="n"/>
      <c r="I474" s="9" t="n"/>
      <c r="J474" s="3" t="n"/>
      <c r="K474" s="9" t="n"/>
    </row>
    <row r="475">
      <c r="A475" s="4" t="n"/>
      <c r="B475" s="9">
        <f>IF(A475="","",INT((DAY(A475)-1)/7)+1)</f>
        <v/>
      </c>
      <c r="C475" s="9" t="n"/>
      <c r="D475" s="9" t="n"/>
      <c r="E475" s="9" t="n"/>
      <c r="F475" s="9" t="n"/>
      <c r="G475" s="9" t="n"/>
      <c r="H475" s="9" t="n"/>
      <c r="I475" s="9" t="n"/>
      <c r="J475" s="3" t="n"/>
      <c r="K475" s="9" t="n"/>
    </row>
    <row r="476">
      <c r="A476" s="4" t="n"/>
      <c r="B476" s="9">
        <f>IF(A476="","",INT((DAY(A476)-1)/7)+1)</f>
        <v/>
      </c>
      <c r="C476" s="9" t="n"/>
      <c r="D476" s="9" t="n"/>
      <c r="E476" s="9" t="n"/>
      <c r="F476" s="9" t="n"/>
      <c r="G476" s="9" t="n"/>
      <c r="H476" s="9" t="n"/>
      <c r="I476" s="9" t="n"/>
      <c r="J476" s="3" t="n"/>
      <c r="K476" s="9" t="n"/>
    </row>
    <row r="477">
      <c r="A477" s="4" t="n"/>
      <c r="B477" s="9">
        <f>IF(A477="","",INT((DAY(A477)-1)/7)+1)</f>
        <v/>
      </c>
      <c r="C477" s="9" t="n"/>
      <c r="D477" s="9" t="n"/>
      <c r="E477" s="9" t="n"/>
      <c r="F477" s="9" t="n"/>
      <c r="G477" s="9" t="n"/>
      <c r="H477" s="9" t="n"/>
      <c r="I477" s="9" t="n"/>
      <c r="J477" s="3" t="n"/>
      <c r="K477" s="9" t="n"/>
    </row>
    <row r="478">
      <c r="A478" s="4" t="n"/>
      <c r="B478" s="9">
        <f>IF(A478="","",INT((DAY(A478)-1)/7)+1)</f>
        <v/>
      </c>
      <c r="C478" s="9" t="n"/>
      <c r="D478" s="9" t="n"/>
      <c r="E478" s="9" t="n"/>
      <c r="F478" s="9" t="n"/>
      <c r="G478" s="9" t="n"/>
      <c r="H478" s="9" t="n"/>
      <c r="I478" s="9" t="n"/>
      <c r="J478" s="3" t="n"/>
      <c r="K478" s="9" t="n"/>
    </row>
    <row r="479">
      <c r="A479" s="4" t="n"/>
      <c r="B479" s="9">
        <f>IF(A479="","",INT((DAY(A479)-1)/7)+1)</f>
        <v/>
      </c>
      <c r="C479" s="9" t="n"/>
      <c r="D479" s="9" t="n"/>
      <c r="E479" s="9" t="n"/>
      <c r="F479" s="9" t="n"/>
      <c r="G479" s="9" t="n"/>
      <c r="H479" s="9" t="n"/>
      <c r="I479" s="9" t="n"/>
      <c r="J479" s="3" t="n"/>
      <c r="K479" s="9" t="n"/>
    </row>
    <row r="480">
      <c r="A480" s="4" t="n"/>
      <c r="B480" s="9">
        <f>IF(A480="","",INT((DAY(A480)-1)/7)+1)</f>
        <v/>
      </c>
      <c r="C480" s="9" t="n"/>
      <c r="D480" s="9" t="n"/>
      <c r="E480" s="9" t="n"/>
      <c r="F480" s="9" t="n"/>
      <c r="G480" s="9" t="n"/>
      <c r="H480" s="9" t="n"/>
      <c r="I480" s="9" t="n"/>
      <c r="J480" s="3" t="n"/>
      <c r="K480" s="9" t="n"/>
    </row>
    <row r="481">
      <c r="A481" s="4" t="n"/>
      <c r="B481" s="9">
        <f>IF(A481="","",INT((DAY(A481)-1)/7)+1)</f>
        <v/>
      </c>
      <c r="C481" s="9" t="n"/>
      <c r="D481" s="9" t="n"/>
      <c r="E481" s="9" t="n"/>
      <c r="F481" s="9" t="n"/>
      <c r="G481" s="9" t="n"/>
      <c r="H481" s="9" t="n"/>
      <c r="I481" s="9" t="n"/>
      <c r="J481" s="3" t="n"/>
      <c r="K481" s="9" t="n"/>
    </row>
    <row r="482">
      <c r="A482" s="4" t="n"/>
      <c r="B482" s="9">
        <f>IF(A482="","",INT((DAY(A482)-1)/7)+1)</f>
        <v/>
      </c>
      <c r="C482" s="9" t="n"/>
      <c r="D482" s="9" t="n"/>
      <c r="E482" s="9" t="n"/>
      <c r="F482" s="9" t="n"/>
      <c r="G482" s="9" t="n"/>
      <c r="H482" s="9" t="n"/>
      <c r="I482" s="9" t="n"/>
      <c r="J482" s="3" t="n"/>
      <c r="K482" s="9" t="n"/>
    </row>
    <row r="483">
      <c r="A483" s="4" t="n"/>
      <c r="B483" s="9">
        <f>IF(A483="","",INT((DAY(A483)-1)/7)+1)</f>
        <v/>
      </c>
      <c r="C483" s="9" t="n"/>
      <c r="D483" s="9" t="n"/>
      <c r="E483" s="9" t="n"/>
      <c r="F483" s="9" t="n"/>
      <c r="G483" s="9" t="n"/>
      <c r="H483" s="9" t="n"/>
      <c r="I483" s="9" t="n"/>
      <c r="J483" s="3" t="n"/>
      <c r="K483" s="9" t="n"/>
    </row>
    <row r="484">
      <c r="A484" s="4" t="n"/>
      <c r="B484" s="9">
        <f>IF(A484="","",INT((DAY(A484)-1)/7)+1)</f>
        <v/>
      </c>
      <c r="C484" s="9" t="n"/>
      <c r="D484" s="9" t="n"/>
      <c r="E484" s="9" t="n"/>
      <c r="F484" s="9" t="n"/>
      <c r="G484" s="9" t="n"/>
      <c r="H484" s="9" t="n"/>
      <c r="I484" s="9" t="n"/>
      <c r="J484" s="3" t="n"/>
      <c r="K484" s="9" t="n"/>
    </row>
    <row r="485">
      <c r="A485" s="4" t="n"/>
      <c r="B485" s="9">
        <f>IF(A485="","",INT((DAY(A485)-1)/7)+1)</f>
        <v/>
      </c>
      <c r="C485" s="9" t="n"/>
      <c r="D485" s="9" t="n"/>
      <c r="E485" s="9" t="n"/>
      <c r="F485" s="9" t="n"/>
      <c r="G485" s="9" t="n"/>
      <c r="H485" s="9" t="n"/>
      <c r="I485" s="9" t="n"/>
      <c r="J485" s="3" t="n"/>
      <c r="K485" s="9" t="n"/>
    </row>
    <row r="486">
      <c r="A486" s="4" t="n"/>
      <c r="B486" s="9">
        <f>IF(A486="","",INT((DAY(A486)-1)/7)+1)</f>
        <v/>
      </c>
      <c r="C486" s="9" t="n"/>
      <c r="D486" s="9" t="n"/>
      <c r="E486" s="9" t="n"/>
      <c r="F486" s="9" t="n"/>
      <c r="G486" s="9" t="n"/>
      <c r="H486" s="9" t="n"/>
      <c r="I486" s="9" t="n"/>
      <c r="J486" s="3" t="n"/>
      <c r="K486" s="9" t="n"/>
    </row>
    <row r="487">
      <c r="A487" s="4" t="n"/>
      <c r="B487" s="9">
        <f>IF(A487="","",INT((DAY(A487)-1)/7)+1)</f>
        <v/>
      </c>
      <c r="C487" s="9" t="n"/>
      <c r="D487" s="9" t="n"/>
      <c r="E487" s="9" t="n"/>
      <c r="F487" s="9" t="n"/>
      <c r="G487" s="9" t="n"/>
      <c r="H487" s="9" t="n"/>
      <c r="I487" s="9" t="n"/>
      <c r="J487" s="3" t="n"/>
      <c r="K487" s="9" t="n"/>
    </row>
    <row r="488">
      <c r="A488" s="4" t="n"/>
      <c r="B488" s="9">
        <f>IF(A488="","",INT((DAY(A488)-1)/7)+1)</f>
        <v/>
      </c>
      <c r="C488" s="9" t="n"/>
      <c r="D488" s="9" t="n"/>
      <c r="E488" s="9" t="n"/>
      <c r="F488" s="9" t="n"/>
      <c r="G488" s="9" t="n"/>
      <c r="H488" s="9" t="n"/>
      <c r="I488" s="9" t="n"/>
      <c r="J488" s="3" t="n"/>
      <c r="K488" s="9" t="n"/>
    </row>
    <row r="489">
      <c r="A489" s="4" t="n"/>
      <c r="B489" s="9">
        <f>IF(A489="","",INT((DAY(A489)-1)/7)+1)</f>
        <v/>
      </c>
      <c r="C489" s="9" t="n"/>
      <c r="D489" s="9" t="n"/>
      <c r="E489" s="9" t="n"/>
      <c r="F489" s="9" t="n"/>
      <c r="G489" s="9" t="n"/>
      <c r="H489" s="9" t="n"/>
      <c r="I489" s="9" t="n"/>
      <c r="J489" s="3" t="n"/>
      <c r="K489" s="9" t="n"/>
    </row>
    <row r="490">
      <c r="A490" s="4" t="n"/>
      <c r="B490" s="9">
        <f>IF(A490="","",INT((DAY(A490)-1)/7)+1)</f>
        <v/>
      </c>
      <c r="C490" s="9" t="n"/>
      <c r="D490" s="9" t="n"/>
      <c r="E490" s="9" t="n"/>
      <c r="F490" s="9" t="n"/>
      <c r="G490" s="9" t="n"/>
      <c r="H490" s="9" t="n"/>
      <c r="I490" s="9" t="n"/>
      <c r="J490" s="3" t="n"/>
      <c r="K490" s="9" t="n"/>
    </row>
    <row r="491">
      <c r="A491" s="4" t="n"/>
      <c r="B491" s="9">
        <f>IF(A491="","",INT((DAY(A491)-1)/7)+1)</f>
        <v/>
      </c>
      <c r="C491" s="9" t="n"/>
      <c r="D491" s="9" t="n"/>
      <c r="E491" s="9" t="n"/>
      <c r="F491" s="9" t="n"/>
      <c r="G491" s="9" t="n"/>
      <c r="H491" s="9" t="n"/>
      <c r="I491" s="9" t="n"/>
      <c r="J491" s="3" t="n"/>
      <c r="K491" s="9" t="n"/>
    </row>
    <row r="492">
      <c r="A492" s="4" t="n"/>
      <c r="B492" s="9">
        <f>IF(A492="","",INT((DAY(A492)-1)/7)+1)</f>
        <v/>
      </c>
      <c r="C492" s="9" t="n"/>
      <c r="D492" s="9" t="n"/>
      <c r="E492" s="9" t="n"/>
      <c r="F492" s="9" t="n"/>
      <c r="G492" s="9" t="n"/>
      <c r="H492" s="9" t="n"/>
      <c r="I492" s="9" t="n"/>
      <c r="J492" s="3" t="n"/>
      <c r="K492" s="9" t="n"/>
    </row>
    <row r="493">
      <c r="A493" s="4" t="n"/>
      <c r="B493" s="9">
        <f>IF(A493="","",INT((DAY(A493)-1)/7)+1)</f>
        <v/>
      </c>
      <c r="C493" s="9" t="n"/>
      <c r="D493" s="9" t="n"/>
      <c r="E493" s="9" t="n"/>
      <c r="F493" s="9" t="n"/>
      <c r="G493" s="9" t="n"/>
      <c r="H493" s="9" t="n"/>
      <c r="I493" s="9" t="n"/>
      <c r="J493" s="3" t="n"/>
      <c r="K493" s="9" t="n"/>
    </row>
    <row r="494">
      <c r="A494" s="4" t="n"/>
      <c r="B494" s="9">
        <f>IF(A494="","",INT((DAY(A494)-1)/7)+1)</f>
        <v/>
      </c>
      <c r="C494" s="9" t="n"/>
      <c r="D494" s="9" t="n"/>
      <c r="E494" s="9" t="n"/>
      <c r="F494" s="9" t="n"/>
      <c r="G494" s="9" t="n"/>
      <c r="H494" s="9" t="n"/>
      <c r="I494" s="9" t="n"/>
      <c r="J494" s="3" t="n"/>
      <c r="K494" s="9" t="n"/>
    </row>
    <row r="495">
      <c r="A495" s="4" t="n"/>
      <c r="B495" s="9">
        <f>IF(A495="","",INT((DAY(A495)-1)/7)+1)</f>
        <v/>
      </c>
      <c r="C495" s="9" t="n"/>
      <c r="D495" s="9" t="n"/>
      <c r="E495" s="9" t="n"/>
      <c r="F495" s="9" t="n"/>
      <c r="G495" s="9" t="n"/>
      <c r="H495" s="9" t="n"/>
      <c r="I495" s="9" t="n"/>
      <c r="J495" s="3" t="n"/>
      <c r="K495" s="9" t="n"/>
    </row>
    <row r="496">
      <c r="A496" s="4" t="n"/>
      <c r="B496" s="9">
        <f>IF(A496="","",INT((DAY(A496)-1)/7)+1)</f>
        <v/>
      </c>
      <c r="C496" s="9" t="n"/>
      <c r="D496" s="9" t="n"/>
      <c r="E496" s="9" t="n"/>
      <c r="F496" s="9" t="n"/>
      <c r="G496" s="9" t="n"/>
      <c r="H496" s="9" t="n"/>
      <c r="I496" s="9" t="n"/>
      <c r="J496" s="3" t="n"/>
      <c r="K496" s="9" t="n"/>
    </row>
    <row r="497">
      <c r="A497" s="4" t="n"/>
      <c r="B497" s="9">
        <f>IF(A497="","",INT((DAY(A497)-1)/7)+1)</f>
        <v/>
      </c>
      <c r="C497" s="9" t="n"/>
      <c r="D497" s="9" t="n"/>
      <c r="E497" s="9" t="n"/>
      <c r="F497" s="9" t="n"/>
      <c r="G497" s="9" t="n"/>
      <c r="H497" s="9" t="n"/>
      <c r="I497" s="9" t="n"/>
      <c r="J497" s="3" t="n"/>
      <c r="K497" s="9" t="n"/>
    </row>
    <row r="498">
      <c r="A498" s="4" t="n"/>
      <c r="B498" s="9">
        <f>IF(A498="","",INT((DAY(A498)-1)/7)+1)</f>
        <v/>
      </c>
      <c r="C498" s="9" t="n"/>
      <c r="D498" s="9" t="n"/>
      <c r="E498" s="9" t="n"/>
      <c r="F498" s="9" t="n"/>
      <c r="G498" s="9" t="n"/>
      <c r="H498" s="9" t="n"/>
      <c r="I498" s="9" t="n"/>
      <c r="J498" s="3" t="n"/>
      <c r="K498" s="9" t="n"/>
    </row>
    <row r="499">
      <c r="A499" s="4" t="n"/>
      <c r="B499" s="9">
        <f>IF(A499="","",INT((DAY(A499)-1)/7)+1)</f>
        <v/>
      </c>
      <c r="C499" s="9" t="n"/>
      <c r="D499" s="9" t="n"/>
      <c r="E499" s="9" t="n"/>
      <c r="F499" s="9" t="n"/>
      <c r="G499" s="9" t="n"/>
      <c r="H499" s="9" t="n"/>
      <c r="I499" s="9" t="n"/>
      <c r="J499" s="3" t="n"/>
      <c r="K499" s="9" t="n"/>
    </row>
    <row r="500">
      <c r="A500" s="4" t="n"/>
      <c r="B500" s="9">
        <f>IF(A500="","",INT((DAY(A500)-1)/7)+1)</f>
        <v/>
      </c>
      <c r="C500" s="9" t="n"/>
      <c r="D500" s="9" t="n"/>
      <c r="E500" s="9" t="n"/>
      <c r="F500" s="9" t="n"/>
      <c r="G500" s="9" t="n"/>
      <c r="H500" s="9" t="n"/>
      <c r="I500" s="9" t="n"/>
      <c r="J500" s="3" t="n"/>
      <c r="K500" s="9" t="n"/>
    </row>
    <row r="501">
      <c r="A501" s="4" t="n"/>
      <c r="B501" s="9">
        <f>IF(A501="","",INT((DAY(A501)-1)/7)+1)</f>
        <v/>
      </c>
      <c r="C501" s="9" t="n"/>
      <c r="D501" s="9" t="n"/>
      <c r="E501" s="9" t="n"/>
      <c r="F501" s="9" t="n"/>
      <c r="G501" s="9" t="n"/>
      <c r="H501" s="9" t="n"/>
      <c r="I501" s="9" t="n"/>
      <c r="J501" s="3" t="n"/>
      <c r="K501" s="9" t="n"/>
    </row>
    <row r="502">
      <c r="A502" s="4" t="n"/>
      <c r="B502" s="9">
        <f>IF(A502="","",INT((DAY(A502)-1)/7)+1)</f>
        <v/>
      </c>
      <c r="C502" s="9" t="n"/>
      <c r="D502" s="9" t="n"/>
      <c r="E502" s="9" t="n"/>
      <c r="F502" s="9" t="n"/>
      <c r="G502" s="9" t="n"/>
      <c r="H502" s="9" t="n"/>
      <c r="I502" s="9" t="n"/>
      <c r="J502" s="3" t="n"/>
      <c r="K502" s="9" t="n"/>
    </row>
    <row r="503">
      <c r="A503" s="4" t="n"/>
      <c r="B503" s="9">
        <f>IF(A503="","",INT((DAY(A503)-1)/7)+1)</f>
        <v/>
      </c>
      <c r="C503" s="9" t="n"/>
      <c r="D503" s="9" t="n"/>
      <c r="E503" s="9" t="n"/>
      <c r="F503" s="9" t="n"/>
      <c r="G503" s="9" t="n"/>
      <c r="H503" s="9" t="n"/>
      <c r="I503" s="9" t="n"/>
      <c r="J503" s="3" t="n"/>
      <c r="K503" s="9" t="n"/>
    </row>
    <row r="504">
      <c r="A504" s="4" t="n"/>
      <c r="B504" s="9">
        <f>IF(A504="","",INT((DAY(A504)-1)/7)+1)</f>
        <v/>
      </c>
      <c r="C504" s="9" t="n"/>
      <c r="D504" s="9" t="n"/>
      <c r="E504" s="9" t="n"/>
      <c r="F504" s="9" t="n"/>
      <c r="G504" s="9" t="n"/>
      <c r="H504" s="9" t="n"/>
      <c r="I504" s="9" t="n"/>
      <c r="J504" s="3" t="n"/>
      <c r="K504" s="9" t="n"/>
    </row>
    <row r="505">
      <c r="A505" s="4" t="n"/>
      <c r="B505" s="9">
        <f>IF(A505="","",INT((DAY(A505)-1)/7)+1)</f>
        <v/>
      </c>
      <c r="C505" s="9" t="n"/>
      <c r="D505" s="9" t="n"/>
      <c r="E505" s="9" t="n"/>
      <c r="F505" s="9" t="n"/>
      <c r="G505" s="9" t="n"/>
      <c r="H505" s="9" t="n"/>
      <c r="I505" s="9" t="n"/>
      <c r="J505" s="3" t="n"/>
      <c r="K505" s="9" t="n"/>
    </row>
    <row r="506">
      <c r="A506" s="4" t="n"/>
      <c r="B506" s="9">
        <f>IF(A506="","",INT((DAY(A506)-1)/7)+1)</f>
        <v/>
      </c>
      <c r="C506" s="9" t="n"/>
      <c r="D506" s="9" t="n"/>
      <c r="E506" s="9" t="n"/>
      <c r="F506" s="9" t="n"/>
      <c r="G506" s="9" t="n"/>
      <c r="H506" s="9" t="n"/>
      <c r="I506" s="9" t="n"/>
      <c r="J506" s="3" t="n"/>
      <c r="K506" s="9" t="n"/>
    </row>
    <row r="507">
      <c r="A507" s="4" t="n"/>
      <c r="B507" s="9">
        <f>IF(A507="","",INT((DAY(A507)-1)/7)+1)</f>
        <v/>
      </c>
      <c r="C507" s="9" t="n"/>
      <c r="D507" s="9" t="n"/>
      <c r="E507" s="9" t="n"/>
      <c r="F507" s="9" t="n"/>
      <c r="G507" s="9" t="n"/>
      <c r="H507" s="9" t="n"/>
      <c r="I507" s="9" t="n"/>
      <c r="J507" s="3" t="n"/>
      <c r="K507" s="9" t="n"/>
    </row>
    <row r="508">
      <c r="A508" s="4" t="n"/>
      <c r="B508" s="9">
        <f>IF(A508="","",INT((DAY(A508)-1)/7)+1)</f>
        <v/>
      </c>
      <c r="C508" s="9" t="n"/>
      <c r="D508" s="9" t="n"/>
      <c r="E508" s="9" t="n"/>
      <c r="F508" s="9" t="n"/>
      <c r="G508" s="9" t="n"/>
      <c r="H508" s="9" t="n"/>
      <c r="I508" s="9" t="n"/>
      <c r="J508" s="3" t="n"/>
      <c r="K508" s="9" t="n"/>
    </row>
    <row r="509">
      <c r="A509" s="4" t="n"/>
      <c r="B509" s="9">
        <f>IF(A509="","",INT((DAY(A509)-1)/7)+1)</f>
        <v/>
      </c>
      <c r="C509" s="9" t="n"/>
      <c r="D509" s="9" t="n"/>
      <c r="E509" s="9" t="n"/>
      <c r="F509" s="9" t="n"/>
      <c r="G509" s="9" t="n"/>
      <c r="H509" s="9" t="n"/>
      <c r="I509" s="9" t="n"/>
      <c r="J509" s="3" t="n"/>
      <c r="K509" s="9" t="n"/>
    </row>
    <row r="510">
      <c r="A510" s="4" t="n"/>
      <c r="B510" s="9">
        <f>IF(A510="","",INT((DAY(A510)-1)/7)+1)</f>
        <v/>
      </c>
      <c r="C510" s="9" t="n"/>
      <c r="D510" s="9" t="n"/>
      <c r="E510" s="9" t="n"/>
      <c r="F510" s="9" t="n"/>
      <c r="G510" s="9" t="n"/>
      <c r="H510" s="9" t="n"/>
      <c r="I510" s="9" t="n"/>
      <c r="J510" s="3" t="n"/>
      <c r="K510" s="9" t="n"/>
    </row>
    <row r="511">
      <c r="A511" s="4" t="n"/>
      <c r="B511" s="9">
        <f>IF(A511="","",INT((DAY(A511)-1)/7)+1)</f>
        <v/>
      </c>
      <c r="C511" s="9" t="n"/>
      <c r="D511" s="9" t="n"/>
      <c r="E511" s="9" t="n"/>
      <c r="F511" s="9" t="n"/>
      <c r="G511" s="9" t="n"/>
      <c r="H511" s="9" t="n"/>
      <c r="I511" s="9" t="n"/>
      <c r="J511" s="3" t="n"/>
      <c r="K511" s="9" t="n"/>
    </row>
    <row r="512">
      <c r="A512" s="4" t="n"/>
      <c r="B512" s="9">
        <f>IF(A512="","",INT((DAY(A512)-1)/7)+1)</f>
        <v/>
      </c>
      <c r="C512" s="9" t="n"/>
      <c r="D512" s="9" t="n"/>
      <c r="E512" s="9" t="n"/>
      <c r="F512" s="9" t="n"/>
      <c r="G512" s="9" t="n"/>
      <c r="H512" s="9" t="n"/>
      <c r="I512" s="9" t="n"/>
      <c r="J512" s="3" t="n"/>
      <c r="K512" s="9" t="n"/>
    </row>
    <row r="513">
      <c r="A513" s="4" t="n"/>
      <c r="B513" s="9">
        <f>IF(A513="","",INT((DAY(A513)-1)/7)+1)</f>
        <v/>
      </c>
      <c r="C513" s="9" t="n"/>
      <c r="D513" s="9" t="n"/>
      <c r="E513" s="9" t="n"/>
      <c r="F513" s="9" t="n"/>
      <c r="G513" s="9" t="n"/>
      <c r="H513" s="9" t="n"/>
      <c r="I513" s="9" t="n"/>
      <c r="J513" s="3" t="n"/>
      <c r="K513" s="9" t="n"/>
    </row>
    <row r="514">
      <c r="A514" s="4" t="n"/>
      <c r="B514" s="9">
        <f>IF(A514="","",INT((DAY(A514)-1)/7)+1)</f>
        <v/>
      </c>
      <c r="C514" s="9" t="n"/>
      <c r="D514" s="9" t="n"/>
      <c r="E514" s="9" t="n"/>
      <c r="F514" s="9" t="n"/>
      <c r="G514" s="9" t="n"/>
      <c r="H514" s="9" t="n"/>
      <c r="I514" s="9" t="n"/>
      <c r="J514" s="3" t="n"/>
      <c r="K514" s="9" t="n"/>
    </row>
    <row r="515">
      <c r="A515" s="4" t="n"/>
      <c r="B515" s="9">
        <f>IF(A515="","",INT((DAY(A515)-1)/7)+1)</f>
        <v/>
      </c>
      <c r="C515" s="9" t="n"/>
      <c r="D515" s="9" t="n"/>
      <c r="E515" s="9" t="n"/>
      <c r="F515" s="9" t="n"/>
      <c r="G515" s="9" t="n"/>
      <c r="H515" s="9" t="n"/>
      <c r="I515" s="9" t="n"/>
      <c r="J515" s="3" t="n"/>
      <c r="K515" s="9" t="n"/>
    </row>
    <row r="516">
      <c r="A516" s="4" t="n"/>
      <c r="B516" s="9">
        <f>IF(A516="","",INT((DAY(A516)-1)/7)+1)</f>
        <v/>
      </c>
      <c r="C516" s="9" t="n"/>
      <c r="D516" s="9" t="n"/>
      <c r="E516" s="9" t="n"/>
      <c r="F516" s="9" t="n"/>
      <c r="G516" s="9" t="n"/>
      <c r="H516" s="9" t="n"/>
      <c r="I516" s="9" t="n"/>
      <c r="J516" s="3" t="n"/>
      <c r="K516" s="9" t="n"/>
    </row>
    <row r="517">
      <c r="A517" s="4" t="n"/>
      <c r="B517" s="9">
        <f>IF(A517="","",INT((DAY(A517)-1)/7)+1)</f>
        <v/>
      </c>
      <c r="C517" s="9" t="n"/>
      <c r="D517" s="9" t="n"/>
      <c r="E517" s="9" t="n"/>
      <c r="F517" s="9" t="n"/>
      <c r="G517" s="9" t="n"/>
      <c r="H517" s="9" t="n"/>
      <c r="I517" s="9" t="n"/>
      <c r="J517" s="3" t="n"/>
      <c r="K517" s="9" t="n"/>
    </row>
    <row r="518">
      <c r="A518" s="4" t="n"/>
      <c r="B518" s="9">
        <f>IF(A518="","",INT((DAY(A518)-1)/7)+1)</f>
        <v/>
      </c>
      <c r="C518" s="9" t="n"/>
      <c r="D518" s="9" t="n"/>
      <c r="E518" s="9" t="n"/>
      <c r="F518" s="9" t="n"/>
      <c r="G518" s="9" t="n"/>
      <c r="H518" s="9" t="n"/>
      <c r="I518" s="9" t="n"/>
      <c r="J518" s="3" t="n"/>
      <c r="K518" s="9" t="n"/>
    </row>
    <row r="519">
      <c r="A519" s="4" t="n"/>
      <c r="B519" s="9">
        <f>IF(A519="","",INT((DAY(A519)-1)/7)+1)</f>
        <v/>
      </c>
      <c r="C519" s="9" t="n"/>
      <c r="D519" s="9" t="n"/>
      <c r="E519" s="9" t="n"/>
      <c r="F519" s="9" t="n"/>
      <c r="G519" s="9" t="n"/>
      <c r="H519" s="9" t="n"/>
      <c r="I519" s="9" t="n"/>
      <c r="J519" s="3" t="n"/>
      <c r="K519" s="9" t="n"/>
    </row>
    <row r="520">
      <c r="A520" s="4" t="n"/>
      <c r="B520" s="9">
        <f>IF(A520="","",INT((DAY(A520)-1)/7)+1)</f>
        <v/>
      </c>
      <c r="C520" s="9" t="n"/>
      <c r="D520" s="9" t="n"/>
      <c r="E520" s="9" t="n"/>
      <c r="F520" s="9" t="n"/>
      <c r="G520" s="9" t="n"/>
      <c r="H520" s="9" t="n"/>
      <c r="I520" s="9" t="n"/>
      <c r="J520" s="3" t="n"/>
      <c r="K520" s="9" t="n"/>
    </row>
    <row r="521">
      <c r="A521" s="4" t="n"/>
      <c r="B521" s="9">
        <f>IF(A521="","",INT((DAY(A521)-1)/7)+1)</f>
        <v/>
      </c>
      <c r="C521" s="9" t="n"/>
      <c r="D521" s="9" t="n"/>
      <c r="E521" s="9" t="n"/>
      <c r="F521" s="9" t="n"/>
      <c r="G521" s="9" t="n"/>
      <c r="H521" s="9" t="n"/>
      <c r="I521" s="9" t="n"/>
      <c r="J521" s="3" t="n"/>
      <c r="K521" s="9" t="n"/>
    </row>
    <row r="522">
      <c r="A522" s="4" t="n"/>
      <c r="B522" s="9">
        <f>IF(A522="","",INT((DAY(A522)-1)/7)+1)</f>
        <v/>
      </c>
      <c r="C522" s="9" t="n"/>
      <c r="D522" s="9" t="n"/>
      <c r="E522" s="9" t="n"/>
      <c r="F522" s="9" t="n"/>
      <c r="G522" s="9" t="n"/>
      <c r="H522" s="9" t="n"/>
      <c r="I522" s="9" t="n"/>
      <c r="J522" s="3" t="n"/>
      <c r="K522" s="9" t="n"/>
    </row>
    <row r="523">
      <c r="A523" s="4" t="n"/>
      <c r="B523" s="9">
        <f>IF(A523="","",INT((DAY(A523)-1)/7)+1)</f>
        <v/>
      </c>
      <c r="C523" s="9" t="n"/>
      <c r="D523" s="9" t="n"/>
      <c r="E523" s="9" t="n"/>
      <c r="F523" s="9" t="n"/>
      <c r="G523" s="9" t="n"/>
      <c r="H523" s="9" t="n"/>
      <c r="I523" s="9" t="n"/>
      <c r="J523" s="3" t="n"/>
      <c r="K523" s="9" t="n"/>
    </row>
    <row r="524">
      <c r="A524" s="4" t="n"/>
      <c r="B524" s="9">
        <f>IF(A524="","",INT((DAY(A524)-1)/7)+1)</f>
        <v/>
      </c>
      <c r="C524" s="9" t="n"/>
      <c r="D524" s="9" t="n"/>
      <c r="E524" s="9" t="n"/>
      <c r="F524" s="9" t="n"/>
      <c r="G524" s="9" t="n"/>
      <c r="H524" s="9" t="n"/>
      <c r="I524" s="9" t="n"/>
      <c r="J524" s="3" t="n"/>
      <c r="K524" s="9" t="n"/>
    </row>
    <row r="525">
      <c r="A525" s="4" t="n"/>
      <c r="B525" s="9">
        <f>IF(A525="","",INT((DAY(A525)-1)/7)+1)</f>
        <v/>
      </c>
      <c r="C525" s="9" t="n"/>
      <c r="D525" s="9" t="n"/>
      <c r="E525" s="9" t="n"/>
      <c r="F525" s="9" t="n"/>
      <c r="G525" s="9" t="n"/>
      <c r="H525" s="9" t="n"/>
      <c r="I525" s="9" t="n"/>
      <c r="J525" s="3" t="n"/>
      <c r="K525" s="9" t="n"/>
    </row>
    <row r="526">
      <c r="A526" s="4" t="n"/>
      <c r="B526" s="9">
        <f>IF(A526="","",INT((DAY(A526)-1)/7)+1)</f>
        <v/>
      </c>
      <c r="C526" s="9" t="n"/>
      <c r="D526" s="9" t="n"/>
      <c r="E526" s="9" t="n"/>
      <c r="F526" s="9" t="n"/>
      <c r="G526" s="9" t="n"/>
      <c r="H526" s="9" t="n"/>
      <c r="I526" s="9" t="n"/>
      <c r="J526" s="3" t="n"/>
      <c r="K526" s="9" t="n"/>
    </row>
    <row r="527">
      <c r="A527" s="4" t="n"/>
      <c r="B527" s="9">
        <f>IF(A527="","",INT((DAY(A527)-1)/7)+1)</f>
        <v/>
      </c>
      <c r="C527" s="9" t="n"/>
      <c r="D527" s="9" t="n"/>
      <c r="E527" s="9" t="n"/>
      <c r="F527" s="9" t="n"/>
      <c r="G527" s="9" t="n"/>
      <c r="H527" s="9" t="n"/>
      <c r="I527" s="9" t="n"/>
      <c r="J527" s="3" t="n"/>
      <c r="K527" s="9" t="n"/>
    </row>
    <row r="528">
      <c r="A528" s="4" t="n"/>
      <c r="B528" s="9">
        <f>IF(A528="","",INT((DAY(A528)-1)/7)+1)</f>
        <v/>
      </c>
      <c r="C528" s="9" t="n"/>
      <c r="D528" s="9" t="n"/>
      <c r="E528" s="9" t="n"/>
      <c r="F528" s="9" t="n"/>
      <c r="G528" s="9" t="n"/>
      <c r="H528" s="9" t="n"/>
      <c r="I528" s="9" t="n"/>
      <c r="J528" s="3" t="n"/>
      <c r="K528" s="9" t="n"/>
    </row>
  </sheetData>
  <autoFilter ref="A28:K528"/>
  <dataValidations count="4">
    <dataValidation sqref="E29:E528" showDropDown="0" showInputMessage="0" showErrorMessage="1" allowBlank="1" type="list">
      <formula1>=Lists!$A$2:$A$22</formula1>
    </dataValidation>
    <dataValidation sqref="G29:G528" showDropDown="0" showInputMessage="0" showErrorMessage="1" allowBlank="1" type="list">
      <formula1>=Lists!$D$2:$D$8</formula1>
    </dataValidation>
    <dataValidation sqref="H29:H528" showDropDown="0" showInputMessage="0" showErrorMessage="1" allowBlank="1" type="list">
      <formula1>=Lists!$C$2:$C$9</formula1>
    </dataValidation>
    <dataValidation sqref="I29:I528" showDropDown="0" showInputMessage="0" showErrorMessage="1" allowBlank="1" type="list">
      <formula1>=Lists!$B$2:$B$5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28"/>
  <sheetViews>
    <sheetView showGridLines="0" workbookViewId="0">
      <pane xSplit="0" ySplit="28" topLeftCell="A29" activePane="bottomLeft" state="frozen"/>
      <selection pane="bottomLeft" activeCell="A29" sqref="A29"/>
    </sheetView>
  </sheetViews>
  <sheetFormatPr baseColWidth="8" defaultRowHeight="15"/>
  <cols>
    <col width="12" customWidth="1" style="10" min="1" max="1"/>
    <col width="8" customWidth="1" style="10" min="2" max="2"/>
    <col width="22" customWidth="1" style="10" min="3" max="4"/>
    <col width="24" customWidth="1" style="10" min="5" max="5"/>
    <col width="18" customWidth="1" style="10" min="6" max="6"/>
    <col width="18" customWidth="1" style="10" min="7" max="7"/>
    <col width="18" customWidth="1" style="10" min="8" max="9"/>
    <col width="14" customWidth="1" style="10" min="10" max="10"/>
    <col width="30" customWidth="1" style="10" min="11" max="11"/>
  </cols>
  <sheetData>
    <row r="1">
      <c r="A1" s="1" t="inlineStr">
        <is>
          <t>December 2026 Ledger</t>
        </is>
      </c>
    </row>
    <row r="2">
      <c r="A2" s="7" t="inlineStr">
        <is>
          <t>Use positive amounts. Choose Type to classify each transaction.</t>
        </is>
      </c>
    </row>
    <row r="4">
      <c r="A4" s="1" t="inlineStr">
        <is>
          <t>Month Summary</t>
        </is>
      </c>
      <c r="D4" s="1" t="inlineStr">
        <is>
          <t>Category Summary</t>
        </is>
      </c>
      <c r="H4" s="1" t="inlineStr">
        <is>
          <t>Weekly Summary</t>
        </is>
      </c>
    </row>
    <row r="5">
      <c r="A5" s="5" t="inlineStr">
        <is>
          <t>Total Income</t>
        </is>
      </c>
      <c r="B5" s="3">
        <f>SUMIFS($J$29:$J$528,$I$29:$I$528,"Income")</f>
        <v/>
      </c>
      <c r="D5" s="2" t="inlineStr">
        <is>
          <t>Category</t>
        </is>
      </c>
      <c r="E5" s="2" t="inlineStr">
        <is>
          <t>Expenses</t>
        </is>
      </c>
      <c r="F5" s="2" t="inlineStr">
        <is>
          <t>Income</t>
        </is>
      </c>
      <c r="G5" s="2" t="inlineStr">
        <is>
          <t>Existing Savings</t>
        </is>
      </c>
      <c r="H5" s="2" t="inlineStr">
        <is>
          <t>Week</t>
        </is>
      </c>
      <c r="I5" s="2" t="inlineStr">
        <is>
          <t>Expenses</t>
        </is>
      </c>
      <c r="J5" s="2" t="inlineStr">
        <is>
          <t>Income</t>
        </is>
      </c>
      <c r="K5" s="2" t="inlineStr">
        <is>
          <t>Net</t>
        </is>
      </c>
    </row>
    <row r="6">
      <c r="A6" s="5" t="inlineStr">
        <is>
          <t>Total Expenses</t>
        </is>
      </c>
      <c r="B6" s="3">
        <f>SUMIFS($J$29:$J$528,$I$29:$I$528,"Expense")</f>
        <v/>
      </c>
      <c r="D6" s="5" t="inlineStr">
        <is>
          <t>Housing</t>
        </is>
      </c>
      <c r="E6" s="3">
        <f>SUMIFS($J$29:$J$528,$E$29:$E$528,$D6,$I$29:$I$528,"Expense")</f>
        <v/>
      </c>
      <c r="F6" s="3">
        <f>SUMIFS($J$29:$J$528,$E$29:$E$528,$D6,$I$29:$I$528,"Income")</f>
        <v/>
      </c>
      <c r="G6" s="3">
        <f>SUMIFS($J$29:$J$528,$E$29:$E$528,$D6,$I$29:$I$528,"Opening Balance")</f>
        <v/>
      </c>
      <c r="H6" s="5" t="inlineStr">
        <is>
          <t>Week 1</t>
        </is>
      </c>
      <c r="I6" s="3">
        <f>SUMIFS($J$29:$J$528,$B$29:$B$528,1,$I$29:$I$528,"Expense",$F$29:$F$528,"&lt;&gt;Rent")</f>
        <v/>
      </c>
      <c r="J6" s="3">
        <f>SUMIFS($J$29:$J$528,$B$29:$B$528,1,$I$29:$I$528,"Income")</f>
        <v/>
      </c>
      <c r="K6" s="3">
        <f>J6-I6</f>
        <v/>
      </c>
    </row>
    <row r="7">
      <c r="A7" s="5" t="inlineStr">
        <is>
          <t>Existing Savings</t>
        </is>
      </c>
      <c r="B7" s="3">
        <f>SUMIFS($J$29:$J$528,$I$29:$I$528,"Opening Balance")</f>
        <v/>
      </c>
      <c r="D7" s="5" t="inlineStr">
        <is>
          <t>Utilities</t>
        </is>
      </c>
      <c r="E7" s="3">
        <f>SUMIFS($J$29:$J$528,$E$29:$E$528,$D7,$I$29:$I$528,"Expense")</f>
        <v/>
      </c>
      <c r="F7" s="3">
        <f>SUMIFS($J$29:$J$528,$E$29:$E$528,$D7,$I$29:$I$528,"Income")</f>
        <v/>
      </c>
      <c r="G7" s="3">
        <f>SUMIFS($J$29:$J$528,$E$29:$E$528,$D7,$I$29:$I$528,"Opening Balance")</f>
        <v/>
      </c>
      <c r="H7" s="5" t="inlineStr">
        <is>
          <t>Week 2</t>
        </is>
      </c>
      <c r="I7" s="3">
        <f>SUMIFS($J$29:$J$528,$B$29:$B$528,2,$I$29:$I$528,"Expense",$F$29:$F$528,"&lt;&gt;Rent")</f>
        <v/>
      </c>
      <c r="J7" s="3">
        <f>SUMIFS($J$29:$J$528,$B$29:$B$528,2,$I$29:$I$528,"Income")</f>
        <v/>
      </c>
      <c r="K7" s="3">
        <f>J7-I7</f>
        <v/>
      </c>
    </row>
    <row r="8">
      <c r="A8" s="5" t="inlineStr">
        <is>
          <t>Transfers</t>
        </is>
      </c>
      <c r="B8" s="3">
        <f>SUMIFS($J$29:$J$528,$I$29:$I$528,"Transfer")</f>
        <v/>
      </c>
      <c r="D8" s="5" t="inlineStr">
        <is>
          <t>Groceries</t>
        </is>
      </c>
      <c r="E8" s="3">
        <f>SUMIFS($J$29:$J$528,$E$29:$E$528,$D8,$I$29:$I$528,"Expense")</f>
        <v/>
      </c>
      <c r="F8" s="3">
        <f>SUMIFS($J$29:$J$528,$E$29:$E$528,$D8,$I$29:$I$528,"Income")</f>
        <v/>
      </c>
      <c r="G8" s="3">
        <f>SUMIFS($J$29:$J$528,$E$29:$E$528,$D8,$I$29:$I$528,"Opening Balance")</f>
        <v/>
      </c>
      <c r="H8" s="5" t="inlineStr">
        <is>
          <t>Week 3</t>
        </is>
      </c>
      <c r="I8" s="3">
        <f>SUMIFS($J$29:$J$528,$B$29:$B$528,3,$I$29:$I$528,"Expense",$F$29:$F$528,"&lt;&gt;Rent")</f>
        <v/>
      </c>
      <c r="J8" s="3">
        <f>SUMIFS($J$29:$J$528,$B$29:$B$528,3,$I$29:$I$528,"Income")</f>
        <v/>
      </c>
      <c r="K8" s="3">
        <f>J8-I8</f>
        <v/>
      </c>
    </row>
    <row r="9">
      <c r="A9" s="5" t="inlineStr">
        <is>
          <t>Net Cash Flow</t>
        </is>
      </c>
      <c r="B9" s="3">
        <f>B5-B6</f>
        <v/>
      </c>
      <c r="D9" s="5" t="inlineStr">
        <is>
          <t>Dining</t>
        </is>
      </c>
      <c r="E9" s="3">
        <f>SUMIFS($J$29:$J$528,$E$29:$E$528,$D9,$I$29:$I$528,"Expense")</f>
        <v/>
      </c>
      <c r="F9" s="3">
        <f>SUMIFS($J$29:$J$528,$E$29:$E$528,$D9,$I$29:$I$528,"Income")</f>
        <v/>
      </c>
      <c r="G9" s="3">
        <f>SUMIFS($J$29:$J$528,$E$29:$E$528,$D9,$I$29:$I$528,"Opening Balance")</f>
        <v/>
      </c>
      <c r="H9" s="5" t="inlineStr">
        <is>
          <t>Week 4</t>
        </is>
      </c>
      <c r="I9" s="3">
        <f>SUMIFS($J$29:$J$528,$B$29:$B$528,4,$I$29:$I$528,"Expense",$F$29:$F$528,"&lt;&gt;Rent")</f>
        <v/>
      </c>
      <c r="J9" s="3">
        <f>SUMIFS($J$29:$J$528,$B$29:$B$528,4,$I$29:$I$528,"Income")</f>
        <v/>
      </c>
      <c r="K9" s="3">
        <f>J9-I9</f>
        <v/>
      </c>
    </row>
    <row r="10">
      <c r="D10" s="5" t="inlineStr">
        <is>
          <t>Transportation</t>
        </is>
      </c>
      <c r="E10" s="3">
        <f>SUMIFS($J$29:$J$528,$E$29:$E$528,$D10,$I$29:$I$528,"Expense")</f>
        <v/>
      </c>
      <c r="F10" s="3">
        <f>SUMIFS($J$29:$J$528,$E$29:$E$528,$D10,$I$29:$I$528,"Income")</f>
        <v/>
      </c>
      <c r="G10" s="3">
        <f>SUMIFS($J$29:$J$528,$E$29:$E$528,$D10,$I$29:$I$528,"Opening Balance")</f>
        <v/>
      </c>
      <c r="H10" s="5" t="inlineStr">
        <is>
          <t>Week 5</t>
        </is>
      </c>
      <c r="I10" s="3">
        <f>SUMIFS($J$29:$J$528,$B$29:$B$528,5,$I$29:$I$528,"Expense",$F$29:$F$528,"&lt;&gt;Rent")</f>
        <v/>
      </c>
      <c r="J10" s="3">
        <f>SUMIFS($J$29:$J$528,$B$29:$B$528,5,$I$29:$I$528,"Income")</f>
        <v/>
      </c>
      <c r="K10" s="3">
        <f>J10-I10</f>
        <v/>
      </c>
    </row>
    <row r="11">
      <c r="D11" s="5" t="inlineStr">
        <is>
          <t>Health &amp; Medical</t>
        </is>
      </c>
      <c r="E11" s="3">
        <f>SUMIFS($J$29:$J$528,$E$29:$E$528,$D11,$I$29:$I$528,"Expense")</f>
        <v/>
      </c>
      <c r="F11" s="3">
        <f>SUMIFS($J$29:$J$528,$E$29:$E$528,$D11,$I$29:$I$528,"Income")</f>
        <v/>
      </c>
      <c r="G11" s="3">
        <f>SUMIFS($J$29:$J$528,$E$29:$E$528,$D11,$I$29:$I$528,"Opening Balance")</f>
        <v/>
      </c>
    </row>
    <row r="12">
      <c r="D12" s="5" t="inlineStr">
        <is>
          <t>Insurance</t>
        </is>
      </c>
      <c r="E12" s="3">
        <f>SUMIFS($J$29:$J$528,$E$29:$E$528,$D12,$I$29:$I$528,"Expense")</f>
        <v/>
      </c>
      <c r="F12" s="3">
        <f>SUMIFS($J$29:$J$528,$E$29:$E$528,$D12,$I$29:$I$528,"Income")</f>
        <v/>
      </c>
      <c r="G12" s="3">
        <f>SUMIFS($J$29:$J$528,$E$29:$E$528,$D12,$I$29:$I$528,"Opening Balance")</f>
        <v/>
      </c>
    </row>
    <row r="13">
      <c r="D13" s="5" t="inlineStr">
        <is>
          <t>Debt Payments</t>
        </is>
      </c>
      <c r="E13" s="3">
        <f>SUMIFS($J$29:$J$528,$E$29:$E$528,$D13,$I$29:$I$528,"Expense")</f>
        <v/>
      </c>
      <c r="F13" s="3">
        <f>SUMIFS($J$29:$J$528,$E$29:$E$528,$D13,$I$29:$I$528,"Income")</f>
        <v/>
      </c>
      <c r="G13" s="3">
        <f>SUMIFS($J$29:$J$528,$E$29:$E$528,$D13,$I$29:$I$528,"Opening Balance")</f>
        <v/>
      </c>
    </row>
    <row r="14">
      <c r="D14" s="5" t="inlineStr">
        <is>
          <t>Savings &amp; Investments</t>
        </is>
      </c>
      <c r="E14" s="3">
        <f>SUMIFS($J$29:$J$528,$E$29:$E$528,$D14,$I$29:$I$528,"Expense")</f>
        <v/>
      </c>
      <c r="F14" s="3">
        <f>SUMIFS($J$29:$J$528,$E$29:$E$528,$D14,$I$29:$I$528,"Income")</f>
        <v/>
      </c>
      <c r="G14" s="3">
        <f>SUMIFS($J$29:$J$528,$E$29:$E$528,$D14,$I$29:$I$528,"Opening Balance")</f>
        <v/>
      </c>
    </row>
    <row r="15">
      <c r="D15" s="5" t="inlineStr">
        <is>
          <t>Personal Care</t>
        </is>
      </c>
      <c r="E15" s="3">
        <f>SUMIFS($J$29:$J$528,$E$29:$E$528,$D15,$I$29:$I$528,"Expense")</f>
        <v/>
      </c>
      <c r="F15" s="3">
        <f>SUMIFS($J$29:$J$528,$E$29:$E$528,$D15,$I$29:$I$528,"Income")</f>
        <v/>
      </c>
      <c r="G15" s="3">
        <f>SUMIFS($J$29:$J$528,$E$29:$E$528,$D15,$I$29:$I$528,"Opening Balance")</f>
        <v/>
      </c>
    </row>
    <row r="16">
      <c r="D16" s="5" t="inlineStr">
        <is>
          <t>Shopping</t>
        </is>
      </c>
      <c r="E16" s="3">
        <f>SUMIFS($J$29:$J$528,$E$29:$E$528,$D16,$I$29:$I$528,"Expense")</f>
        <v/>
      </c>
      <c r="F16" s="3">
        <f>SUMIFS($J$29:$J$528,$E$29:$E$528,$D16,$I$29:$I$528,"Income")</f>
        <v/>
      </c>
      <c r="G16" s="3">
        <f>SUMIFS($J$29:$J$528,$E$29:$E$528,$D16,$I$29:$I$528,"Opening Balance")</f>
        <v/>
      </c>
    </row>
    <row r="17">
      <c r="D17" s="5" t="inlineStr">
        <is>
          <t>Entertainment</t>
        </is>
      </c>
      <c r="E17" s="3">
        <f>SUMIFS($J$29:$J$528,$E$29:$E$528,$D17,$I$29:$I$528,"Expense")</f>
        <v/>
      </c>
      <c r="F17" s="3">
        <f>SUMIFS($J$29:$J$528,$E$29:$E$528,$D17,$I$29:$I$528,"Income")</f>
        <v/>
      </c>
      <c r="G17" s="3">
        <f>SUMIFS($J$29:$J$528,$E$29:$E$528,$D17,$I$29:$I$528,"Opening Balance")</f>
        <v/>
      </c>
    </row>
    <row r="18">
      <c r="D18" s="5" t="inlineStr">
        <is>
          <t>Travel</t>
        </is>
      </c>
      <c r="E18" s="3">
        <f>SUMIFS($J$29:$J$528,$E$29:$E$528,$D18,$I$29:$I$528,"Expense")</f>
        <v/>
      </c>
      <c r="F18" s="3">
        <f>SUMIFS($J$29:$J$528,$E$29:$E$528,$D18,$I$29:$I$528,"Income")</f>
        <v/>
      </c>
      <c r="G18" s="3">
        <f>SUMIFS($J$29:$J$528,$E$29:$E$528,$D18,$I$29:$I$528,"Opening Balance")</f>
        <v/>
      </c>
    </row>
    <row r="19">
      <c r="D19" s="5" t="inlineStr">
        <is>
          <t>Education</t>
        </is>
      </c>
      <c r="E19" s="3">
        <f>SUMIFS($J$29:$J$528,$E$29:$E$528,$D19,$I$29:$I$528,"Expense")</f>
        <v/>
      </c>
      <c r="F19" s="3">
        <f>SUMIFS($J$29:$J$528,$E$29:$E$528,$D19,$I$29:$I$528,"Income")</f>
        <v/>
      </c>
      <c r="G19" s="3">
        <f>SUMIFS($J$29:$J$528,$E$29:$E$528,$D19,$I$29:$I$528,"Opening Balance")</f>
        <v/>
      </c>
    </row>
    <row r="20">
      <c r="D20" s="5" t="inlineStr">
        <is>
          <t>Gifts &amp; Donations</t>
        </is>
      </c>
      <c r="E20" s="3">
        <f>SUMIFS($J$29:$J$528,$E$29:$E$528,$D20,$I$29:$I$528,"Expense")</f>
        <v/>
      </c>
      <c r="F20" s="3">
        <f>SUMIFS($J$29:$J$528,$E$29:$E$528,$D20,$I$29:$I$528,"Income")</f>
        <v/>
      </c>
      <c r="G20" s="3">
        <f>SUMIFS($J$29:$J$528,$E$29:$E$528,$D20,$I$29:$I$528,"Opening Balance")</f>
        <v/>
      </c>
    </row>
    <row r="21">
      <c r="D21" s="5" t="inlineStr">
        <is>
          <t>Taxes</t>
        </is>
      </c>
      <c r="E21" s="3">
        <f>SUMIFS($J$29:$J$528,$E$29:$E$528,$D21,$I$29:$I$528,"Expense")</f>
        <v/>
      </c>
      <c r="F21" s="3">
        <f>SUMIFS($J$29:$J$528,$E$29:$E$528,$D21,$I$29:$I$528,"Income")</f>
        <v/>
      </c>
      <c r="G21" s="3">
        <f>SUMIFS($J$29:$J$528,$E$29:$E$528,$D21,$I$29:$I$528,"Opening Balance")</f>
        <v/>
      </c>
    </row>
    <row r="22">
      <c r="D22" s="5" t="inlineStr">
        <is>
          <t>Shipping</t>
        </is>
      </c>
      <c r="E22" s="3">
        <f>SUMIFS($J$29:$J$528,$E$29:$E$528,$D22,$I$29:$I$528,"Expense")</f>
        <v/>
      </c>
      <c r="F22" s="3">
        <f>SUMIFS($J$29:$J$528,$E$29:$E$528,$D22,$I$29:$I$528,"Income")</f>
        <v/>
      </c>
      <c r="G22" s="3">
        <f>SUMIFS($J$29:$J$528,$E$29:$E$528,$D22,$I$29:$I$528,"Opening Balance")</f>
        <v/>
      </c>
    </row>
    <row r="23">
      <c r="D23" s="5" t="inlineStr">
        <is>
          <t>Income</t>
        </is>
      </c>
      <c r="E23" s="3">
        <f>SUMIFS($J$29:$J$528,$E$29:$E$528,$D23,$I$29:$I$528,"Expense")</f>
        <v/>
      </c>
      <c r="F23" s="3">
        <f>SUMIFS($J$29:$J$528,$E$29:$E$528,$D23,$I$29:$I$528,"Income")</f>
        <v/>
      </c>
      <c r="G23" s="3">
        <f>SUMIFS($J$29:$J$528,$E$29:$E$528,$D23,$I$29:$I$528,"Opening Balance")</f>
        <v/>
      </c>
    </row>
    <row r="24">
      <c r="D24" s="5" t="inlineStr">
        <is>
          <t>Transfers</t>
        </is>
      </c>
      <c r="E24" s="3">
        <f>SUMIFS($J$29:$J$528,$E$29:$E$528,$D24,$I$29:$I$528,"Expense")</f>
        <v/>
      </c>
      <c r="F24" s="3">
        <f>SUMIFS($J$29:$J$528,$E$29:$E$528,$D24,$I$29:$I$528,"Income")</f>
        <v/>
      </c>
      <c r="G24" s="3">
        <f>SUMIFS($J$29:$J$528,$E$29:$E$528,$D24,$I$29:$I$528,"Opening Balance")</f>
        <v/>
      </c>
    </row>
    <row r="25">
      <c r="D25" s="5" t="inlineStr">
        <is>
          <t>Existing Savings</t>
        </is>
      </c>
      <c r="E25" s="3">
        <f>SUMIFS($J$29:$J$528,$E$29:$E$528,$D25,$I$29:$I$528,"Expense")</f>
        <v/>
      </c>
      <c r="F25" s="3">
        <f>SUMIFS($J$29:$J$528,$E$29:$E$528,$D25,$I$29:$I$528,"Income")</f>
        <v/>
      </c>
      <c r="G25" s="3">
        <f>SUMIFS($J$29:$J$528,$E$29:$E$528,$D25,$I$29:$I$528,"Opening Balance")</f>
        <v/>
      </c>
    </row>
    <row r="26">
      <c r="D26" s="5" t="inlineStr">
        <is>
          <t>Essentials</t>
        </is>
      </c>
      <c r="E26" s="3">
        <f>SUMIFS($J$29:$J$528,$E$29:$E$528,$D26,$I$29:$I$528,"Expense")</f>
        <v/>
      </c>
      <c r="F26" s="3">
        <f>SUMIFS($J$29:$J$528,$E$29:$E$528,$D26,$I$29:$I$528,"Income")</f>
        <v/>
      </c>
      <c r="G26" s="3">
        <f>SUMIFS($J$29:$J$528,$E$29:$E$528,$D26,$I$29:$I$528,"Opening Balance")</f>
        <v/>
      </c>
    </row>
    <row r="27">
      <c r="A27" s="1" t="inlineStr">
        <is>
          <t>Transactions</t>
        </is>
      </c>
    </row>
    <row r="28">
      <c r="A28" s="2" t="inlineStr">
        <is>
          <t>Date</t>
        </is>
      </c>
      <c r="B28" s="2" t="inlineStr">
        <is>
          <t>Week</t>
        </is>
      </c>
      <c r="C28" s="2" t="inlineStr">
        <is>
          <t>Description</t>
        </is>
      </c>
      <c r="D28" s="2" t="inlineStr">
        <is>
          <t>Merchant</t>
        </is>
      </c>
      <c r="E28" s="2" t="inlineStr">
        <is>
          <t>Category</t>
        </is>
      </c>
      <c r="F28" s="2" t="inlineStr">
        <is>
          <t>Subcategory</t>
        </is>
      </c>
      <c r="G28" s="2" t="inlineStr">
        <is>
          <t>Account</t>
        </is>
      </c>
      <c r="H28" s="2" t="inlineStr">
        <is>
          <t>Payment Method</t>
        </is>
      </c>
      <c r="I28" s="2" t="inlineStr">
        <is>
          <t>Type</t>
        </is>
      </c>
      <c r="J28" s="2" t="inlineStr">
        <is>
          <t>Amount</t>
        </is>
      </c>
      <c r="K28" s="2" t="inlineStr">
        <is>
          <t>Notes</t>
        </is>
      </c>
    </row>
    <row r="29">
      <c r="A29" s="4" t="n"/>
      <c r="B29" s="9">
        <f>IF(A29="","",INT((DAY(A29)-1)/7)+1)</f>
      </c>
      <c r="C29" s="9" t="n"/>
      <c r="D29" s="9" t="n"/>
      <c r="E29" s="9" t="n"/>
      <c r="F29" s="9" t="n"/>
      <c r="G29" s="9" t="n"/>
      <c r="H29" s="9" t="n"/>
      <c r="I29" s="9" t="n"/>
      <c r="J29" s="3" t="n"/>
      <c r="K29" s="9" t="n"/>
    </row>
    <row r="30">
      <c r="A30" s="4" t="n"/>
      <c r="B30" s="9">
        <f>IF(A30="","",INT((DAY(A30)-1)/7)+1)</f>
        <v/>
      </c>
      <c r="C30" s="9" t="n"/>
      <c r="D30" s="9" t="n"/>
      <c r="E30" s="9" t="n"/>
      <c r="F30" s="9" t="n"/>
      <c r="G30" s="9" t="n"/>
      <c r="H30" s="9" t="n"/>
      <c r="I30" s="9" t="n"/>
      <c r="J30" s="3" t="n"/>
      <c r="K30" s="9" t="n"/>
    </row>
    <row r="31">
      <c r="A31" s="4" t="n"/>
      <c r="B31" s="9">
        <f>IF(A31="","",INT((DAY(A31)-1)/7)+1)</f>
        <v/>
      </c>
      <c r="C31" s="9" t="n"/>
      <c r="D31" s="9" t="n"/>
      <c r="E31" s="9" t="n"/>
      <c r="F31" s="9" t="n"/>
      <c r="G31" s="9" t="n"/>
      <c r="H31" s="9" t="n"/>
      <c r="I31" s="9" t="n"/>
      <c r="J31" s="3" t="n"/>
      <c r="K31" s="9" t="n"/>
    </row>
    <row r="32">
      <c r="A32" s="4" t="n"/>
      <c r="B32" s="9">
        <f>IF(A32="","",INT((DAY(A32)-1)/7)+1)</f>
        <v/>
      </c>
      <c r="C32" s="9" t="n"/>
      <c r="D32" s="9" t="n"/>
      <c r="E32" s="9" t="n"/>
      <c r="F32" s="9" t="n"/>
      <c r="G32" s="9" t="n"/>
      <c r="H32" s="9" t="n"/>
      <c r="I32" s="9" t="n"/>
      <c r="J32" s="3" t="n"/>
      <c r="K32" s="9" t="n"/>
    </row>
    <row r="33">
      <c r="A33" s="4" t="n"/>
      <c r="B33" s="9">
        <f>IF(A33="","",INT((DAY(A33)-1)/7)+1)</f>
        <v/>
      </c>
      <c r="C33" s="9" t="n"/>
      <c r="D33" s="9" t="n"/>
      <c r="E33" s="9" t="n"/>
      <c r="F33" s="9" t="n"/>
      <c r="G33" s="9" t="n"/>
      <c r="H33" s="9" t="n"/>
      <c r="I33" s="9" t="n"/>
      <c r="J33" s="3" t="n"/>
      <c r="K33" s="9" t="n"/>
    </row>
    <row r="34">
      <c r="A34" s="4" t="n"/>
      <c r="B34" s="9">
        <f>IF(A34="","",INT((DAY(A34)-1)/7)+1)</f>
        <v/>
      </c>
      <c r="C34" s="9" t="n"/>
      <c r="D34" s="9" t="n"/>
      <c r="E34" s="9" t="n"/>
      <c r="F34" s="9" t="n"/>
      <c r="G34" s="9" t="n"/>
      <c r="H34" s="9" t="n"/>
      <c r="I34" s="9" t="n"/>
      <c r="J34" s="3" t="n"/>
      <c r="K34" s="9" t="n"/>
    </row>
    <row r="35">
      <c r="A35" s="4" t="n"/>
      <c r="B35" s="9">
        <f>IF(A35="","",INT((DAY(A35)-1)/7)+1)</f>
        <v/>
      </c>
      <c r="C35" s="9" t="n"/>
      <c r="D35" s="9" t="n"/>
      <c r="E35" s="9" t="n"/>
      <c r="F35" s="9" t="n"/>
      <c r="G35" s="9" t="n"/>
      <c r="H35" s="9" t="n"/>
      <c r="I35" s="9" t="n"/>
      <c r="J35" s="3" t="n"/>
      <c r="K35" s="9" t="n"/>
    </row>
    <row r="36">
      <c r="A36" s="4" t="n"/>
      <c r="B36" s="9">
        <f>IF(A36="","",INT((DAY(A36)-1)/7)+1)</f>
        <v/>
      </c>
      <c r="C36" s="9" t="n"/>
      <c r="D36" s="9" t="n"/>
      <c r="E36" s="9" t="n"/>
      <c r="F36" s="9" t="n"/>
      <c r="G36" s="9" t="n"/>
      <c r="H36" s="9" t="n"/>
      <c r="I36" s="9" t="n"/>
      <c r="J36" s="3" t="n"/>
      <c r="K36" s="9" t="n"/>
    </row>
    <row r="37">
      <c r="A37" s="4" t="n"/>
      <c r="B37" s="9">
        <f>IF(A37="","",INT((DAY(A37)-1)/7)+1)</f>
        <v/>
      </c>
      <c r="C37" s="9" t="n"/>
      <c r="D37" s="9" t="n"/>
      <c r="E37" s="9" t="n"/>
      <c r="F37" s="9" t="n"/>
      <c r="G37" s="9" t="n"/>
      <c r="H37" s="9" t="n"/>
      <c r="I37" s="9" t="n"/>
      <c r="J37" s="3" t="n"/>
      <c r="K37" s="9" t="n"/>
    </row>
    <row r="38">
      <c r="A38" s="4" t="n"/>
      <c r="B38" s="9">
        <f>IF(A38="","",INT((DAY(A38)-1)/7)+1)</f>
        <v/>
      </c>
      <c r="C38" s="9" t="n"/>
      <c r="D38" s="9" t="n"/>
      <c r="E38" s="9" t="n"/>
      <c r="F38" s="9" t="n"/>
      <c r="G38" s="9" t="n"/>
      <c r="H38" s="9" t="n"/>
      <c r="I38" s="9" t="n"/>
      <c r="J38" s="3" t="n"/>
      <c r="K38" s="9" t="n"/>
    </row>
    <row r="39">
      <c r="A39" s="4" t="n"/>
      <c r="B39" s="9">
        <f>IF(A39="","",INT((DAY(A39)-1)/7)+1)</f>
        <v/>
      </c>
      <c r="C39" s="9" t="n"/>
      <c r="D39" s="9" t="n"/>
      <c r="E39" s="9" t="n"/>
      <c r="F39" s="9" t="n"/>
      <c r="G39" s="9" t="n"/>
      <c r="H39" s="9" t="n"/>
      <c r="I39" s="9" t="n"/>
      <c r="J39" s="3" t="n"/>
      <c r="K39" s="9" t="n"/>
    </row>
    <row r="40">
      <c r="A40" s="4" t="n"/>
      <c r="B40" s="9">
        <f>IF(A40="","",INT((DAY(A40)-1)/7)+1)</f>
        <v/>
      </c>
      <c r="C40" s="9" t="n"/>
      <c r="D40" s="9" t="n"/>
      <c r="E40" s="9" t="n"/>
      <c r="F40" s="9" t="n"/>
      <c r="G40" s="9" t="n"/>
      <c r="H40" s="9" t="n"/>
      <c r="I40" s="9" t="n"/>
      <c r="J40" s="3" t="n"/>
      <c r="K40" s="9" t="n"/>
    </row>
    <row r="41">
      <c r="A41" s="4" t="n"/>
      <c r="B41" s="9">
        <f>IF(A41="","",INT((DAY(A41)-1)/7)+1)</f>
        <v/>
      </c>
      <c r="C41" s="9" t="n"/>
      <c r="D41" s="9" t="n"/>
      <c r="E41" s="9" t="n"/>
      <c r="F41" s="9" t="n"/>
      <c r="G41" s="9" t="n"/>
      <c r="H41" s="9" t="n"/>
      <c r="I41" s="9" t="n"/>
      <c r="J41" s="3" t="n"/>
      <c r="K41" s="9" t="n"/>
    </row>
    <row r="42">
      <c r="A42" s="4" t="n"/>
      <c r="B42" s="9">
        <f>IF(A42="","",INT((DAY(A42)-1)/7)+1)</f>
        <v/>
      </c>
      <c r="C42" s="9" t="n"/>
      <c r="D42" s="9" t="n"/>
      <c r="E42" s="9" t="n"/>
      <c r="F42" s="9" t="n"/>
      <c r="G42" s="9" t="n"/>
      <c r="H42" s="9" t="n"/>
      <c r="I42" s="9" t="n"/>
      <c r="J42" s="3" t="n"/>
      <c r="K42" s="9" t="n"/>
    </row>
    <row r="43">
      <c r="A43" s="4" t="n"/>
      <c r="B43" s="9">
        <f>IF(A43="","",INT((DAY(A43)-1)/7)+1)</f>
        <v/>
      </c>
      <c r="C43" s="9" t="n"/>
      <c r="D43" s="9" t="n"/>
      <c r="E43" s="9" t="n"/>
      <c r="F43" s="9" t="n"/>
      <c r="G43" s="9" t="n"/>
      <c r="H43" s="9" t="n"/>
      <c r="I43" s="9" t="n"/>
      <c r="J43" s="3" t="n"/>
      <c r="K43" s="9" t="n"/>
    </row>
    <row r="44">
      <c r="A44" s="4" t="n"/>
      <c r="B44" s="9">
        <f>IF(A44="","",INT((DAY(A44)-1)/7)+1)</f>
        <v/>
      </c>
      <c r="C44" s="9" t="n"/>
      <c r="D44" s="9" t="n"/>
      <c r="E44" s="9" t="n"/>
      <c r="F44" s="9" t="n"/>
      <c r="G44" s="9" t="n"/>
      <c r="H44" s="9" t="n"/>
      <c r="I44" s="9" t="n"/>
      <c r="J44" s="3" t="n"/>
      <c r="K44" s="9" t="n"/>
    </row>
    <row r="45">
      <c r="A45" s="4" t="n"/>
      <c r="B45" s="9">
        <f>IF(A45="","",INT((DAY(A45)-1)/7)+1)</f>
        <v/>
      </c>
      <c r="C45" s="9" t="n"/>
      <c r="D45" s="9" t="n"/>
      <c r="E45" s="9" t="n"/>
      <c r="F45" s="9" t="n"/>
      <c r="G45" s="9" t="n"/>
      <c r="H45" s="9" t="n"/>
      <c r="I45" s="9" t="n"/>
      <c r="J45" s="3" t="n"/>
      <c r="K45" s="9" t="n"/>
    </row>
    <row r="46">
      <c r="A46" s="4" t="n"/>
      <c r="B46" s="9">
        <f>IF(A46="","",INT((DAY(A46)-1)/7)+1)</f>
        <v/>
      </c>
      <c r="C46" s="9" t="n"/>
      <c r="D46" s="9" t="n"/>
      <c r="E46" s="9" t="n"/>
      <c r="F46" s="9" t="n"/>
      <c r="G46" s="9" t="n"/>
      <c r="H46" s="9" t="n"/>
      <c r="I46" s="9" t="n"/>
      <c r="J46" s="3" t="n"/>
      <c r="K46" s="9" t="n"/>
    </row>
    <row r="47">
      <c r="A47" s="4" t="n"/>
      <c r="B47" s="9">
        <f>IF(A47="","",INT((DAY(A47)-1)/7)+1)</f>
        <v/>
      </c>
      <c r="C47" s="9" t="n"/>
      <c r="D47" s="9" t="n"/>
      <c r="E47" s="9" t="n"/>
      <c r="F47" s="9" t="n"/>
      <c r="G47" s="9" t="n"/>
      <c r="H47" s="9" t="n"/>
      <c r="I47" s="9" t="n"/>
      <c r="J47" s="3" t="n"/>
      <c r="K47" s="9" t="n"/>
    </row>
    <row r="48">
      <c r="A48" s="4" t="n"/>
      <c r="B48" s="9">
        <f>IF(A48="","",INT((DAY(A48)-1)/7)+1)</f>
        <v/>
      </c>
      <c r="C48" s="9" t="n"/>
      <c r="D48" s="9" t="n"/>
      <c r="E48" s="9" t="n"/>
      <c r="F48" s="9" t="n"/>
      <c r="G48" s="9" t="n"/>
      <c r="H48" s="9" t="n"/>
      <c r="I48" s="9" t="n"/>
      <c r="J48" s="3" t="n"/>
      <c r="K48" s="9" t="n"/>
    </row>
    <row r="49">
      <c r="A49" s="4" t="n"/>
      <c r="B49" s="9">
        <f>IF(A49="","",INT((DAY(A49)-1)/7)+1)</f>
        <v/>
      </c>
      <c r="C49" s="9" t="n"/>
      <c r="D49" s="9" t="n"/>
      <c r="E49" s="9" t="n"/>
      <c r="F49" s="9" t="n"/>
      <c r="G49" s="9" t="n"/>
      <c r="H49" s="9" t="n"/>
      <c r="I49" s="9" t="n"/>
      <c r="J49" s="3" t="n"/>
      <c r="K49" s="9" t="n"/>
    </row>
    <row r="50">
      <c r="A50" s="4" t="n"/>
      <c r="B50" s="9">
        <f>IF(A50="","",INT((DAY(A50)-1)/7)+1)</f>
        <v/>
      </c>
      <c r="C50" s="9" t="n"/>
      <c r="D50" s="9" t="n"/>
      <c r="E50" s="9" t="n"/>
      <c r="F50" s="9" t="n"/>
      <c r="G50" s="9" t="n"/>
      <c r="H50" s="9" t="n"/>
      <c r="I50" s="9" t="n"/>
      <c r="J50" s="3" t="n"/>
      <c r="K50" s="9" t="n"/>
    </row>
    <row r="51">
      <c r="A51" s="4" t="n"/>
      <c r="B51" s="9">
        <f>IF(A51="","",INT((DAY(A51)-1)/7)+1)</f>
        <v/>
      </c>
      <c r="C51" s="9" t="n"/>
      <c r="D51" s="9" t="n"/>
      <c r="E51" s="9" t="n"/>
      <c r="F51" s="9" t="n"/>
      <c r="G51" s="9" t="n"/>
      <c r="H51" s="9" t="n"/>
      <c r="I51" s="9" t="n"/>
      <c r="J51" s="3" t="n"/>
      <c r="K51" s="9" t="n"/>
    </row>
    <row r="52">
      <c r="A52" s="4" t="n"/>
      <c r="B52" s="9">
        <f>IF(A52="","",INT((DAY(A52)-1)/7)+1)</f>
        <v/>
      </c>
      <c r="C52" s="9" t="n"/>
      <c r="D52" s="9" t="n"/>
      <c r="E52" s="9" t="n"/>
      <c r="F52" s="9" t="n"/>
      <c r="G52" s="9" t="n"/>
      <c r="H52" s="9" t="n"/>
      <c r="I52" s="9" t="n"/>
      <c r="J52" s="3" t="n"/>
      <c r="K52" s="9" t="n"/>
    </row>
    <row r="53">
      <c r="A53" s="4" t="n"/>
      <c r="B53" s="9">
        <f>IF(A53="","",INT((DAY(A53)-1)/7)+1)</f>
        <v/>
      </c>
      <c r="C53" s="9" t="n"/>
      <c r="D53" s="9" t="n"/>
      <c r="E53" s="9" t="n"/>
      <c r="F53" s="9" t="n"/>
      <c r="G53" s="9" t="n"/>
      <c r="H53" s="9" t="n"/>
      <c r="I53" s="9" t="n"/>
      <c r="J53" s="3" t="n"/>
      <c r="K53" s="9" t="n"/>
    </row>
    <row r="54">
      <c r="A54" s="4" t="n"/>
      <c r="B54" s="9">
        <f>IF(A54="","",INT((DAY(A54)-1)/7)+1)</f>
        <v/>
      </c>
      <c r="C54" s="9" t="n"/>
      <c r="D54" s="9" t="n"/>
      <c r="E54" s="9" t="n"/>
      <c r="F54" s="9" t="n"/>
      <c r="G54" s="9" t="n"/>
      <c r="H54" s="9" t="n"/>
      <c r="I54" s="9" t="n"/>
      <c r="J54" s="3" t="n"/>
      <c r="K54" s="9" t="n"/>
    </row>
    <row r="55">
      <c r="A55" s="4" t="n"/>
      <c r="B55" s="9">
        <f>IF(A55="","",INT((DAY(A55)-1)/7)+1)</f>
        <v/>
      </c>
      <c r="C55" s="9" t="n"/>
      <c r="D55" s="9" t="n"/>
      <c r="E55" s="9" t="n"/>
      <c r="F55" s="9" t="n"/>
      <c r="G55" s="9" t="n"/>
      <c r="H55" s="9" t="n"/>
      <c r="I55" s="9" t="n"/>
      <c r="J55" s="3" t="n"/>
      <c r="K55" s="9" t="n"/>
    </row>
    <row r="56">
      <c r="A56" s="4" t="n"/>
      <c r="B56" s="9">
        <f>IF(A56="","",INT((DAY(A56)-1)/7)+1)</f>
        <v/>
      </c>
      <c r="C56" s="9" t="n"/>
      <c r="D56" s="9" t="n"/>
      <c r="E56" s="9" t="n"/>
      <c r="F56" s="9" t="n"/>
      <c r="G56" s="9" t="n"/>
      <c r="H56" s="9" t="n"/>
      <c r="I56" s="9" t="n"/>
      <c r="J56" s="3" t="n"/>
      <c r="K56" s="9" t="n"/>
    </row>
    <row r="57">
      <c r="A57" s="4" t="n"/>
      <c r="B57" s="9">
        <f>IF(A57="","",INT((DAY(A57)-1)/7)+1)</f>
        <v/>
      </c>
      <c r="C57" s="9" t="n"/>
      <c r="D57" s="9" t="n"/>
      <c r="E57" s="9" t="n"/>
      <c r="F57" s="9" t="n"/>
      <c r="G57" s="9" t="n"/>
      <c r="H57" s="9" t="n"/>
      <c r="I57" s="9" t="n"/>
      <c r="J57" s="3" t="n"/>
      <c r="K57" s="9" t="n"/>
    </row>
    <row r="58">
      <c r="A58" s="4" t="n"/>
      <c r="B58" s="9">
        <f>IF(A58="","",INT((DAY(A58)-1)/7)+1)</f>
        <v/>
      </c>
      <c r="C58" s="9" t="n"/>
      <c r="D58" s="9" t="n"/>
      <c r="E58" s="9" t="n"/>
      <c r="F58" s="9" t="n"/>
      <c r="G58" s="9" t="n"/>
      <c r="H58" s="9" t="n"/>
      <c r="I58" s="9" t="n"/>
      <c r="J58" s="3" t="n"/>
      <c r="K58" s="9" t="n"/>
    </row>
    <row r="59">
      <c r="A59" s="4" t="n"/>
      <c r="B59" s="9">
        <f>IF(A59="","",INT((DAY(A59)-1)/7)+1)</f>
        <v/>
      </c>
      <c r="C59" s="9" t="n"/>
      <c r="D59" s="9" t="n"/>
      <c r="E59" s="9" t="n"/>
      <c r="F59" s="9" t="n"/>
      <c r="G59" s="9" t="n"/>
      <c r="H59" s="9" t="n"/>
      <c r="I59" s="9" t="n"/>
      <c r="J59" s="3" t="n"/>
      <c r="K59" s="9" t="n"/>
    </row>
    <row r="60">
      <c r="A60" s="4" t="n"/>
      <c r="B60" s="9">
        <f>IF(A60="","",INT((DAY(A60)-1)/7)+1)</f>
        <v/>
      </c>
      <c r="C60" s="9" t="n"/>
      <c r="D60" s="9" t="n"/>
      <c r="E60" s="9" t="n"/>
      <c r="F60" s="9" t="n"/>
      <c r="G60" s="9" t="n"/>
      <c r="H60" s="9" t="n"/>
      <c r="I60" s="9" t="n"/>
      <c r="J60" s="3" t="n"/>
      <c r="K60" s="9" t="n"/>
    </row>
    <row r="61">
      <c r="A61" s="4" t="n"/>
      <c r="B61" s="9">
        <f>IF(A61="","",INT((DAY(A61)-1)/7)+1)</f>
        <v/>
      </c>
      <c r="C61" s="9" t="n"/>
      <c r="D61" s="9" t="n"/>
      <c r="E61" s="9" t="n"/>
      <c r="F61" s="9" t="n"/>
      <c r="G61" s="9" t="n"/>
      <c r="H61" s="9" t="n"/>
      <c r="I61" s="9" t="n"/>
      <c r="J61" s="3" t="n"/>
      <c r="K61" s="9" t="n"/>
    </row>
    <row r="62">
      <c r="A62" s="4" t="n"/>
      <c r="B62" s="9">
        <f>IF(A62="","",INT((DAY(A62)-1)/7)+1)</f>
        <v/>
      </c>
      <c r="C62" s="9" t="n"/>
      <c r="D62" s="9" t="n"/>
      <c r="E62" s="9" t="n"/>
      <c r="F62" s="9" t="n"/>
      <c r="G62" s="9" t="n"/>
      <c r="H62" s="9" t="n"/>
      <c r="I62" s="9" t="n"/>
      <c r="J62" s="3" t="n"/>
      <c r="K62" s="9" t="n"/>
    </row>
    <row r="63">
      <c r="A63" s="4" t="n"/>
      <c r="B63" s="9">
        <f>IF(A63="","",INT((DAY(A63)-1)/7)+1)</f>
        <v/>
      </c>
      <c r="C63" s="9" t="n"/>
      <c r="D63" s="9" t="n"/>
      <c r="E63" s="9" t="n"/>
      <c r="F63" s="9" t="n"/>
      <c r="G63" s="9" t="n"/>
      <c r="H63" s="9" t="n"/>
      <c r="I63" s="9" t="n"/>
      <c r="J63" s="3" t="n"/>
      <c r="K63" s="9" t="n"/>
    </row>
    <row r="64">
      <c r="A64" s="4" t="n"/>
      <c r="B64" s="9">
        <f>IF(A64="","",INT((DAY(A64)-1)/7)+1)</f>
        <v/>
      </c>
      <c r="C64" s="9" t="n"/>
      <c r="D64" s="9" t="n"/>
      <c r="E64" s="9" t="n"/>
      <c r="F64" s="9" t="n"/>
      <c r="G64" s="9" t="n"/>
      <c r="H64" s="9" t="n"/>
      <c r="I64" s="9" t="n"/>
      <c r="J64" s="3" t="n"/>
      <c r="K64" s="9" t="n"/>
    </row>
    <row r="65">
      <c r="A65" s="4" t="n"/>
      <c r="B65" s="9">
        <f>IF(A65="","",INT((DAY(A65)-1)/7)+1)</f>
        <v/>
      </c>
      <c r="C65" s="9" t="n"/>
      <c r="D65" s="9" t="n"/>
      <c r="E65" s="9" t="n"/>
      <c r="F65" s="9" t="n"/>
      <c r="G65" s="9" t="n"/>
      <c r="H65" s="9" t="n"/>
      <c r="I65" s="9" t="n"/>
      <c r="J65" s="3" t="n"/>
      <c r="K65" s="9" t="n"/>
    </row>
    <row r="66">
      <c r="A66" s="4" t="n"/>
      <c r="B66" s="9">
        <f>IF(A66="","",INT((DAY(A66)-1)/7)+1)</f>
        <v/>
      </c>
      <c r="C66" s="9" t="n"/>
      <c r="D66" s="9" t="n"/>
      <c r="E66" s="9" t="n"/>
      <c r="F66" s="9" t="n"/>
      <c r="G66" s="9" t="n"/>
      <c r="H66" s="9" t="n"/>
      <c r="I66" s="9" t="n"/>
      <c r="J66" s="3" t="n"/>
      <c r="K66" s="9" t="n"/>
    </row>
    <row r="67">
      <c r="A67" s="4" t="n"/>
      <c r="B67" s="9">
        <f>IF(A67="","",INT((DAY(A67)-1)/7)+1)</f>
        <v/>
      </c>
      <c r="C67" s="9" t="n"/>
      <c r="D67" s="9" t="n"/>
      <c r="E67" s="9" t="n"/>
      <c r="F67" s="9" t="n"/>
      <c r="G67" s="9" t="n"/>
      <c r="H67" s="9" t="n"/>
      <c r="I67" s="9" t="n"/>
      <c r="J67" s="3" t="n"/>
      <c r="K67" s="9" t="n"/>
    </row>
    <row r="68">
      <c r="A68" s="4" t="n"/>
      <c r="B68" s="9">
        <f>IF(A68="","",INT((DAY(A68)-1)/7)+1)</f>
        <v/>
      </c>
      <c r="C68" s="9" t="n"/>
      <c r="D68" s="9" t="n"/>
      <c r="E68" s="9" t="n"/>
      <c r="F68" s="9" t="n"/>
      <c r="G68" s="9" t="n"/>
      <c r="H68" s="9" t="n"/>
      <c r="I68" s="9" t="n"/>
      <c r="J68" s="3" t="n"/>
      <c r="K68" s="9" t="n"/>
    </row>
    <row r="69">
      <c r="A69" s="4" t="n"/>
      <c r="B69" s="9">
        <f>IF(A69="","",INT((DAY(A69)-1)/7)+1)</f>
        <v/>
      </c>
      <c r="C69" s="9" t="n"/>
      <c r="D69" s="9" t="n"/>
      <c r="E69" s="9" t="n"/>
      <c r="F69" s="9" t="n"/>
      <c r="G69" s="9" t="n"/>
      <c r="H69" s="9" t="n"/>
      <c r="I69" s="9" t="n"/>
      <c r="J69" s="3" t="n"/>
      <c r="K69" s="9" t="n"/>
    </row>
    <row r="70">
      <c r="A70" s="4" t="n"/>
      <c r="B70" s="9">
        <f>IF(A70="","",INT((DAY(A70)-1)/7)+1)</f>
        <v/>
      </c>
      <c r="C70" s="9" t="n"/>
      <c r="D70" s="9" t="n"/>
      <c r="E70" s="9" t="n"/>
      <c r="F70" s="9" t="n"/>
      <c r="G70" s="9" t="n"/>
      <c r="H70" s="9" t="n"/>
      <c r="I70" s="9" t="n"/>
      <c r="J70" s="3" t="n"/>
      <c r="K70" s="9" t="n"/>
    </row>
    <row r="71">
      <c r="A71" s="4" t="n"/>
      <c r="B71" s="9">
        <f>IF(A71="","",INT((DAY(A71)-1)/7)+1)</f>
        <v/>
      </c>
      <c r="C71" s="9" t="n"/>
      <c r="D71" s="9" t="n"/>
      <c r="E71" s="9" t="n"/>
      <c r="F71" s="9" t="n"/>
      <c r="G71" s="9" t="n"/>
      <c r="H71" s="9" t="n"/>
      <c r="I71" s="9" t="n"/>
      <c r="J71" s="3" t="n"/>
      <c r="K71" s="9" t="n"/>
    </row>
    <row r="72">
      <c r="A72" s="4" t="n"/>
      <c r="B72" s="9">
        <f>IF(A72="","",INT((DAY(A72)-1)/7)+1)</f>
        <v/>
      </c>
      <c r="C72" s="9" t="n"/>
      <c r="D72" s="9" t="n"/>
      <c r="E72" s="9" t="n"/>
      <c r="F72" s="9" t="n"/>
      <c r="G72" s="9" t="n"/>
      <c r="H72" s="9" t="n"/>
      <c r="I72" s="9" t="n"/>
      <c r="J72" s="3" t="n"/>
      <c r="K72" s="9" t="n"/>
    </row>
    <row r="73">
      <c r="A73" s="4" t="n"/>
      <c r="B73" s="9">
        <f>IF(A73="","",INT((DAY(A73)-1)/7)+1)</f>
        <v/>
      </c>
      <c r="C73" s="9" t="n"/>
      <c r="D73" s="9" t="n"/>
      <c r="E73" s="9" t="n"/>
      <c r="F73" s="9" t="n"/>
      <c r="G73" s="9" t="n"/>
      <c r="H73" s="9" t="n"/>
      <c r="I73" s="9" t="n"/>
      <c r="J73" s="3" t="n"/>
      <c r="K73" s="9" t="n"/>
    </row>
    <row r="74">
      <c r="A74" s="4" t="n"/>
      <c r="B74" s="9">
        <f>IF(A74="","",INT((DAY(A74)-1)/7)+1)</f>
        <v/>
      </c>
      <c r="C74" s="9" t="n"/>
      <c r="D74" s="9" t="n"/>
      <c r="E74" s="9" t="n"/>
      <c r="F74" s="9" t="n"/>
      <c r="G74" s="9" t="n"/>
      <c r="H74" s="9" t="n"/>
      <c r="I74" s="9" t="n"/>
      <c r="J74" s="3" t="n"/>
      <c r="K74" s="9" t="n"/>
    </row>
    <row r="75">
      <c r="A75" s="4" t="n"/>
      <c r="B75" s="9">
        <f>IF(A75="","",INT((DAY(A75)-1)/7)+1)</f>
        <v/>
      </c>
      <c r="C75" s="9" t="n"/>
      <c r="D75" s="9" t="n"/>
      <c r="E75" s="9" t="n"/>
      <c r="F75" s="9" t="n"/>
      <c r="G75" s="9" t="n"/>
      <c r="H75" s="9" t="n"/>
      <c r="I75" s="9" t="n"/>
      <c r="J75" s="3" t="n"/>
      <c r="K75" s="9" t="n"/>
    </row>
    <row r="76">
      <c r="A76" s="4" t="n"/>
      <c r="B76" s="9">
        <f>IF(A76="","",INT((DAY(A76)-1)/7)+1)</f>
        <v/>
      </c>
      <c r="C76" s="9" t="n"/>
      <c r="D76" s="9" t="n"/>
      <c r="E76" s="9" t="n"/>
      <c r="F76" s="9" t="n"/>
      <c r="G76" s="9" t="n"/>
      <c r="H76" s="9" t="n"/>
      <c r="I76" s="9" t="n"/>
      <c r="J76" s="3" t="n"/>
      <c r="K76" s="9" t="n"/>
    </row>
    <row r="77">
      <c r="A77" s="4" t="n"/>
      <c r="B77" s="9">
        <f>IF(A77="","",INT((DAY(A77)-1)/7)+1)</f>
        <v/>
      </c>
      <c r="C77" s="9" t="n"/>
      <c r="D77" s="9" t="n"/>
      <c r="E77" s="9" t="n"/>
      <c r="F77" s="9" t="n"/>
      <c r="G77" s="9" t="n"/>
      <c r="H77" s="9" t="n"/>
      <c r="I77" s="9" t="n"/>
      <c r="J77" s="3" t="n"/>
      <c r="K77" s="9" t="n"/>
    </row>
    <row r="78">
      <c r="A78" s="4" t="n"/>
      <c r="B78" s="9">
        <f>IF(A78="","",INT((DAY(A78)-1)/7)+1)</f>
        <v/>
      </c>
      <c r="C78" s="9" t="n"/>
      <c r="D78" s="9" t="n"/>
      <c r="E78" s="9" t="n"/>
      <c r="F78" s="9" t="n"/>
      <c r="G78" s="9" t="n"/>
      <c r="H78" s="9" t="n"/>
      <c r="I78" s="9" t="n"/>
      <c r="J78" s="3" t="n"/>
      <c r="K78" s="9" t="n"/>
    </row>
    <row r="79">
      <c r="A79" s="4" t="n"/>
      <c r="B79" s="9">
        <f>IF(A79="","",INT((DAY(A79)-1)/7)+1)</f>
        <v/>
      </c>
      <c r="C79" s="9" t="n"/>
      <c r="D79" s="9" t="n"/>
      <c r="E79" s="9" t="n"/>
      <c r="F79" s="9" t="n"/>
      <c r="G79" s="9" t="n"/>
      <c r="H79" s="9" t="n"/>
      <c r="I79" s="9" t="n"/>
      <c r="J79" s="3" t="n"/>
      <c r="K79" s="9" t="n"/>
    </row>
    <row r="80">
      <c r="A80" s="4" t="n"/>
      <c r="B80" s="9">
        <f>IF(A80="","",INT((DAY(A80)-1)/7)+1)</f>
        <v/>
      </c>
      <c r="C80" s="9" t="n"/>
      <c r="D80" s="9" t="n"/>
      <c r="E80" s="9" t="n"/>
      <c r="F80" s="9" t="n"/>
      <c r="G80" s="9" t="n"/>
      <c r="H80" s="9" t="n"/>
      <c r="I80" s="9" t="n"/>
      <c r="J80" s="3" t="n"/>
      <c r="K80" s="9" t="n"/>
    </row>
    <row r="81">
      <c r="A81" s="4" t="n"/>
      <c r="B81" s="9">
        <f>IF(A81="","",INT((DAY(A81)-1)/7)+1)</f>
        <v/>
      </c>
      <c r="C81" s="9" t="n"/>
      <c r="D81" s="9" t="n"/>
      <c r="E81" s="9" t="n"/>
      <c r="F81" s="9" t="n"/>
      <c r="G81" s="9" t="n"/>
      <c r="H81" s="9" t="n"/>
      <c r="I81" s="9" t="n"/>
      <c r="J81" s="3" t="n"/>
      <c r="K81" s="9" t="n"/>
    </row>
    <row r="82">
      <c r="A82" s="4" t="n"/>
      <c r="B82" s="9">
        <f>IF(A82="","",INT((DAY(A82)-1)/7)+1)</f>
        <v/>
      </c>
      <c r="C82" s="9" t="n"/>
      <c r="D82" s="9" t="n"/>
      <c r="E82" s="9" t="n"/>
      <c r="F82" s="9" t="n"/>
      <c r="G82" s="9" t="n"/>
      <c r="H82" s="9" t="n"/>
      <c r="I82" s="9" t="n"/>
      <c r="J82" s="3" t="n"/>
      <c r="K82" s="9" t="n"/>
    </row>
    <row r="83">
      <c r="A83" s="4" t="n"/>
      <c r="B83" s="9">
        <f>IF(A83="","",INT((DAY(A83)-1)/7)+1)</f>
        <v/>
      </c>
      <c r="C83" s="9" t="n"/>
      <c r="D83" s="9" t="n"/>
      <c r="E83" s="9" t="n"/>
      <c r="F83" s="9" t="n"/>
      <c r="G83" s="9" t="n"/>
      <c r="H83" s="9" t="n"/>
      <c r="I83" s="9" t="n"/>
      <c r="J83" s="3" t="n"/>
      <c r="K83" s="9" t="n"/>
    </row>
    <row r="84">
      <c r="A84" s="4" t="n"/>
      <c r="B84" s="9">
        <f>IF(A84="","",INT((DAY(A84)-1)/7)+1)</f>
        <v/>
      </c>
      <c r="C84" s="9" t="n"/>
      <c r="D84" s="9" t="n"/>
      <c r="E84" s="9" t="n"/>
      <c r="F84" s="9" t="n"/>
      <c r="G84" s="9" t="n"/>
      <c r="H84" s="9" t="n"/>
      <c r="I84" s="9" t="n"/>
      <c r="J84" s="3" t="n"/>
      <c r="K84" s="9" t="n"/>
    </row>
    <row r="85">
      <c r="A85" s="4" t="n"/>
      <c r="B85" s="9">
        <f>IF(A85="","",INT((DAY(A85)-1)/7)+1)</f>
        <v/>
      </c>
      <c r="C85" s="9" t="n"/>
      <c r="D85" s="9" t="n"/>
      <c r="E85" s="9" t="n"/>
      <c r="F85" s="9" t="n"/>
      <c r="G85" s="9" t="n"/>
      <c r="H85" s="9" t="n"/>
      <c r="I85" s="9" t="n"/>
      <c r="J85" s="3" t="n"/>
      <c r="K85" s="9" t="n"/>
    </row>
    <row r="86">
      <c r="A86" s="4" t="n"/>
      <c r="B86" s="9">
        <f>IF(A86="","",INT((DAY(A86)-1)/7)+1)</f>
        <v/>
      </c>
      <c r="C86" s="9" t="n"/>
      <c r="D86" s="9" t="n"/>
      <c r="E86" s="9" t="n"/>
      <c r="F86" s="9" t="n"/>
      <c r="G86" s="9" t="n"/>
      <c r="H86" s="9" t="n"/>
      <c r="I86" s="9" t="n"/>
      <c r="J86" s="3" t="n"/>
      <c r="K86" s="9" t="n"/>
    </row>
    <row r="87">
      <c r="A87" s="4" t="n"/>
      <c r="B87" s="9">
        <f>IF(A87="","",INT((DAY(A87)-1)/7)+1)</f>
        <v/>
      </c>
      <c r="C87" s="9" t="n"/>
      <c r="D87" s="9" t="n"/>
      <c r="E87" s="9" t="n"/>
      <c r="F87" s="9" t="n"/>
      <c r="G87" s="9" t="n"/>
      <c r="H87" s="9" t="n"/>
      <c r="I87" s="9" t="n"/>
      <c r="J87" s="3" t="n"/>
      <c r="K87" s="9" t="n"/>
    </row>
    <row r="88">
      <c r="A88" s="4" t="n"/>
      <c r="B88" s="9">
        <f>IF(A88="","",INT((DAY(A88)-1)/7)+1)</f>
        <v/>
      </c>
      <c r="C88" s="9" t="n"/>
      <c r="D88" s="9" t="n"/>
      <c r="E88" s="9" t="n"/>
      <c r="F88" s="9" t="n"/>
      <c r="G88" s="9" t="n"/>
      <c r="H88" s="9" t="n"/>
      <c r="I88" s="9" t="n"/>
      <c r="J88" s="3" t="n"/>
      <c r="K88" s="9" t="n"/>
    </row>
    <row r="89">
      <c r="A89" s="4" t="n"/>
      <c r="B89" s="9">
        <f>IF(A89="","",INT((DAY(A89)-1)/7)+1)</f>
        <v/>
      </c>
      <c r="C89" s="9" t="n"/>
      <c r="D89" s="9" t="n"/>
      <c r="E89" s="9" t="n"/>
      <c r="F89" s="9" t="n"/>
      <c r="G89" s="9" t="n"/>
      <c r="H89" s="9" t="n"/>
      <c r="I89" s="9" t="n"/>
      <c r="J89" s="3" t="n"/>
      <c r="K89" s="9" t="n"/>
    </row>
    <row r="90">
      <c r="A90" s="4" t="n"/>
      <c r="B90" s="9">
        <f>IF(A90="","",INT((DAY(A90)-1)/7)+1)</f>
        <v/>
      </c>
      <c r="C90" s="9" t="n"/>
      <c r="D90" s="9" t="n"/>
      <c r="E90" s="9" t="n"/>
      <c r="F90" s="9" t="n"/>
      <c r="G90" s="9" t="n"/>
      <c r="H90" s="9" t="n"/>
      <c r="I90" s="9" t="n"/>
      <c r="J90" s="3" t="n"/>
      <c r="K90" s="9" t="n"/>
    </row>
    <row r="91">
      <c r="A91" s="4" t="n"/>
      <c r="B91" s="9">
        <f>IF(A91="","",INT((DAY(A91)-1)/7)+1)</f>
        <v/>
      </c>
      <c r="C91" s="9" t="n"/>
      <c r="D91" s="9" t="n"/>
      <c r="E91" s="9" t="n"/>
      <c r="F91" s="9" t="n"/>
      <c r="G91" s="9" t="n"/>
      <c r="H91" s="9" t="n"/>
      <c r="I91" s="9" t="n"/>
      <c r="J91" s="3" t="n"/>
      <c r="K91" s="9" t="n"/>
    </row>
    <row r="92">
      <c r="A92" s="4" t="n"/>
      <c r="B92" s="9">
        <f>IF(A92="","",INT((DAY(A92)-1)/7)+1)</f>
        <v/>
      </c>
      <c r="C92" s="9" t="n"/>
      <c r="D92" s="9" t="n"/>
      <c r="E92" s="9" t="n"/>
      <c r="F92" s="9" t="n"/>
      <c r="G92" s="9" t="n"/>
      <c r="H92" s="9" t="n"/>
      <c r="I92" s="9" t="n"/>
      <c r="J92" s="3" t="n"/>
      <c r="K92" s="9" t="n"/>
    </row>
    <row r="93">
      <c r="A93" s="4" t="n"/>
      <c r="B93" s="9">
        <f>IF(A93="","",INT((DAY(A93)-1)/7)+1)</f>
        <v/>
      </c>
      <c r="C93" s="9" t="n"/>
      <c r="D93" s="9" t="n"/>
      <c r="E93" s="9" t="n"/>
      <c r="F93" s="9" t="n"/>
      <c r="G93" s="9" t="n"/>
      <c r="H93" s="9" t="n"/>
      <c r="I93" s="9" t="n"/>
      <c r="J93" s="3" t="n"/>
      <c r="K93" s="9" t="n"/>
    </row>
    <row r="94">
      <c r="A94" s="4" t="n"/>
      <c r="B94" s="9">
        <f>IF(A94="","",INT((DAY(A94)-1)/7)+1)</f>
        <v/>
      </c>
      <c r="C94" s="9" t="n"/>
      <c r="D94" s="9" t="n"/>
      <c r="E94" s="9" t="n"/>
      <c r="F94" s="9" t="n"/>
      <c r="G94" s="9" t="n"/>
      <c r="H94" s="9" t="n"/>
      <c r="I94" s="9" t="n"/>
      <c r="J94" s="3" t="n"/>
      <c r="K94" s="9" t="n"/>
    </row>
    <row r="95">
      <c r="A95" s="4" t="n"/>
      <c r="B95" s="9">
        <f>IF(A95="","",INT((DAY(A95)-1)/7)+1)</f>
        <v/>
      </c>
      <c r="C95" s="9" t="n"/>
      <c r="D95" s="9" t="n"/>
      <c r="E95" s="9" t="n"/>
      <c r="F95" s="9" t="n"/>
      <c r="G95" s="9" t="n"/>
      <c r="H95" s="9" t="n"/>
      <c r="I95" s="9" t="n"/>
      <c r="J95" s="3" t="n"/>
      <c r="K95" s="9" t="n"/>
    </row>
    <row r="96">
      <c r="A96" s="4" t="n"/>
      <c r="B96" s="9">
        <f>IF(A96="","",INT((DAY(A96)-1)/7)+1)</f>
        <v/>
      </c>
      <c r="C96" s="9" t="n"/>
      <c r="D96" s="9" t="n"/>
      <c r="E96" s="9" t="n"/>
      <c r="F96" s="9" t="n"/>
      <c r="G96" s="9" t="n"/>
      <c r="H96" s="9" t="n"/>
      <c r="I96" s="9" t="n"/>
      <c r="J96" s="3" t="n"/>
      <c r="K96" s="9" t="n"/>
    </row>
    <row r="97">
      <c r="A97" s="4" t="n"/>
      <c r="B97" s="9">
        <f>IF(A97="","",INT((DAY(A97)-1)/7)+1)</f>
        <v/>
      </c>
      <c r="C97" s="9" t="n"/>
      <c r="D97" s="9" t="n"/>
      <c r="E97" s="9" t="n"/>
      <c r="F97" s="9" t="n"/>
      <c r="G97" s="9" t="n"/>
      <c r="H97" s="9" t="n"/>
      <c r="I97" s="9" t="n"/>
      <c r="J97" s="3" t="n"/>
      <c r="K97" s="9" t="n"/>
    </row>
    <row r="98">
      <c r="A98" s="4" t="n"/>
      <c r="B98" s="9">
        <f>IF(A98="","",INT((DAY(A98)-1)/7)+1)</f>
        <v/>
      </c>
      <c r="C98" s="9" t="n"/>
      <c r="D98" s="9" t="n"/>
      <c r="E98" s="9" t="n"/>
      <c r="F98" s="9" t="n"/>
      <c r="G98" s="9" t="n"/>
      <c r="H98" s="9" t="n"/>
      <c r="I98" s="9" t="n"/>
      <c r="J98" s="3" t="n"/>
      <c r="K98" s="9" t="n"/>
    </row>
    <row r="99">
      <c r="A99" s="4" t="n"/>
      <c r="B99" s="9">
        <f>IF(A99="","",INT((DAY(A99)-1)/7)+1)</f>
        <v/>
      </c>
      <c r="C99" s="9" t="n"/>
      <c r="D99" s="9" t="n"/>
      <c r="E99" s="9" t="n"/>
      <c r="F99" s="9" t="n"/>
      <c r="G99" s="9" t="n"/>
      <c r="H99" s="9" t="n"/>
      <c r="I99" s="9" t="n"/>
      <c r="J99" s="3" t="n"/>
      <c r="K99" s="9" t="n"/>
    </row>
    <row r="100">
      <c r="A100" s="4" t="n"/>
      <c r="B100" s="9">
        <f>IF(A100="","",INT((DAY(A100)-1)/7)+1)</f>
        <v/>
      </c>
      <c r="C100" s="9" t="n"/>
      <c r="D100" s="9" t="n"/>
      <c r="E100" s="9" t="n"/>
      <c r="F100" s="9" t="n"/>
      <c r="G100" s="9" t="n"/>
      <c r="H100" s="9" t="n"/>
      <c r="I100" s="9" t="n"/>
      <c r="J100" s="3" t="n"/>
      <c r="K100" s="9" t="n"/>
    </row>
    <row r="101">
      <c r="A101" s="4" t="n"/>
      <c r="B101" s="9">
        <f>IF(A101="","",INT((DAY(A101)-1)/7)+1)</f>
        <v/>
      </c>
      <c r="C101" s="9" t="n"/>
      <c r="D101" s="9" t="n"/>
      <c r="E101" s="9" t="n"/>
      <c r="F101" s="9" t="n"/>
      <c r="G101" s="9" t="n"/>
      <c r="H101" s="9" t="n"/>
      <c r="I101" s="9" t="n"/>
      <c r="J101" s="3" t="n"/>
      <c r="K101" s="9" t="n"/>
    </row>
    <row r="102">
      <c r="A102" s="4" t="n"/>
      <c r="B102" s="9">
        <f>IF(A102="","",INT((DAY(A102)-1)/7)+1)</f>
        <v/>
      </c>
      <c r="C102" s="9" t="n"/>
      <c r="D102" s="9" t="n"/>
      <c r="E102" s="9" t="n"/>
      <c r="F102" s="9" t="n"/>
      <c r="G102" s="9" t="n"/>
      <c r="H102" s="9" t="n"/>
      <c r="I102" s="9" t="n"/>
      <c r="J102" s="3" t="n"/>
      <c r="K102" s="9" t="n"/>
    </row>
    <row r="103">
      <c r="A103" s="4" t="n"/>
      <c r="B103" s="9">
        <f>IF(A103="","",INT((DAY(A103)-1)/7)+1)</f>
        <v/>
      </c>
      <c r="C103" s="9" t="n"/>
      <c r="D103" s="9" t="n"/>
      <c r="E103" s="9" t="n"/>
      <c r="F103" s="9" t="n"/>
      <c r="G103" s="9" t="n"/>
      <c r="H103" s="9" t="n"/>
      <c r="I103" s="9" t="n"/>
      <c r="J103" s="3" t="n"/>
      <c r="K103" s="9" t="n"/>
    </row>
    <row r="104">
      <c r="A104" s="4" t="n"/>
      <c r="B104" s="9">
        <f>IF(A104="","",INT((DAY(A104)-1)/7)+1)</f>
        <v/>
      </c>
      <c r="C104" s="9" t="n"/>
      <c r="D104" s="9" t="n"/>
      <c r="E104" s="9" t="n"/>
      <c r="F104" s="9" t="n"/>
      <c r="G104" s="9" t="n"/>
      <c r="H104" s="9" t="n"/>
      <c r="I104" s="9" t="n"/>
      <c r="J104" s="3" t="n"/>
      <c r="K104" s="9" t="n"/>
    </row>
    <row r="105">
      <c r="A105" s="4" t="n"/>
      <c r="B105" s="9">
        <f>IF(A105="","",INT((DAY(A105)-1)/7)+1)</f>
        <v/>
      </c>
      <c r="C105" s="9" t="n"/>
      <c r="D105" s="9" t="n"/>
      <c r="E105" s="9" t="n"/>
      <c r="F105" s="9" t="n"/>
      <c r="G105" s="9" t="n"/>
      <c r="H105" s="9" t="n"/>
      <c r="I105" s="9" t="n"/>
      <c r="J105" s="3" t="n"/>
      <c r="K105" s="9" t="n"/>
    </row>
    <row r="106">
      <c r="A106" s="4" t="n"/>
      <c r="B106" s="9">
        <f>IF(A106="","",INT((DAY(A106)-1)/7)+1)</f>
        <v/>
      </c>
      <c r="C106" s="9" t="n"/>
      <c r="D106" s="9" t="n"/>
      <c r="E106" s="9" t="n"/>
      <c r="F106" s="9" t="n"/>
      <c r="G106" s="9" t="n"/>
      <c r="H106" s="9" t="n"/>
      <c r="I106" s="9" t="n"/>
      <c r="J106" s="3" t="n"/>
      <c r="K106" s="9" t="n"/>
    </row>
    <row r="107">
      <c r="A107" s="4" t="n"/>
      <c r="B107" s="9">
        <f>IF(A107="","",INT((DAY(A107)-1)/7)+1)</f>
        <v/>
      </c>
      <c r="C107" s="9" t="n"/>
      <c r="D107" s="9" t="n"/>
      <c r="E107" s="9" t="n"/>
      <c r="F107" s="9" t="n"/>
      <c r="G107" s="9" t="n"/>
      <c r="H107" s="9" t="n"/>
      <c r="I107" s="9" t="n"/>
      <c r="J107" s="3" t="n"/>
      <c r="K107" s="9" t="n"/>
    </row>
    <row r="108">
      <c r="A108" s="4" t="n"/>
      <c r="B108" s="9">
        <f>IF(A108="","",INT((DAY(A108)-1)/7)+1)</f>
        <v/>
      </c>
      <c r="C108" s="9" t="n"/>
      <c r="D108" s="9" t="n"/>
      <c r="E108" s="9" t="n"/>
      <c r="F108" s="9" t="n"/>
      <c r="G108" s="9" t="n"/>
      <c r="H108" s="9" t="n"/>
      <c r="I108" s="9" t="n"/>
      <c r="J108" s="3" t="n"/>
      <c r="K108" s="9" t="n"/>
    </row>
    <row r="109">
      <c r="A109" s="4" t="n"/>
      <c r="B109" s="9">
        <f>IF(A109="","",INT((DAY(A109)-1)/7)+1)</f>
        <v/>
      </c>
      <c r="C109" s="9" t="n"/>
      <c r="D109" s="9" t="n"/>
      <c r="E109" s="9" t="n"/>
      <c r="F109" s="9" t="n"/>
      <c r="G109" s="9" t="n"/>
      <c r="H109" s="9" t="n"/>
      <c r="I109" s="9" t="n"/>
      <c r="J109" s="3" t="n"/>
      <c r="K109" s="9" t="n"/>
    </row>
    <row r="110">
      <c r="A110" s="4" t="n"/>
      <c r="B110" s="9">
        <f>IF(A110="","",INT((DAY(A110)-1)/7)+1)</f>
        <v/>
      </c>
      <c r="C110" s="9" t="n"/>
      <c r="D110" s="9" t="n"/>
      <c r="E110" s="9" t="n"/>
      <c r="F110" s="9" t="n"/>
      <c r="G110" s="9" t="n"/>
      <c r="H110" s="9" t="n"/>
      <c r="I110" s="9" t="n"/>
      <c r="J110" s="3" t="n"/>
      <c r="K110" s="9" t="n"/>
    </row>
    <row r="111">
      <c r="A111" s="4" t="n"/>
      <c r="B111" s="9">
        <f>IF(A111="","",INT((DAY(A111)-1)/7)+1)</f>
        <v/>
      </c>
      <c r="C111" s="9" t="n"/>
      <c r="D111" s="9" t="n"/>
      <c r="E111" s="9" t="n"/>
      <c r="F111" s="9" t="n"/>
      <c r="G111" s="9" t="n"/>
      <c r="H111" s="9" t="n"/>
      <c r="I111" s="9" t="n"/>
      <c r="J111" s="3" t="n"/>
      <c r="K111" s="9" t="n"/>
    </row>
    <row r="112">
      <c r="A112" s="4" t="n"/>
      <c r="B112" s="9">
        <f>IF(A112="","",INT((DAY(A112)-1)/7)+1)</f>
        <v/>
      </c>
      <c r="C112" s="9" t="n"/>
      <c r="D112" s="9" t="n"/>
      <c r="E112" s="9" t="n"/>
      <c r="F112" s="9" t="n"/>
      <c r="G112" s="9" t="n"/>
      <c r="H112" s="9" t="n"/>
      <c r="I112" s="9" t="n"/>
      <c r="J112" s="3" t="n"/>
      <c r="K112" s="9" t="n"/>
    </row>
    <row r="113">
      <c r="A113" s="4" t="n"/>
      <c r="B113" s="9">
        <f>IF(A113="","",INT((DAY(A113)-1)/7)+1)</f>
        <v/>
      </c>
      <c r="C113" s="9" t="n"/>
      <c r="D113" s="9" t="n"/>
      <c r="E113" s="9" t="n"/>
      <c r="F113" s="9" t="n"/>
      <c r="G113" s="9" t="n"/>
      <c r="H113" s="9" t="n"/>
      <c r="I113" s="9" t="n"/>
      <c r="J113" s="3" t="n"/>
      <c r="K113" s="9" t="n"/>
    </row>
    <row r="114">
      <c r="A114" s="4" t="n"/>
      <c r="B114" s="9">
        <f>IF(A114="","",INT((DAY(A114)-1)/7)+1)</f>
        <v/>
      </c>
      <c r="C114" s="9" t="n"/>
      <c r="D114" s="9" t="n"/>
      <c r="E114" s="9" t="n"/>
      <c r="F114" s="9" t="n"/>
      <c r="G114" s="9" t="n"/>
      <c r="H114" s="9" t="n"/>
      <c r="I114" s="9" t="n"/>
      <c r="J114" s="3" t="n"/>
      <c r="K114" s="9" t="n"/>
    </row>
    <row r="115">
      <c r="A115" s="4" t="n"/>
      <c r="B115" s="9">
        <f>IF(A115="","",INT((DAY(A115)-1)/7)+1)</f>
        <v/>
      </c>
      <c r="C115" s="9" t="n"/>
      <c r="D115" s="9" t="n"/>
      <c r="E115" s="9" t="n"/>
      <c r="F115" s="9" t="n"/>
      <c r="G115" s="9" t="n"/>
      <c r="H115" s="9" t="n"/>
      <c r="I115" s="9" t="n"/>
      <c r="J115" s="3" t="n"/>
      <c r="K115" s="9" t="n"/>
    </row>
    <row r="116">
      <c r="A116" s="4" t="n"/>
      <c r="B116" s="9">
        <f>IF(A116="","",INT((DAY(A116)-1)/7)+1)</f>
        <v/>
      </c>
      <c r="C116" s="9" t="n"/>
      <c r="D116" s="9" t="n"/>
      <c r="E116" s="9" t="n"/>
      <c r="F116" s="9" t="n"/>
      <c r="G116" s="9" t="n"/>
      <c r="H116" s="9" t="n"/>
      <c r="I116" s="9" t="n"/>
      <c r="J116" s="3" t="n"/>
      <c r="K116" s="9" t="n"/>
    </row>
    <row r="117">
      <c r="A117" s="4" t="n"/>
      <c r="B117" s="9">
        <f>IF(A117="","",INT((DAY(A117)-1)/7)+1)</f>
        <v/>
      </c>
      <c r="C117" s="9" t="n"/>
      <c r="D117" s="9" t="n"/>
      <c r="E117" s="9" t="n"/>
      <c r="F117" s="9" t="n"/>
      <c r="G117" s="9" t="n"/>
      <c r="H117" s="9" t="n"/>
      <c r="I117" s="9" t="n"/>
      <c r="J117" s="3" t="n"/>
      <c r="K117" s="9" t="n"/>
    </row>
    <row r="118">
      <c r="A118" s="4" t="n"/>
      <c r="B118" s="9">
        <f>IF(A118="","",INT((DAY(A118)-1)/7)+1)</f>
        <v/>
      </c>
      <c r="C118" s="9" t="n"/>
      <c r="D118" s="9" t="n"/>
      <c r="E118" s="9" t="n"/>
      <c r="F118" s="9" t="n"/>
      <c r="G118" s="9" t="n"/>
      <c r="H118" s="9" t="n"/>
      <c r="I118" s="9" t="n"/>
      <c r="J118" s="3" t="n"/>
      <c r="K118" s="9" t="n"/>
    </row>
    <row r="119">
      <c r="A119" s="4" t="n"/>
      <c r="B119" s="9">
        <f>IF(A119="","",INT((DAY(A119)-1)/7)+1)</f>
        <v/>
      </c>
      <c r="C119" s="9" t="n"/>
      <c r="D119" s="9" t="n"/>
      <c r="E119" s="9" t="n"/>
      <c r="F119" s="9" t="n"/>
      <c r="G119" s="9" t="n"/>
      <c r="H119" s="9" t="n"/>
      <c r="I119" s="9" t="n"/>
      <c r="J119" s="3" t="n"/>
      <c r="K119" s="9" t="n"/>
    </row>
    <row r="120">
      <c r="A120" s="4" t="n"/>
      <c r="B120" s="9">
        <f>IF(A120="","",INT((DAY(A120)-1)/7)+1)</f>
        <v/>
      </c>
      <c r="C120" s="9" t="n"/>
      <c r="D120" s="9" t="n"/>
      <c r="E120" s="9" t="n"/>
      <c r="F120" s="9" t="n"/>
      <c r="G120" s="9" t="n"/>
      <c r="H120" s="9" t="n"/>
      <c r="I120" s="9" t="n"/>
      <c r="J120" s="3" t="n"/>
      <c r="K120" s="9" t="n"/>
    </row>
    <row r="121">
      <c r="A121" s="4" t="n"/>
      <c r="B121" s="9">
        <f>IF(A121="","",INT((DAY(A121)-1)/7)+1)</f>
        <v/>
      </c>
      <c r="C121" s="9" t="n"/>
      <c r="D121" s="9" t="n"/>
      <c r="E121" s="9" t="n"/>
      <c r="F121" s="9" t="n"/>
      <c r="G121" s="9" t="n"/>
      <c r="H121" s="9" t="n"/>
      <c r="I121" s="9" t="n"/>
      <c r="J121" s="3" t="n"/>
      <c r="K121" s="9" t="n"/>
    </row>
    <row r="122">
      <c r="A122" s="4" t="n"/>
      <c r="B122" s="9">
        <f>IF(A122="","",INT((DAY(A122)-1)/7)+1)</f>
        <v/>
      </c>
      <c r="C122" s="9" t="n"/>
      <c r="D122" s="9" t="n"/>
      <c r="E122" s="9" t="n"/>
      <c r="F122" s="9" t="n"/>
      <c r="G122" s="9" t="n"/>
      <c r="H122" s="9" t="n"/>
      <c r="I122" s="9" t="n"/>
      <c r="J122" s="3" t="n"/>
      <c r="K122" s="9" t="n"/>
    </row>
    <row r="123">
      <c r="A123" s="4" t="n"/>
      <c r="B123" s="9">
        <f>IF(A123="","",INT((DAY(A123)-1)/7)+1)</f>
        <v/>
      </c>
      <c r="C123" s="9" t="n"/>
      <c r="D123" s="9" t="n"/>
      <c r="E123" s="9" t="n"/>
      <c r="F123" s="9" t="n"/>
      <c r="G123" s="9" t="n"/>
      <c r="H123" s="9" t="n"/>
      <c r="I123" s="9" t="n"/>
      <c r="J123" s="3" t="n"/>
      <c r="K123" s="9" t="n"/>
    </row>
    <row r="124">
      <c r="A124" s="4" t="n"/>
      <c r="B124" s="9">
        <f>IF(A124="","",INT((DAY(A124)-1)/7)+1)</f>
        <v/>
      </c>
      <c r="C124" s="9" t="n"/>
      <c r="D124" s="9" t="n"/>
      <c r="E124" s="9" t="n"/>
      <c r="F124" s="9" t="n"/>
      <c r="G124" s="9" t="n"/>
      <c r="H124" s="9" t="n"/>
      <c r="I124" s="9" t="n"/>
      <c r="J124" s="3" t="n"/>
      <c r="K124" s="9" t="n"/>
    </row>
    <row r="125">
      <c r="A125" s="4" t="n"/>
      <c r="B125" s="9">
        <f>IF(A125="","",INT((DAY(A125)-1)/7)+1)</f>
        <v/>
      </c>
      <c r="C125" s="9" t="n"/>
      <c r="D125" s="9" t="n"/>
      <c r="E125" s="9" t="n"/>
      <c r="F125" s="9" t="n"/>
      <c r="G125" s="9" t="n"/>
      <c r="H125" s="9" t="n"/>
      <c r="I125" s="9" t="n"/>
      <c r="J125" s="3" t="n"/>
      <c r="K125" s="9" t="n"/>
    </row>
    <row r="126">
      <c r="A126" s="4" t="n"/>
      <c r="B126" s="9">
        <f>IF(A126="","",INT((DAY(A126)-1)/7)+1)</f>
        <v/>
      </c>
      <c r="C126" s="9" t="n"/>
      <c r="D126" s="9" t="n"/>
      <c r="E126" s="9" t="n"/>
      <c r="F126" s="9" t="n"/>
      <c r="G126" s="9" t="n"/>
      <c r="H126" s="9" t="n"/>
      <c r="I126" s="9" t="n"/>
      <c r="J126" s="3" t="n"/>
      <c r="K126" s="9" t="n"/>
    </row>
    <row r="127">
      <c r="A127" s="4" t="n"/>
      <c r="B127" s="9">
        <f>IF(A127="","",INT((DAY(A127)-1)/7)+1)</f>
        <v/>
      </c>
      <c r="C127" s="9" t="n"/>
      <c r="D127" s="9" t="n"/>
      <c r="E127" s="9" t="n"/>
      <c r="F127" s="9" t="n"/>
      <c r="G127" s="9" t="n"/>
      <c r="H127" s="9" t="n"/>
      <c r="I127" s="9" t="n"/>
      <c r="J127" s="3" t="n"/>
      <c r="K127" s="9" t="n"/>
    </row>
    <row r="128">
      <c r="A128" s="4" t="n"/>
      <c r="B128" s="9">
        <f>IF(A128="","",INT((DAY(A128)-1)/7)+1)</f>
        <v/>
      </c>
      <c r="C128" s="9" t="n"/>
      <c r="D128" s="9" t="n"/>
      <c r="E128" s="9" t="n"/>
      <c r="F128" s="9" t="n"/>
      <c r="G128" s="9" t="n"/>
      <c r="H128" s="9" t="n"/>
      <c r="I128" s="9" t="n"/>
      <c r="J128" s="3" t="n"/>
      <c r="K128" s="9" t="n"/>
    </row>
    <row r="129">
      <c r="A129" s="4" t="n"/>
      <c r="B129" s="9">
        <f>IF(A129="","",INT((DAY(A129)-1)/7)+1)</f>
        <v/>
      </c>
      <c r="C129" s="9" t="n"/>
      <c r="D129" s="9" t="n"/>
      <c r="E129" s="9" t="n"/>
      <c r="F129" s="9" t="n"/>
      <c r="G129" s="9" t="n"/>
      <c r="H129" s="9" t="n"/>
      <c r="I129" s="9" t="n"/>
      <c r="J129" s="3" t="n"/>
      <c r="K129" s="9" t="n"/>
    </row>
    <row r="130">
      <c r="A130" s="4" t="n"/>
      <c r="B130" s="9">
        <f>IF(A130="","",INT((DAY(A130)-1)/7)+1)</f>
        <v/>
      </c>
      <c r="C130" s="9" t="n"/>
      <c r="D130" s="9" t="n"/>
      <c r="E130" s="9" t="n"/>
      <c r="F130" s="9" t="n"/>
      <c r="G130" s="9" t="n"/>
      <c r="H130" s="9" t="n"/>
      <c r="I130" s="9" t="n"/>
      <c r="J130" s="3" t="n"/>
      <c r="K130" s="9" t="n"/>
    </row>
    <row r="131">
      <c r="A131" s="4" t="n"/>
      <c r="B131" s="9">
        <f>IF(A131="","",INT((DAY(A131)-1)/7)+1)</f>
        <v/>
      </c>
      <c r="C131" s="9" t="n"/>
      <c r="D131" s="9" t="n"/>
      <c r="E131" s="9" t="n"/>
      <c r="F131" s="9" t="n"/>
      <c r="G131" s="9" t="n"/>
      <c r="H131" s="9" t="n"/>
      <c r="I131" s="9" t="n"/>
      <c r="J131" s="3" t="n"/>
      <c r="K131" s="9" t="n"/>
    </row>
    <row r="132">
      <c r="A132" s="4" t="n"/>
      <c r="B132" s="9">
        <f>IF(A132="","",INT((DAY(A132)-1)/7)+1)</f>
        <v/>
      </c>
      <c r="C132" s="9" t="n"/>
      <c r="D132" s="9" t="n"/>
      <c r="E132" s="9" t="n"/>
      <c r="F132" s="9" t="n"/>
      <c r="G132" s="9" t="n"/>
      <c r="H132" s="9" t="n"/>
      <c r="I132" s="9" t="n"/>
      <c r="J132" s="3" t="n"/>
      <c r="K132" s="9" t="n"/>
    </row>
    <row r="133">
      <c r="A133" s="4" t="n"/>
      <c r="B133" s="9">
        <f>IF(A133="","",INT((DAY(A133)-1)/7)+1)</f>
        <v/>
      </c>
      <c r="C133" s="9" t="n"/>
      <c r="D133" s="9" t="n"/>
      <c r="E133" s="9" t="n"/>
      <c r="F133" s="9" t="n"/>
      <c r="G133" s="9" t="n"/>
      <c r="H133" s="9" t="n"/>
      <c r="I133" s="9" t="n"/>
      <c r="J133" s="3" t="n"/>
      <c r="K133" s="9" t="n"/>
    </row>
    <row r="134">
      <c r="A134" s="4" t="n"/>
      <c r="B134" s="9">
        <f>IF(A134="","",INT((DAY(A134)-1)/7)+1)</f>
        <v/>
      </c>
      <c r="C134" s="9" t="n"/>
      <c r="D134" s="9" t="n"/>
      <c r="E134" s="9" t="n"/>
      <c r="F134" s="9" t="n"/>
      <c r="G134" s="9" t="n"/>
      <c r="H134" s="9" t="n"/>
      <c r="I134" s="9" t="n"/>
      <c r="J134" s="3" t="n"/>
      <c r="K134" s="9" t="n"/>
    </row>
    <row r="135">
      <c r="A135" s="4" t="n"/>
      <c r="B135" s="9">
        <f>IF(A135="","",INT((DAY(A135)-1)/7)+1)</f>
        <v/>
      </c>
      <c r="C135" s="9" t="n"/>
      <c r="D135" s="9" t="n"/>
      <c r="E135" s="9" t="n"/>
      <c r="F135" s="9" t="n"/>
      <c r="G135" s="9" t="n"/>
      <c r="H135" s="9" t="n"/>
      <c r="I135" s="9" t="n"/>
      <c r="J135" s="3" t="n"/>
      <c r="K135" s="9" t="n"/>
    </row>
    <row r="136">
      <c r="A136" s="4" t="n"/>
      <c r="B136" s="9">
        <f>IF(A136="","",INT((DAY(A136)-1)/7)+1)</f>
        <v/>
      </c>
      <c r="C136" s="9" t="n"/>
      <c r="D136" s="9" t="n"/>
      <c r="E136" s="9" t="n"/>
      <c r="F136" s="9" t="n"/>
      <c r="G136" s="9" t="n"/>
      <c r="H136" s="9" t="n"/>
      <c r="I136" s="9" t="n"/>
      <c r="J136" s="3" t="n"/>
      <c r="K136" s="9" t="n"/>
    </row>
    <row r="137">
      <c r="A137" s="4" t="n"/>
      <c r="B137" s="9">
        <f>IF(A137="","",INT((DAY(A137)-1)/7)+1)</f>
        <v/>
      </c>
      <c r="C137" s="9" t="n"/>
      <c r="D137" s="9" t="n"/>
      <c r="E137" s="9" t="n"/>
      <c r="F137" s="9" t="n"/>
      <c r="G137" s="9" t="n"/>
      <c r="H137" s="9" t="n"/>
      <c r="I137" s="9" t="n"/>
      <c r="J137" s="3" t="n"/>
      <c r="K137" s="9" t="n"/>
    </row>
    <row r="138">
      <c r="A138" s="4" t="n"/>
      <c r="B138" s="9">
        <f>IF(A138="","",INT((DAY(A138)-1)/7)+1)</f>
        <v/>
      </c>
      <c r="C138" s="9" t="n"/>
      <c r="D138" s="9" t="n"/>
      <c r="E138" s="9" t="n"/>
      <c r="F138" s="9" t="n"/>
      <c r="G138" s="9" t="n"/>
      <c r="H138" s="9" t="n"/>
      <c r="I138" s="9" t="n"/>
      <c r="J138" s="3" t="n"/>
      <c r="K138" s="9" t="n"/>
    </row>
    <row r="139">
      <c r="A139" s="4" t="n"/>
      <c r="B139" s="9">
        <f>IF(A139="","",INT((DAY(A139)-1)/7)+1)</f>
        <v/>
      </c>
      <c r="C139" s="9" t="n"/>
      <c r="D139" s="9" t="n"/>
      <c r="E139" s="9" t="n"/>
      <c r="F139" s="9" t="n"/>
      <c r="G139" s="9" t="n"/>
      <c r="H139" s="9" t="n"/>
      <c r="I139" s="9" t="n"/>
      <c r="J139" s="3" t="n"/>
      <c r="K139" s="9" t="n"/>
    </row>
    <row r="140">
      <c r="A140" s="4" t="n"/>
      <c r="B140" s="9">
        <f>IF(A140="","",INT((DAY(A140)-1)/7)+1)</f>
        <v/>
      </c>
      <c r="C140" s="9" t="n"/>
      <c r="D140" s="9" t="n"/>
      <c r="E140" s="9" t="n"/>
      <c r="F140" s="9" t="n"/>
      <c r="G140" s="9" t="n"/>
      <c r="H140" s="9" t="n"/>
      <c r="I140" s="9" t="n"/>
      <c r="J140" s="3" t="n"/>
      <c r="K140" s="9" t="n"/>
    </row>
    <row r="141">
      <c r="A141" s="4" t="n"/>
      <c r="B141" s="9">
        <f>IF(A141="","",INT((DAY(A141)-1)/7)+1)</f>
        <v/>
      </c>
      <c r="C141" s="9" t="n"/>
      <c r="D141" s="9" t="n"/>
      <c r="E141" s="9" t="n"/>
      <c r="F141" s="9" t="n"/>
      <c r="G141" s="9" t="n"/>
      <c r="H141" s="9" t="n"/>
      <c r="I141" s="9" t="n"/>
      <c r="J141" s="3" t="n"/>
      <c r="K141" s="9" t="n"/>
    </row>
    <row r="142">
      <c r="A142" s="4" t="n"/>
      <c r="B142" s="9">
        <f>IF(A142="","",INT((DAY(A142)-1)/7)+1)</f>
        <v/>
      </c>
      <c r="C142" s="9" t="n"/>
      <c r="D142" s="9" t="n"/>
      <c r="E142" s="9" t="n"/>
      <c r="F142" s="9" t="n"/>
      <c r="G142" s="9" t="n"/>
      <c r="H142" s="9" t="n"/>
      <c r="I142" s="9" t="n"/>
      <c r="J142" s="3" t="n"/>
      <c r="K142" s="9" t="n"/>
    </row>
    <row r="143">
      <c r="A143" s="4" t="n"/>
      <c r="B143" s="9">
        <f>IF(A143="","",INT((DAY(A143)-1)/7)+1)</f>
        <v/>
      </c>
      <c r="C143" s="9" t="n"/>
      <c r="D143" s="9" t="n"/>
      <c r="E143" s="9" t="n"/>
      <c r="F143" s="9" t="n"/>
      <c r="G143" s="9" t="n"/>
      <c r="H143" s="9" t="n"/>
      <c r="I143" s="9" t="n"/>
      <c r="J143" s="3" t="n"/>
      <c r="K143" s="9" t="n"/>
    </row>
    <row r="144">
      <c r="A144" s="4" t="n"/>
      <c r="B144" s="9">
        <f>IF(A144="","",INT((DAY(A144)-1)/7)+1)</f>
        <v/>
      </c>
      <c r="C144" s="9" t="n"/>
      <c r="D144" s="9" t="n"/>
      <c r="E144" s="9" t="n"/>
      <c r="F144" s="9" t="n"/>
      <c r="G144" s="9" t="n"/>
      <c r="H144" s="9" t="n"/>
      <c r="I144" s="9" t="n"/>
      <c r="J144" s="3" t="n"/>
      <c r="K144" s="9" t="n"/>
    </row>
    <row r="145">
      <c r="A145" s="4" t="n"/>
      <c r="B145" s="9">
        <f>IF(A145="","",INT((DAY(A145)-1)/7)+1)</f>
        <v/>
      </c>
      <c r="C145" s="9" t="n"/>
      <c r="D145" s="9" t="n"/>
      <c r="E145" s="9" t="n"/>
      <c r="F145" s="9" t="n"/>
      <c r="G145" s="9" t="n"/>
      <c r="H145" s="9" t="n"/>
      <c r="I145" s="9" t="n"/>
      <c r="J145" s="3" t="n"/>
      <c r="K145" s="9" t="n"/>
    </row>
    <row r="146">
      <c r="A146" s="4" t="n"/>
      <c r="B146" s="9">
        <f>IF(A146="","",INT((DAY(A146)-1)/7)+1)</f>
        <v/>
      </c>
      <c r="C146" s="9" t="n"/>
      <c r="D146" s="9" t="n"/>
      <c r="E146" s="9" t="n"/>
      <c r="F146" s="9" t="n"/>
      <c r="G146" s="9" t="n"/>
      <c r="H146" s="9" t="n"/>
      <c r="I146" s="9" t="n"/>
      <c r="J146" s="3" t="n"/>
      <c r="K146" s="9" t="n"/>
    </row>
    <row r="147">
      <c r="A147" s="4" t="n"/>
      <c r="B147" s="9">
        <f>IF(A147="","",INT((DAY(A147)-1)/7)+1)</f>
        <v/>
      </c>
      <c r="C147" s="9" t="n"/>
      <c r="D147" s="9" t="n"/>
      <c r="E147" s="9" t="n"/>
      <c r="F147" s="9" t="n"/>
      <c r="G147" s="9" t="n"/>
      <c r="H147" s="9" t="n"/>
      <c r="I147" s="9" t="n"/>
      <c r="J147" s="3" t="n"/>
      <c r="K147" s="9" t="n"/>
    </row>
    <row r="148">
      <c r="A148" s="4" t="n"/>
      <c r="B148" s="9">
        <f>IF(A148="","",INT((DAY(A148)-1)/7)+1)</f>
        <v/>
      </c>
      <c r="C148" s="9" t="n"/>
      <c r="D148" s="9" t="n"/>
      <c r="E148" s="9" t="n"/>
      <c r="F148" s="9" t="n"/>
      <c r="G148" s="9" t="n"/>
      <c r="H148" s="9" t="n"/>
      <c r="I148" s="9" t="n"/>
      <c r="J148" s="3" t="n"/>
      <c r="K148" s="9" t="n"/>
    </row>
    <row r="149">
      <c r="A149" s="4" t="n"/>
      <c r="B149" s="9">
        <f>IF(A149="","",INT((DAY(A149)-1)/7)+1)</f>
        <v/>
      </c>
      <c r="C149" s="9" t="n"/>
      <c r="D149" s="9" t="n"/>
      <c r="E149" s="9" t="n"/>
      <c r="F149" s="9" t="n"/>
      <c r="G149" s="9" t="n"/>
      <c r="H149" s="9" t="n"/>
      <c r="I149" s="9" t="n"/>
      <c r="J149" s="3" t="n"/>
      <c r="K149" s="9" t="n"/>
    </row>
    <row r="150">
      <c r="A150" s="4" t="n"/>
      <c r="B150" s="9">
        <f>IF(A150="","",INT((DAY(A150)-1)/7)+1)</f>
        <v/>
      </c>
      <c r="C150" s="9" t="n"/>
      <c r="D150" s="9" t="n"/>
      <c r="E150" s="9" t="n"/>
      <c r="F150" s="9" t="n"/>
      <c r="G150" s="9" t="n"/>
      <c r="H150" s="9" t="n"/>
      <c r="I150" s="9" t="n"/>
      <c r="J150" s="3" t="n"/>
      <c r="K150" s="9" t="n"/>
    </row>
    <row r="151">
      <c r="A151" s="4" t="n"/>
      <c r="B151" s="9">
        <f>IF(A151="","",INT((DAY(A151)-1)/7)+1)</f>
        <v/>
      </c>
      <c r="C151" s="9" t="n"/>
      <c r="D151" s="9" t="n"/>
      <c r="E151" s="9" t="n"/>
      <c r="F151" s="9" t="n"/>
      <c r="G151" s="9" t="n"/>
      <c r="H151" s="9" t="n"/>
      <c r="I151" s="9" t="n"/>
      <c r="J151" s="3" t="n"/>
      <c r="K151" s="9" t="n"/>
    </row>
    <row r="152">
      <c r="A152" s="4" t="n"/>
      <c r="B152" s="9">
        <f>IF(A152="","",INT((DAY(A152)-1)/7)+1)</f>
        <v/>
      </c>
      <c r="C152" s="9" t="n"/>
      <c r="D152" s="9" t="n"/>
      <c r="E152" s="9" t="n"/>
      <c r="F152" s="9" t="n"/>
      <c r="G152" s="9" t="n"/>
      <c r="H152" s="9" t="n"/>
      <c r="I152" s="9" t="n"/>
      <c r="J152" s="3" t="n"/>
      <c r="K152" s="9" t="n"/>
    </row>
    <row r="153">
      <c r="A153" s="4" t="n"/>
      <c r="B153" s="9">
        <f>IF(A153="","",INT((DAY(A153)-1)/7)+1)</f>
        <v/>
      </c>
      <c r="C153" s="9" t="n"/>
      <c r="D153" s="9" t="n"/>
      <c r="E153" s="9" t="n"/>
      <c r="F153" s="9" t="n"/>
      <c r="G153" s="9" t="n"/>
      <c r="H153" s="9" t="n"/>
      <c r="I153" s="9" t="n"/>
      <c r="J153" s="3" t="n"/>
      <c r="K153" s="9" t="n"/>
    </row>
    <row r="154">
      <c r="A154" s="4" t="n"/>
      <c r="B154" s="9">
        <f>IF(A154="","",INT((DAY(A154)-1)/7)+1)</f>
        <v/>
      </c>
      <c r="C154" s="9" t="n"/>
      <c r="D154" s="9" t="n"/>
      <c r="E154" s="9" t="n"/>
      <c r="F154" s="9" t="n"/>
      <c r="G154" s="9" t="n"/>
      <c r="H154" s="9" t="n"/>
      <c r="I154" s="9" t="n"/>
      <c r="J154" s="3" t="n"/>
      <c r="K154" s="9" t="n"/>
    </row>
    <row r="155">
      <c r="A155" s="4" t="n"/>
      <c r="B155" s="9">
        <f>IF(A155="","",INT((DAY(A155)-1)/7)+1)</f>
        <v/>
      </c>
      <c r="C155" s="9" t="n"/>
      <c r="D155" s="9" t="n"/>
      <c r="E155" s="9" t="n"/>
      <c r="F155" s="9" t="n"/>
      <c r="G155" s="9" t="n"/>
      <c r="H155" s="9" t="n"/>
      <c r="I155" s="9" t="n"/>
      <c r="J155" s="3" t="n"/>
      <c r="K155" s="9" t="n"/>
    </row>
    <row r="156">
      <c r="A156" s="4" t="n"/>
      <c r="B156" s="9">
        <f>IF(A156="","",INT((DAY(A156)-1)/7)+1)</f>
        <v/>
      </c>
      <c r="C156" s="9" t="n"/>
      <c r="D156" s="9" t="n"/>
      <c r="E156" s="9" t="n"/>
      <c r="F156" s="9" t="n"/>
      <c r="G156" s="9" t="n"/>
      <c r="H156" s="9" t="n"/>
      <c r="I156" s="9" t="n"/>
      <c r="J156" s="3" t="n"/>
      <c r="K156" s="9" t="n"/>
    </row>
    <row r="157">
      <c r="A157" s="4" t="n"/>
      <c r="B157" s="9">
        <f>IF(A157="","",INT((DAY(A157)-1)/7)+1)</f>
        <v/>
      </c>
      <c r="C157" s="9" t="n"/>
      <c r="D157" s="9" t="n"/>
      <c r="E157" s="9" t="n"/>
      <c r="F157" s="9" t="n"/>
      <c r="G157" s="9" t="n"/>
      <c r="H157" s="9" t="n"/>
      <c r="I157" s="9" t="n"/>
      <c r="J157" s="3" t="n"/>
      <c r="K157" s="9" t="n"/>
    </row>
    <row r="158">
      <c r="A158" s="4" t="n"/>
      <c r="B158" s="9">
        <f>IF(A158="","",INT((DAY(A158)-1)/7)+1)</f>
        <v/>
      </c>
      <c r="C158" s="9" t="n"/>
      <c r="D158" s="9" t="n"/>
      <c r="E158" s="9" t="n"/>
      <c r="F158" s="9" t="n"/>
      <c r="G158" s="9" t="n"/>
      <c r="H158" s="9" t="n"/>
      <c r="I158" s="9" t="n"/>
      <c r="J158" s="3" t="n"/>
      <c r="K158" s="9" t="n"/>
    </row>
    <row r="159">
      <c r="A159" s="4" t="n"/>
      <c r="B159" s="9">
        <f>IF(A159="","",INT((DAY(A159)-1)/7)+1)</f>
        <v/>
      </c>
      <c r="C159" s="9" t="n"/>
      <c r="D159" s="9" t="n"/>
      <c r="E159" s="9" t="n"/>
      <c r="F159" s="9" t="n"/>
      <c r="G159" s="9" t="n"/>
      <c r="H159" s="9" t="n"/>
      <c r="I159" s="9" t="n"/>
      <c r="J159" s="3" t="n"/>
      <c r="K159" s="9" t="n"/>
    </row>
    <row r="160">
      <c r="A160" s="4" t="n"/>
      <c r="B160" s="9">
        <f>IF(A160="","",INT((DAY(A160)-1)/7)+1)</f>
        <v/>
      </c>
      <c r="C160" s="9" t="n"/>
      <c r="D160" s="9" t="n"/>
      <c r="E160" s="9" t="n"/>
      <c r="F160" s="9" t="n"/>
      <c r="G160" s="9" t="n"/>
      <c r="H160" s="9" t="n"/>
      <c r="I160" s="9" t="n"/>
      <c r="J160" s="3" t="n"/>
      <c r="K160" s="9" t="n"/>
    </row>
    <row r="161">
      <c r="A161" s="4" t="n"/>
      <c r="B161" s="9">
        <f>IF(A161="","",INT((DAY(A161)-1)/7)+1)</f>
        <v/>
      </c>
      <c r="C161" s="9" t="n"/>
      <c r="D161" s="9" t="n"/>
      <c r="E161" s="9" t="n"/>
      <c r="F161" s="9" t="n"/>
      <c r="G161" s="9" t="n"/>
      <c r="H161" s="9" t="n"/>
      <c r="I161" s="9" t="n"/>
      <c r="J161" s="3" t="n"/>
      <c r="K161" s="9" t="n"/>
    </row>
    <row r="162">
      <c r="A162" s="4" t="n"/>
      <c r="B162" s="9">
        <f>IF(A162="","",INT((DAY(A162)-1)/7)+1)</f>
        <v/>
      </c>
      <c r="C162" s="9" t="n"/>
      <c r="D162" s="9" t="n"/>
      <c r="E162" s="9" t="n"/>
      <c r="F162" s="9" t="n"/>
      <c r="G162" s="9" t="n"/>
      <c r="H162" s="9" t="n"/>
      <c r="I162" s="9" t="n"/>
      <c r="J162" s="3" t="n"/>
      <c r="K162" s="9" t="n"/>
    </row>
    <row r="163">
      <c r="A163" s="4" t="n"/>
      <c r="B163" s="9">
        <f>IF(A163="","",INT((DAY(A163)-1)/7)+1)</f>
        <v/>
      </c>
      <c r="C163" s="9" t="n"/>
      <c r="D163" s="9" t="n"/>
      <c r="E163" s="9" t="n"/>
      <c r="F163" s="9" t="n"/>
      <c r="G163" s="9" t="n"/>
      <c r="H163" s="9" t="n"/>
      <c r="I163" s="9" t="n"/>
      <c r="J163" s="3" t="n"/>
      <c r="K163" s="9" t="n"/>
    </row>
    <row r="164">
      <c r="A164" s="4" t="n"/>
      <c r="B164" s="9">
        <f>IF(A164="","",INT((DAY(A164)-1)/7)+1)</f>
        <v/>
      </c>
      <c r="C164" s="9" t="n"/>
      <c r="D164" s="9" t="n"/>
      <c r="E164" s="9" t="n"/>
      <c r="F164" s="9" t="n"/>
      <c r="G164" s="9" t="n"/>
      <c r="H164" s="9" t="n"/>
      <c r="I164" s="9" t="n"/>
      <c r="J164" s="3" t="n"/>
      <c r="K164" s="9" t="n"/>
    </row>
    <row r="165">
      <c r="A165" s="4" t="n"/>
      <c r="B165" s="9">
        <f>IF(A165="","",INT((DAY(A165)-1)/7)+1)</f>
        <v/>
      </c>
      <c r="C165" s="9" t="n"/>
      <c r="D165" s="9" t="n"/>
      <c r="E165" s="9" t="n"/>
      <c r="F165" s="9" t="n"/>
      <c r="G165" s="9" t="n"/>
      <c r="H165" s="9" t="n"/>
      <c r="I165" s="9" t="n"/>
      <c r="J165" s="3" t="n"/>
      <c r="K165" s="9" t="n"/>
    </row>
    <row r="166">
      <c r="A166" s="4" t="n"/>
      <c r="B166" s="9">
        <f>IF(A166="","",INT((DAY(A166)-1)/7)+1)</f>
        <v/>
      </c>
      <c r="C166" s="9" t="n"/>
      <c r="D166" s="9" t="n"/>
      <c r="E166" s="9" t="n"/>
      <c r="F166" s="9" t="n"/>
      <c r="G166" s="9" t="n"/>
      <c r="H166" s="9" t="n"/>
      <c r="I166" s="9" t="n"/>
      <c r="J166" s="3" t="n"/>
      <c r="K166" s="9" t="n"/>
    </row>
    <row r="167">
      <c r="A167" s="4" t="n"/>
      <c r="B167" s="9">
        <f>IF(A167="","",INT((DAY(A167)-1)/7)+1)</f>
        <v/>
      </c>
      <c r="C167" s="9" t="n"/>
      <c r="D167" s="9" t="n"/>
      <c r="E167" s="9" t="n"/>
      <c r="F167" s="9" t="n"/>
      <c r="G167" s="9" t="n"/>
      <c r="H167" s="9" t="n"/>
      <c r="I167" s="9" t="n"/>
      <c r="J167" s="3" t="n"/>
      <c r="K167" s="9" t="n"/>
    </row>
    <row r="168">
      <c r="A168" s="4" t="n"/>
      <c r="B168" s="9">
        <f>IF(A168="","",INT((DAY(A168)-1)/7)+1)</f>
        <v/>
      </c>
      <c r="C168" s="9" t="n"/>
      <c r="D168" s="9" t="n"/>
      <c r="E168" s="9" t="n"/>
      <c r="F168" s="9" t="n"/>
      <c r="G168" s="9" t="n"/>
      <c r="H168" s="9" t="n"/>
      <c r="I168" s="9" t="n"/>
      <c r="J168" s="3" t="n"/>
      <c r="K168" s="9" t="n"/>
    </row>
    <row r="169">
      <c r="A169" s="4" t="n"/>
      <c r="B169" s="9">
        <f>IF(A169="","",INT((DAY(A169)-1)/7)+1)</f>
        <v/>
      </c>
      <c r="C169" s="9" t="n"/>
      <c r="D169" s="9" t="n"/>
      <c r="E169" s="9" t="n"/>
      <c r="F169" s="9" t="n"/>
      <c r="G169" s="9" t="n"/>
      <c r="H169" s="9" t="n"/>
      <c r="I169" s="9" t="n"/>
      <c r="J169" s="3" t="n"/>
      <c r="K169" s="9" t="n"/>
    </row>
    <row r="170">
      <c r="A170" s="4" t="n"/>
      <c r="B170" s="9">
        <f>IF(A170="","",INT((DAY(A170)-1)/7)+1)</f>
        <v/>
      </c>
      <c r="C170" s="9" t="n"/>
      <c r="D170" s="9" t="n"/>
      <c r="E170" s="9" t="n"/>
      <c r="F170" s="9" t="n"/>
      <c r="G170" s="9" t="n"/>
      <c r="H170" s="9" t="n"/>
      <c r="I170" s="9" t="n"/>
      <c r="J170" s="3" t="n"/>
      <c r="K170" s="9" t="n"/>
    </row>
    <row r="171">
      <c r="A171" s="4" t="n"/>
      <c r="B171" s="9">
        <f>IF(A171="","",INT((DAY(A171)-1)/7)+1)</f>
        <v/>
      </c>
      <c r="C171" s="9" t="n"/>
      <c r="D171" s="9" t="n"/>
      <c r="E171" s="9" t="n"/>
      <c r="F171" s="9" t="n"/>
      <c r="G171" s="9" t="n"/>
      <c r="H171" s="9" t="n"/>
      <c r="I171" s="9" t="n"/>
      <c r="J171" s="3" t="n"/>
      <c r="K171" s="9" t="n"/>
    </row>
    <row r="172">
      <c r="A172" s="4" t="n"/>
      <c r="B172" s="9">
        <f>IF(A172="","",INT((DAY(A172)-1)/7)+1)</f>
        <v/>
      </c>
      <c r="C172" s="9" t="n"/>
      <c r="D172" s="9" t="n"/>
      <c r="E172" s="9" t="n"/>
      <c r="F172" s="9" t="n"/>
      <c r="G172" s="9" t="n"/>
      <c r="H172" s="9" t="n"/>
      <c r="I172" s="9" t="n"/>
      <c r="J172" s="3" t="n"/>
      <c r="K172" s="9" t="n"/>
    </row>
    <row r="173">
      <c r="A173" s="4" t="n"/>
      <c r="B173" s="9">
        <f>IF(A173="","",INT((DAY(A173)-1)/7)+1)</f>
        <v/>
      </c>
      <c r="C173" s="9" t="n"/>
      <c r="D173" s="9" t="n"/>
      <c r="E173" s="9" t="n"/>
      <c r="F173" s="9" t="n"/>
      <c r="G173" s="9" t="n"/>
      <c r="H173" s="9" t="n"/>
      <c r="I173" s="9" t="n"/>
      <c r="J173" s="3" t="n"/>
      <c r="K173" s="9" t="n"/>
    </row>
    <row r="174">
      <c r="A174" s="4" t="n"/>
      <c r="B174" s="9">
        <f>IF(A174="","",INT((DAY(A174)-1)/7)+1)</f>
        <v/>
      </c>
      <c r="C174" s="9" t="n"/>
      <c r="D174" s="9" t="n"/>
      <c r="E174" s="9" t="n"/>
      <c r="F174" s="9" t="n"/>
      <c r="G174" s="9" t="n"/>
      <c r="H174" s="9" t="n"/>
      <c r="I174" s="9" t="n"/>
      <c r="J174" s="3" t="n"/>
      <c r="K174" s="9" t="n"/>
    </row>
    <row r="175">
      <c r="A175" s="4" t="n"/>
      <c r="B175" s="9">
        <f>IF(A175="","",INT((DAY(A175)-1)/7)+1)</f>
        <v/>
      </c>
      <c r="C175" s="9" t="n"/>
      <c r="D175" s="9" t="n"/>
      <c r="E175" s="9" t="n"/>
      <c r="F175" s="9" t="n"/>
      <c r="G175" s="9" t="n"/>
      <c r="H175" s="9" t="n"/>
      <c r="I175" s="9" t="n"/>
      <c r="J175" s="3" t="n"/>
      <c r="K175" s="9" t="n"/>
    </row>
    <row r="176">
      <c r="A176" s="4" t="n"/>
      <c r="B176" s="9">
        <f>IF(A176="","",INT((DAY(A176)-1)/7)+1)</f>
        <v/>
      </c>
      <c r="C176" s="9" t="n"/>
      <c r="D176" s="9" t="n"/>
      <c r="E176" s="9" t="n"/>
      <c r="F176" s="9" t="n"/>
      <c r="G176" s="9" t="n"/>
      <c r="H176" s="9" t="n"/>
      <c r="I176" s="9" t="n"/>
      <c r="J176" s="3" t="n"/>
      <c r="K176" s="9" t="n"/>
    </row>
    <row r="177">
      <c r="A177" s="4" t="n"/>
      <c r="B177" s="9">
        <f>IF(A177="","",INT((DAY(A177)-1)/7)+1)</f>
        <v/>
      </c>
      <c r="C177" s="9" t="n"/>
      <c r="D177" s="9" t="n"/>
      <c r="E177" s="9" t="n"/>
      <c r="F177" s="9" t="n"/>
      <c r="G177" s="9" t="n"/>
      <c r="H177" s="9" t="n"/>
      <c r="I177" s="9" t="n"/>
      <c r="J177" s="3" t="n"/>
      <c r="K177" s="9" t="n"/>
    </row>
    <row r="178">
      <c r="A178" s="4" t="n"/>
      <c r="B178" s="9">
        <f>IF(A178="","",INT((DAY(A178)-1)/7)+1)</f>
        <v/>
      </c>
      <c r="C178" s="9" t="n"/>
      <c r="D178" s="9" t="n"/>
      <c r="E178" s="9" t="n"/>
      <c r="F178" s="9" t="n"/>
      <c r="G178" s="9" t="n"/>
      <c r="H178" s="9" t="n"/>
      <c r="I178" s="9" t="n"/>
      <c r="J178" s="3" t="n"/>
      <c r="K178" s="9" t="n"/>
    </row>
    <row r="179">
      <c r="A179" s="4" t="n"/>
      <c r="B179" s="9">
        <f>IF(A179="","",INT((DAY(A179)-1)/7)+1)</f>
        <v/>
      </c>
      <c r="C179" s="9" t="n"/>
      <c r="D179" s="9" t="n"/>
      <c r="E179" s="9" t="n"/>
      <c r="F179" s="9" t="n"/>
      <c r="G179" s="9" t="n"/>
      <c r="H179" s="9" t="n"/>
      <c r="I179" s="9" t="n"/>
      <c r="J179" s="3" t="n"/>
      <c r="K179" s="9" t="n"/>
    </row>
    <row r="180">
      <c r="A180" s="4" t="n"/>
      <c r="B180" s="9">
        <f>IF(A180="","",INT((DAY(A180)-1)/7)+1)</f>
        <v/>
      </c>
      <c r="C180" s="9" t="n"/>
      <c r="D180" s="9" t="n"/>
      <c r="E180" s="9" t="n"/>
      <c r="F180" s="9" t="n"/>
      <c r="G180" s="9" t="n"/>
      <c r="H180" s="9" t="n"/>
      <c r="I180" s="9" t="n"/>
      <c r="J180" s="3" t="n"/>
      <c r="K180" s="9" t="n"/>
    </row>
    <row r="181">
      <c r="A181" s="4" t="n"/>
      <c r="B181" s="9">
        <f>IF(A181="","",INT((DAY(A181)-1)/7)+1)</f>
        <v/>
      </c>
      <c r="C181" s="9" t="n"/>
      <c r="D181" s="9" t="n"/>
      <c r="E181" s="9" t="n"/>
      <c r="F181" s="9" t="n"/>
      <c r="G181" s="9" t="n"/>
      <c r="H181" s="9" t="n"/>
      <c r="I181" s="9" t="n"/>
      <c r="J181" s="3" t="n"/>
      <c r="K181" s="9" t="n"/>
    </row>
    <row r="182">
      <c r="A182" s="4" t="n"/>
      <c r="B182" s="9">
        <f>IF(A182="","",INT((DAY(A182)-1)/7)+1)</f>
        <v/>
      </c>
      <c r="C182" s="9" t="n"/>
      <c r="D182" s="9" t="n"/>
      <c r="E182" s="9" t="n"/>
      <c r="F182" s="9" t="n"/>
      <c r="G182" s="9" t="n"/>
      <c r="H182" s="9" t="n"/>
      <c r="I182" s="9" t="n"/>
      <c r="J182" s="3" t="n"/>
      <c r="K182" s="9" t="n"/>
    </row>
    <row r="183">
      <c r="A183" s="4" t="n"/>
      <c r="B183" s="9">
        <f>IF(A183="","",INT((DAY(A183)-1)/7)+1)</f>
        <v/>
      </c>
      <c r="C183" s="9" t="n"/>
      <c r="D183" s="9" t="n"/>
      <c r="E183" s="9" t="n"/>
      <c r="F183" s="9" t="n"/>
      <c r="G183" s="9" t="n"/>
      <c r="H183" s="9" t="n"/>
      <c r="I183" s="9" t="n"/>
      <c r="J183" s="3" t="n"/>
      <c r="K183" s="9" t="n"/>
    </row>
    <row r="184">
      <c r="A184" s="4" t="n"/>
      <c r="B184" s="9">
        <f>IF(A184="","",INT((DAY(A184)-1)/7)+1)</f>
        <v/>
      </c>
      <c r="C184" s="9" t="n"/>
      <c r="D184" s="9" t="n"/>
      <c r="E184" s="9" t="n"/>
      <c r="F184" s="9" t="n"/>
      <c r="G184" s="9" t="n"/>
      <c r="H184" s="9" t="n"/>
      <c r="I184" s="9" t="n"/>
      <c r="J184" s="3" t="n"/>
      <c r="K184" s="9" t="n"/>
    </row>
    <row r="185">
      <c r="A185" s="4" t="n"/>
      <c r="B185" s="9">
        <f>IF(A185="","",INT((DAY(A185)-1)/7)+1)</f>
        <v/>
      </c>
      <c r="C185" s="9" t="n"/>
      <c r="D185" s="9" t="n"/>
      <c r="E185" s="9" t="n"/>
      <c r="F185" s="9" t="n"/>
      <c r="G185" s="9" t="n"/>
      <c r="H185" s="9" t="n"/>
      <c r="I185" s="9" t="n"/>
      <c r="J185" s="3" t="n"/>
      <c r="K185" s="9" t="n"/>
    </row>
    <row r="186">
      <c r="A186" s="4" t="n"/>
      <c r="B186" s="9">
        <f>IF(A186="","",INT((DAY(A186)-1)/7)+1)</f>
        <v/>
      </c>
      <c r="C186" s="9" t="n"/>
      <c r="D186" s="9" t="n"/>
      <c r="E186" s="9" t="n"/>
      <c r="F186" s="9" t="n"/>
      <c r="G186" s="9" t="n"/>
      <c r="H186" s="9" t="n"/>
      <c r="I186" s="9" t="n"/>
      <c r="J186" s="3" t="n"/>
      <c r="K186" s="9" t="n"/>
    </row>
    <row r="187">
      <c r="A187" s="4" t="n"/>
      <c r="B187" s="9">
        <f>IF(A187="","",INT((DAY(A187)-1)/7)+1)</f>
        <v/>
      </c>
      <c r="C187" s="9" t="n"/>
      <c r="D187" s="9" t="n"/>
      <c r="E187" s="9" t="n"/>
      <c r="F187" s="9" t="n"/>
      <c r="G187" s="9" t="n"/>
      <c r="H187" s="9" t="n"/>
      <c r="I187" s="9" t="n"/>
      <c r="J187" s="3" t="n"/>
      <c r="K187" s="9" t="n"/>
    </row>
    <row r="188">
      <c r="A188" s="4" t="n"/>
      <c r="B188" s="9">
        <f>IF(A188="","",INT((DAY(A188)-1)/7)+1)</f>
        <v/>
      </c>
      <c r="C188" s="9" t="n"/>
      <c r="D188" s="9" t="n"/>
      <c r="E188" s="9" t="n"/>
      <c r="F188" s="9" t="n"/>
      <c r="G188" s="9" t="n"/>
      <c r="H188" s="9" t="n"/>
      <c r="I188" s="9" t="n"/>
      <c r="J188" s="3" t="n"/>
      <c r="K188" s="9" t="n"/>
    </row>
    <row r="189">
      <c r="A189" s="4" t="n"/>
      <c r="B189" s="9">
        <f>IF(A189="","",INT((DAY(A189)-1)/7)+1)</f>
        <v/>
      </c>
      <c r="C189" s="9" t="n"/>
      <c r="D189" s="9" t="n"/>
      <c r="E189" s="9" t="n"/>
      <c r="F189" s="9" t="n"/>
      <c r="G189" s="9" t="n"/>
      <c r="H189" s="9" t="n"/>
      <c r="I189" s="9" t="n"/>
      <c r="J189" s="3" t="n"/>
      <c r="K189" s="9" t="n"/>
    </row>
    <row r="190">
      <c r="A190" s="4" t="n"/>
      <c r="B190" s="9">
        <f>IF(A190="","",INT((DAY(A190)-1)/7)+1)</f>
        <v/>
      </c>
      <c r="C190" s="9" t="n"/>
      <c r="D190" s="9" t="n"/>
      <c r="E190" s="9" t="n"/>
      <c r="F190" s="9" t="n"/>
      <c r="G190" s="9" t="n"/>
      <c r="H190" s="9" t="n"/>
      <c r="I190" s="9" t="n"/>
      <c r="J190" s="3" t="n"/>
      <c r="K190" s="9" t="n"/>
    </row>
    <row r="191">
      <c r="A191" s="4" t="n"/>
      <c r="B191" s="9">
        <f>IF(A191="","",INT((DAY(A191)-1)/7)+1)</f>
        <v/>
      </c>
      <c r="C191" s="9" t="n"/>
      <c r="D191" s="9" t="n"/>
      <c r="E191" s="9" t="n"/>
      <c r="F191" s="9" t="n"/>
      <c r="G191" s="9" t="n"/>
      <c r="H191" s="9" t="n"/>
      <c r="I191" s="9" t="n"/>
      <c r="J191" s="3" t="n"/>
      <c r="K191" s="9" t="n"/>
    </row>
    <row r="192">
      <c r="A192" s="4" t="n"/>
      <c r="B192" s="9">
        <f>IF(A192="","",INT((DAY(A192)-1)/7)+1)</f>
        <v/>
      </c>
      <c r="C192" s="9" t="n"/>
      <c r="D192" s="9" t="n"/>
      <c r="E192" s="9" t="n"/>
      <c r="F192" s="9" t="n"/>
      <c r="G192" s="9" t="n"/>
      <c r="H192" s="9" t="n"/>
      <c r="I192" s="9" t="n"/>
      <c r="J192" s="3" t="n"/>
      <c r="K192" s="9" t="n"/>
    </row>
    <row r="193">
      <c r="A193" s="4" t="n"/>
      <c r="B193" s="9">
        <f>IF(A193="","",INT((DAY(A193)-1)/7)+1)</f>
        <v/>
      </c>
      <c r="C193" s="9" t="n"/>
      <c r="D193" s="9" t="n"/>
      <c r="E193" s="9" t="n"/>
      <c r="F193" s="9" t="n"/>
      <c r="G193" s="9" t="n"/>
      <c r="H193" s="9" t="n"/>
      <c r="I193" s="9" t="n"/>
      <c r="J193" s="3" t="n"/>
      <c r="K193" s="9" t="n"/>
    </row>
    <row r="194">
      <c r="A194" s="4" t="n"/>
      <c r="B194" s="9">
        <f>IF(A194="","",INT((DAY(A194)-1)/7)+1)</f>
        <v/>
      </c>
      <c r="C194" s="9" t="n"/>
      <c r="D194" s="9" t="n"/>
      <c r="E194" s="9" t="n"/>
      <c r="F194" s="9" t="n"/>
      <c r="G194" s="9" t="n"/>
      <c r="H194" s="9" t="n"/>
      <c r="I194" s="9" t="n"/>
      <c r="J194" s="3" t="n"/>
      <c r="K194" s="9" t="n"/>
    </row>
    <row r="195">
      <c r="A195" s="4" t="n"/>
      <c r="B195" s="9">
        <f>IF(A195="","",INT((DAY(A195)-1)/7)+1)</f>
        <v/>
      </c>
      <c r="C195" s="9" t="n"/>
      <c r="D195" s="9" t="n"/>
      <c r="E195" s="9" t="n"/>
      <c r="F195" s="9" t="n"/>
      <c r="G195" s="9" t="n"/>
      <c r="H195" s="9" t="n"/>
      <c r="I195" s="9" t="n"/>
      <c r="J195" s="3" t="n"/>
      <c r="K195" s="9" t="n"/>
    </row>
    <row r="196">
      <c r="A196" s="4" t="n"/>
      <c r="B196" s="9">
        <f>IF(A196="","",INT((DAY(A196)-1)/7)+1)</f>
        <v/>
      </c>
      <c r="C196" s="9" t="n"/>
      <c r="D196" s="9" t="n"/>
      <c r="E196" s="9" t="n"/>
      <c r="F196" s="9" t="n"/>
      <c r="G196" s="9" t="n"/>
      <c r="H196" s="9" t="n"/>
      <c r="I196" s="9" t="n"/>
      <c r="J196" s="3" t="n"/>
      <c r="K196" s="9" t="n"/>
    </row>
    <row r="197">
      <c r="A197" s="4" t="n"/>
      <c r="B197" s="9">
        <f>IF(A197="","",INT((DAY(A197)-1)/7)+1)</f>
        <v/>
      </c>
      <c r="C197" s="9" t="n"/>
      <c r="D197" s="9" t="n"/>
      <c r="E197" s="9" t="n"/>
      <c r="F197" s="9" t="n"/>
      <c r="G197" s="9" t="n"/>
      <c r="H197" s="9" t="n"/>
      <c r="I197" s="9" t="n"/>
      <c r="J197" s="3" t="n"/>
      <c r="K197" s="9" t="n"/>
    </row>
    <row r="198">
      <c r="A198" s="4" t="n"/>
      <c r="B198" s="9">
        <f>IF(A198="","",INT((DAY(A198)-1)/7)+1)</f>
        <v/>
      </c>
      <c r="C198" s="9" t="n"/>
      <c r="D198" s="9" t="n"/>
      <c r="E198" s="9" t="n"/>
      <c r="F198" s="9" t="n"/>
      <c r="G198" s="9" t="n"/>
      <c r="H198" s="9" t="n"/>
      <c r="I198" s="9" t="n"/>
      <c r="J198" s="3" t="n"/>
      <c r="K198" s="9" t="n"/>
    </row>
    <row r="199">
      <c r="A199" s="4" t="n"/>
      <c r="B199" s="9">
        <f>IF(A199="","",INT((DAY(A199)-1)/7)+1)</f>
        <v/>
      </c>
      <c r="C199" s="9" t="n"/>
      <c r="D199" s="9" t="n"/>
      <c r="E199" s="9" t="n"/>
      <c r="F199" s="9" t="n"/>
      <c r="G199" s="9" t="n"/>
      <c r="H199" s="9" t="n"/>
      <c r="I199" s="9" t="n"/>
      <c r="J199" s="3" t="n"/>
      <c r="K199" s="9" t="n"/>
    </row>
    <row r="200">
      <c r="A200" s="4" t="n"/>
      <c r="B200" s="9">
        <f>IF(A200="","",INT((DAY(A200)-1)/7)+1)</f>
        <v/>
      </c>
      <c r="C200" s="9" t="n"/>
      <c r="D200" s="9" t="n"/>
      <c r="E200" s="9" t="n"/>
      <c r="F200" s="9" t="n"/>
      <c r="G200" s="9" t="n"/>
      <c r="H200" s="9" t="n"/>
      <c r="I200" s="9" t="n"/>
      <c r="J200" s="3" t="n"/>
      <c r="K200" s="9" t="n"/>
    </row>
    <row r="201">
      <c r="A201" s="4" t="n"/>
      <c r="B201" s="9">
        <f>IF(A201="","",INT((DAY(A201)-1)/7)+1)</f>
        <v/>
      </c>
      <c r="C201" s="9" t="n"/>
      <c r="D201" s="9" t="n"/>
      <c r="E201" s="9" t="n"/>
      <c r="F201" s="9" t="n"/>
      <c r="G201" s="9" t="n"/>
      <c r="H201" s="9" t="n"/>
      <c r="I201" s="9" t="n"/>
      <c r="J201" s="3" t="n"/>
      <c r="K201" s="9" t="n"/>
    </row>
    <row r="202">
      <c r="A202" s="4" t="n"/>
      <c r="B202" s="9">
        <f>IF(A202="","",INT((DAY(A202)-1)/7)+1)</f>
        <v/>
      </c>
      <c r="C202" s="9" t="n"/>
      <c r="D202" s="9" t="n"/>
      <c r="E202" s="9" t="n"/>
      <c r="F202" s="9" t="n"/>
      <c r="G202" s="9" t="n"/>
      <c r="H202" s="9" t="n"/>
      <c r="I202" s="9" t="n"/>
      <c r="J202" s="3" t="n"/>
      <c r="K202" s="9" t="n"/>
    </row>
    <row r="203">
      <c r="A203" s="4" t="n"/>
      <c r="B203" s="9">
        <f>IF(A203="","",INT((DAY(A203)-1)/7)+1)</f>
        <v/>
      </c>
      <c r="C203" s="9" t="n"/>
      <c r="D203" s="9" t="n"/>
      <c r="E203" s="9" t="n"/>
      <c r="F203" s="9" t="n"/>
      <c r="G203" s="9" t="n"/>
      <c r="H203" s="9" t="n"/>
      <c r="I203" s="9" t="n"/>
      <c r="J203" s="3" t="n"/>
      <c r="K203" s="9" t="n"/>
    </row>
    <row r="204">
      <c r="A204" s="4" t="n"/>
      <c r="B204" s="9">
        <f>IF(A204="","",INT((DAY(A204)-1)/7)+1)</f>
        <v/>
      </c>
      <c r="C204" s="9" t="n"/>
      <c r="D204" s="9" t="n"/>
      <c r="E204" s="9" t="n"/>
      <c r="F204" s="9" t="n"/>
      <c r="G204" s="9" t="n"/>
      <c r="H204" s="9" t="n"/>
      <c r="I204" s="9" t="n"/>
      <c r="J204" s="3" t="n"/>
      <c r="K204" s="9" t="n"/>
    </row>
    <row r="205">
      <c r="A205" s="4" t="n"/>
      <c r="B205" s="9">
        <f>IF(A205="","",INT((DAY(A205)-1)/7)+1)</f>
        <v/>
      </c>
      <c r="C205" s="9" t="n"/>
      <c r="D205" s="9" t="n"/>
      <c r="E205" s="9" t="n"/>
      <c r="F205" s="9" t="n"/>
      <c r="G205" s="9" t="n"/>
      <c r="H205" s="9" t="n"/>
      <c r="I205" s="9" t="n"/>
      <c r="J205" s="3" t="n"/>
      <c r="K205" s="9" t="n"/>
    </row>
    <row r="206">
      <c r="A206" s="4" t="n"/>
      <c r="B206" s="9">
        <f>IF(A206="","",INT((DAY(A206)-1)/7)+1)</f>
        <v/>
      </c>
      <c r="C206" s="9" t="n"/>
      <c r="D206" s="9" t="n"/>
      <c r="E206" s="9" t="n"/>
      <c r="F206" s="9" t="n"/>
      <c r="G206" s="9" t="n"/>
      <c r="H206" s="9" t="n"/>
      <c r="I206" s="9" t="n"/>
      <c r="J206" s="3" t="n"/>
      <c r="K206" s="9" t="n"/>
    </row>
    <row r="207">
      <c r="A207" s="4" t="n"/>
      <c r="B207" s="9">
        <f>IF(A207="","",INT((DAY(A207)-1)/7)+1)</f>
        <v/>
      </c>
      <c r="C207" s="9" t="n"/>
      <c r="D207" s="9" t="n"/>
      <c r="E207" s="9" t="n"/>
      <c r="F207" s="9" t="n"/>
      <c r="G207" s="9" t="n"/>
      <c r="H207" s="9" t="n"/>
      <c r="I207" s="9" t="n"/>
      <c r="J207" s="3" t="n"/>
      <c r="K207" s="9" t="n"/>
    </row>
    <row r="208">
      <c r="A208" s="4" t="n"/>
      <c r="B208" s="9">
        <f>IF(A208="","",INT((DAY(A208)-1)/7)+1)</f>
        <v/>
      </c>
      <c r="C208" s="9" t="n"/>
      <c r="D208" s="9" t="n"/>
      <c r="E208" s="9" t="n"/>
      <c r="F208" s="9" t="n"/>
      <c r="G208" s="9" t="n"/>
      <c r="H208" s="9" t="n"/>
      <c r="I208" s="9" t="n"/>
      <c r="J208" s="3" t="n"/>
      <c r="K208" s="9" t="n"/>
    </row>
    <row r="209">
      <c r="A209" s="4" t="n"/>
      <c r="B209" s="9">
        <f>IF(A209="","",INT((DAY(A209)-1)/7)+1)</f>
        <v/>
      </c>
      <c r="C209" s="9" t="n"/>
      <c r="D209" s="9" t="n"/>
      <c r="E209" s="9" t="n"/>
      <c r="F209" s="9" t="n"/>
      <c r="G209" s="9" t="n"/>
      <c r="H209" s="9" t="n"/>
      <c r="I209" s="9" t="n"/>
      <c r="J209" s="3" t="n"/>
      <c r="K209" s="9" t="n"/>
    </row>
    <row r="210">
      <c r="A210" s="4" t="n"/>
      <c r="B210" s="9">
        <f>IF(A210="","",INT((DAY(A210)-1)/7)+1)</f>
        <v/>
      </c>
      <c r="C210" s="9" t="n"/>
      <c r="D210" s="9" t="n"/>
      <c r="E210" s="9" t="n"/>
      <c r="F210" s="9" t="n"/>
      <c r="G210" s="9" t="n"/>
      <c r="H210" s="9" t="n"/>
      <c r="I210" s="9" t="n"/>
      <c r="J210" s="3" t="n"/>
      <c r="K210" s="9" t="n"/>
    </row>
    <row r="211">
      <c r="A211" s="4" t="n"/>
      <c r="B211" s="9">
        <f>IF(A211="","",INT((DAY(A211)-1)/7)+1)</f>
        <v/>
      </c>
      <c r="C211" s="9" t="n"/>
      <c r="D211" s="9" t="n"/>
      <c r="E211" s="9" t="n"/>
      <c r="F211" s="9" t="n"/>
      <c r="G211" s="9" t="n"/>
      <c r="H211" s="9" t="n"/>
      <c r="I211" s="9" t="n"/>
      <c r="J211" s="3" t="n"/>
      <c r="K211" s="9" t="n"/>
    </row>
    <row r="212">
      <c r="A212" s="4" t="n"/>
      <c r="B212" s="9">
        <f>IF(A212="","",INT((DAY(A212)-1)/7)+1)</f>
        <v/>
      </c>
      <c r="C212" s="9" t="n"/>
      <c r="D212" s="9" t="n"/>
      <c r="E212" s="9" t="n"/>
      <c r="F212" s="9" t="n"/>
      <c r="G212" s="9" t="n"/>
      <c r="H212" s="9" t="n"/>
      <c r="I212" s="9" t="n"/>
      <c r="J212" s="3" t="n"/>
      <c r="K212" s="9" t="n"/>
    </row>
    <row r="213">
      <c r="A213" s="4" t="n"/>
      <c r="B213" s="9">
        <f>IF(A213="","",INT((DAY(A213)-1)/7)+1)</f>
        <v/>
      </c>
      <c r="C213" s="9" t="n"/>
      <c r="D213" s="9" t="n"/>
      <c r="E213" s="9" t="n"/>
      <c r="F213" s="9" t="n"/>
      <c r="G213" s="9" t="n"/>
      <c r="H213" s="9" t="n"/>
      <c r="I213" s="9" t="n"/>
      <c r="J213" s="3" t="n"/>
      <c r="K213" s="9" t="n"/>
    </row>
    <row r="214">
      <c r="A214" s="4" t="n"/>
      <c r="B214" s="9">
        <f>IF(A214="","",INT((DAY(A214)-1)/7)+1)</f>
        <v/>
      </c>
      <c r="C214" s="9" t="n"/>
      <c r="D214" s="9" t="n"/>
      <c r="E214" s="9" t="n"/>
      <c r="F214" s="9" t="n"/>
      <c r="G214" s="9" t="n"/>
      <c r="H214" s="9" t="n"/>
      <c r="I214" s="9" t="n"/>
      <c r="J214" s="3" t="n"/>
      <c r="K214" s="9" t="n"/>
    </row>
    <row r="215">
      <c r="A215" s="4" t="n"/>
      <c r="B215" s="9">
        <f>IF(A215="","",INT((DAY(A215)-1)/7)+1)</f>
        <v/>
      </c>
      <c r="C215" s="9" t="n"/>
      <c r="D215" s="9" t="n"/>
      <c r="E215" s="9" t="n"/>
      <c r="F215" s="9" t="n"/>
      <c r="G215" s="9" t="n"/>
      <c r="H215" s="9" t="n"/>
      <c r="I215" s="9" t="n"/>
      <c r="J215" s="3" t="n"/>
      <c r="K215" s="9" t="n"/>
    </row>
    <row r="216">
      <c r="A216" s="4" t="n"/>
      <c r="B216" s="9">
        <f>IF(A216="","",INT((DAY(A216)-1)/7)+1)</f>
        <v/>
      </c>
      <c r="C216" s="9" t="n"/>
      <c r="D216" s="9" t="n"/>
      <c r="E216" s="9" t="n"/>
      <c r="F216" s="9" t="n"/>
      <c r="G216" s="9" t="n"/>
      <c r="H216" s="9" t="n"/>
      <c r="I216" s="9" t="n"/>
      <c r="J216" s="3" t="n"/>
      <c r="K216" s="9" t="n"/>
    </row>
    <row r="217">
      <c r="A217" s="4" t="n"/>
      <c r="B217" s="9">
        <f>IF(A217="","",INT((DAY(A217)-1)/7)+1)</f>
        <v/>
      </c>
      <c r="C217" s="9" t="n"/>
      <c r="D217" s="9" t="n"/>
      <c r="E217" s="9" t="n"/>
      <c r="F217" s="9" t="n"/>
      <c r="G217" s="9" t="n"/>
      <c r="H217" s="9" t="n"/>
      <c r="I217" s="9" t="n"/>
      <c r="J217" s="3" t="n"/>
      <c r="K217" s="9" t="n"/>
    </row>
    <row r="218">
      <c r="A218" s="4" t="n"/>
      <c r="B218" s="9">
        <f>IF(A218="","",INT((DAY(A218)-1)/7)+1)</f>
        <v/>
      </c>
      <c r="C218" s="9" t="n"/>
      <c r="D218" s="9" t="n"/>
      <c r="E218" s="9" t="n"/>
      <c r="F218" s="9" t="n"/>
      <c r="G218" s="9" t="n"/>
      <c r="H218" s="9" t="n"/>
      <c r="I218" s="9" t="n"/>
      <c r="J218" s="3" t="n"/>
      <c r="K218" s="9" t="n"/>
    </row>
    <row r="219">
      <c r="A219" s="4" t="n"/>
      <c r="B219" s="9">
        <f>IF(A219="","",INT((DAY(A219)-1)/7)+1)</f>
        <v/>
      </c>
      <c r="C219" s="9" t="n"/>
      <c r="D219" s="9" t="n"/>
      <c r="E219" s="9" t="n"/>
      <c r="F219" s="9" t="n"/>
      <c r="G219" s="9" t="n"/>
      <c r="H219" s="9" t="n"/>
      <c r="I219" s="9" t="n"/>
      <c r="J219" s="3" t="n"/>
      <c r="K219" s="9" t="n"/>
    </row>
    <row r="220">
      <c r="A220" s="4" t="n"/>
      <c r="B220" s="9">
        <f>IF(A220="","",INT((DAY(A220)-1)/7)+1)</f>
        <v/>
      </c>
      <c r="C220" s="9" t="n"/>
      <c r="D220" s="9" t="n"/>
      <c r="E220" s="9" t="n"/>
      <c r="F220" s="9" t="n"/>
      <c r="G220" s="9" t="n"/>
      <c r="H220" s="9" t="n"/>
      <c r="I220" s="9" t="n"/>
      <c r="J220" s="3" t="n"/>
      <c r="K220" s="9" t="n"/>
    </row>
    <row r="221">
      <c r="A221" s="4" t="n"/>
      <c r="B221" s="9">
        <f>IF(A221="","",INT((DAY(A221)-1)/7)+1)</f>
        <v/>
      </c>
      <c r="C221" s="9" t="n"/>
      <c r="D221" s="9" t="n"/>
      <c r="E221" s="9" t="n"/>
      <c r="F221" s="9" t="n"/>
      <c r="G221" s="9" t="n"/>
      <c r="H221" s="9" t="n"/>
      <c r="I221" s="9" t="n"/>
      <c r="J221" s="3" t="n"/>
      <c r="K221" s="9" t="n"/>
    </row>
    <row r="222">
      <c r="A222" s="4" t="n"/>
      <c r="B222" s="9">
        <f>IF(A222="","",INT((DAY(A222)-1)/7)+1)</f>
        <v/>
      </c>
      <c r="C222" s="9" t="n"/>
      <c r="D222" s="9" t="n"/>
      <c r="E222" s="9" t="n"/>
      <c r="F222" s="9" t="n"/>
      <c r="G222" s="9" t="n"/>
      <c r="H222" s="9" t="n"/>
      <c r="I222" s="9" t="n"/>
      <c r="J222" s="3" t="n"/>
      <c r="K222" s="9" t="n"/>
    </row>
    <row r="223">
      <c r="A223" s="4" t="n"/>
      <c r="B223" s="9">
        <f>IF(A223="","",INT((DAY(A223)-1)/7)+1)</f>
        <v/>
      </c>
      <c r="C223" s="9" t="n"/>
      <c r="D223" s="9" t="n"/>
      <c r="E223" s="9" t="n"/>
      <c r="F223" s="9" t="n"/>
      <c r="G223" s="9" t="n"/>
      <c r="H223" s="9" t="n"/>
      <c r="I223" s="9" t="n"/>
      <c r="J223" s="3" t="n"/>
      <c r="K223" s="9" t="n"/>
    </row>
    <row r="224">
      <c r="A224" s="4" t="n"/>
      <c r="B224" s="9">
        <f>IF(A224="","",INT((DAY(A224)-1)/7)+1)</f>
        <v/>
      </c>
      <c r="C224" s="9" t="n"/>
      <c r="D224" s="9" t="n"/>
      <c r="E224" s="9" t="n"/>
      <c r="F224" s="9" t="n"/>
      <c r="G224" s="9" t="n"/>
      <c r="H224" s="9" t="n"/>
      <c r="I224" s="9" t="n"/>
      <c r="J224" s="3" t="n"/>
      <c r="K224" s="9" t="n"/>
    </row>
    <row r="225">
      <c r="A225" s="4" t="n"/>
      <c r="B225" s="9">
        <f>IF(A225="","",INT((DAY(A225)-1)/7)+1)</f>
        <v/>
      </c>
      <c r="C225" s="9" t="n"/>
      <c r="D225" s="9" t="n"/>
      <c r="E225" s="9" t="n"/>
      <c r="F225" s="9" t="n"/>
      <c r="G225" s="9" t="n"/>
      <c r="H225" s="9" t="n"/>
      <c r="I225" s="9" t="n"/>
      <c r="J225" s="3" t="n"/>
      <c r="K225" s="9" t="n"/>
    </row>
    <row r="226">
      <c r="A226" s="4" t="n"/>
      <c r="B226" s="9">
        <f>IF(A226="","",INT((DAY(A226)-1)/7)+1)</f>
        <v/>
      </c>
      <c r="C226" s="9" t="n"/>
      <c r="D226" s="9" t="n"/>
      <c r="E226" s="9" t="n"/>
      <c r="F226" s="9" t="n"/>
      <c r="G226" s="9" t="n"/>
      <c r="H226" s="9" t="n"/>
      <c r="I226" s="9" t="n"/>
      <c r="J226" s="3" t="n"/>
      <c r="K226" s="9" t="n"/>
    </row>
    <row r="227">
      <c r="A227" s="4" t="n"/>
      <c r="B227" s="9">
        <f>IF(A227="","",INT((DAY(A227)-1)/7)+1)</f>
        <v/>
      </c>
      <c r="C227" s="9" t="n"/>
      <c r="D227" s="9" t="n"/>
      <c r="E227" s="9" t="n"/>
      <c r="F227" s="9" t="n"/>
      <c r="G227" s="9" t="n"/>
      <c r="H227" s="9" t="n"/>
      <c r="I227" s="9" t="n"/>
      <c r="J227" s="3" t="n"/>
      <c r="K227" s="9" t="n"/>
    </row>
    <row r="228">
      <c r="A228" s="4" t="n"/>
      <c r="B228" s="9">
        <f>IF(A228="","",INT((DAY(A228)-1)/7)+1)</f>
        <v/>
      </c>
      <c r="C228" s="9" t="n"/>
      <c r="D228" s="9" t="n"/>
      <c r="E228" s="9" t="n"/>
      <c r="F228" s="9" t="n"/>
      <c r="G228" s="9" t="n"/>
      <c r="H228" s="9" t="n"/>
      <c r="I228" s="9" t="n"/>
      <c r="J228" s="3" t="n"/>
      <c r="K228" s="9" t="n"/>
    </row>
    <row r="229">
      <c r="A229" s="4" t="n"/>
      <c r="B229" s="9">
        <f>IF(A229="","",INT((DAY(A229)-1)/7)+1)</f>
        <v/>
      </c>
      <c r="C229" s="9" t="n"/>
      <c r="D229" s="9" t="n"/>
      <c r="E229" s="9" t="n"/>
      <c r="F229" s="9" t="n"/>
      <c r="G229" s="9" t="n"/>
      <c r="H229" s="9" t="n"/>
      <c r="I229" s="9" t="n"/>
      <c r="J229" s="3" t="n"/>
      <c r="K229" s="9" t="n"/>
    </row>
    <row r="230">
      <c r="A230" s="4" t="n"/>
      <c r="B230" s="9">
        <f>IF(A230="","",INT((DAY(A230)-1)/7)+1)</f>
        <v/>
      </c>
      <c r="C230" s="9" t="n"/>
      <c r="D230" s="9" t="n"/>
      <c r="E230" s="9" t="n"/>
      <c r="F230" s="9" t="n"/>
      <c r="G230" s="9" t="n"/>
      <c r="H230" s="9" t="n"/>
      <c r="I230" s="9" t="n"/>
      <c r="J230" s="3" t="n"/>
      <c r="K230" s="9" t="n"/>
    </row>
    <row r="231">
      <c r="A231" s="4" t="n"/>
      <c r="B231" s="9">
        <f>IF(A231="","",INT((DAY(A231)-1)/7)+1)</f>
        <v/>
      </c>
      <c r="C231" s="9" t="n"/>
      <c r="D231" s="9" t="n"/>
      <c r="E231" s="9" t="n"/>
      <c r="F231" s="9" t="n"/>
      <c r="G231" s="9" t="n"/>
      <c r="H231" s="9" t="n"/>
      <c r="I231" s="9" t="n"/>
      <c r="J231" s="3" t="n"/>
      <c r="K231" s="9" t="n"/>
    </row>
    <row r="232">
      <c r="A232" s="4" t="n"/>
      <c r="B232" s="9">
        <f>IF(A232="","",INT((DAY(A232)-1)/7)+1)</f>
        <v/>
      </c>
      <c r="C232" s="9" t="n"/>
      <c r="D232" s="9" t="n"/>
      <c r="E232" s="9" t="n"/>
      <c r="F232" s="9" t="n"/>
      <c r="G232" s="9" t="n"/>
      <c r="H232" s="9" t="n"/>
      <c r="I232" s="9" t="n"/>
      <c r="J232" s="3" t="n"/>
      <c r="K232" s="9" t="n"/>
    </row>
    <row r="233">
      <c r="A233" s="4" t="n"/>
      <c r="B233" s="9">
        <f>IF(A233="","",INT((DAY(A233)-1)/7)+1)</f>
        <v/>
      </c>
      <c r="C233" s="9" t="n"/>
      <c r="D233" s="9" t="n"/>
      <c r="E233" s="9" t="n"/>
      <c r="F233" s="9" t="n"/>
      <c r="G233" s="9" t="n"/>
      <c r="H233" s="9" t="n"/>
      <c r="I233" s="9" t="n"/>
      <c r="J233" s="3" t="n"/>
      <c r="K233" s="9" t="n"/>
    </row>
    <row r="234">
      <c r="A234" s="4" t="n"/>
      <c r="B234" s="9">
        <f>IF(A234="","",INT((DAY(A234)-1)/7)+1)</f>
        <v/>
      </c>
      <c r="C234" s="9" t="n"/>
      <c r="D234" s="9" t="n"/>
      <c r="E234" s="9" t="n"/>
      <c r="F234" s="9" t="n"/>
      <c r="G234" s="9" t="n"/>
      <c r="H234" s="9" t="n"/>
      <c r="I234" s="9" t="n"/>
      <c r="J234" s="3" t="n"/>
      <c r="K234" s="9" t="n"/>
    </row>
    <row r="235">
      <c r="A235" s="4" t="n"/>
      <c r="B235" s="9">
        <f>IF(A235="","",INT((DAY(A235)-1)/7)+1)</f>
        <v/>
      </c>
      <c r="C235" s="9" t="n"/>
      <c r="D235" s="9" t="n"/>
      <c r="E235" s="9" t="n"/>
      <c r="F235" s="9" t="n"/>
      <c r="G235" s="9" t="n"/>
      <c r="H235" s="9" t="n"/>
      <c r="I235" s="9" t="n"/>
      <c r="J235" s="3" t="n"/>
      <c r="K235" s="9" t="n"/>
    </row>
    <row r="236">
      <c r="A236" s="4" t="n"/>
      <c r="B236" s="9">
        <f>IF(A236="","",INT((DAY(A236)-1)/7)+1)</f>
        <v/>
      </c>
      <c r="C236" s="9" t="n"/>
      <c r="D236" s="9" t="n"/>
      <c r="E236" s="9" t="n"/>
      <c r="F236" s="9" t="n"/>
      <c r="G236" s="9" t="n"/>
      <c r="H236" s="9" t="n"/>
      <c r="I236" s="9" t="n"/>
      <c r="J236" s="3" t="n"/>
      <c r="K236" s="9" t="n"/>
    </row>
    <row r="237">
      <c r="A237" s="4" t="n"/>
      <c r="B237" s="9">
        <f>IF(A237="","",INT((DAY(A237)-1)/7)+1)</f>
        <v/>
      </c>
      <c r="C237" s="9" t="n"/>
      <c r="D237" s="9" t="n"/>
      <c r="E237" s="9" t="n"/>
      <c r="F237" s="9" t="n"/>
      <c r="G237" s="9" t="n"/>
      <c r="H237" s="9" t="n"/>
      <c r="I237" s="9" t="n"/>
      <c r="J237" s="3" t="n"/>
      <c r="K237" s="9" t="n"/>
    </row>
    <row r="238">
      <c r="A238" s="4" t="n"/>
      <c r="B238" s="9">
        <f>IF(A238="","",INT((DAY(A238)-1)/7)+1)</f>
        <v/>
      </c>
      <c r="C238" s="9" t="n"/>
      <c r="D238" s="9" t="n"/>
      <c r="E238" s="9" t="n"/>
      <c r="F238" s="9" t="n"/>
      <c r="G238" s="9" t="n"/>
      <c r="H238" s="9" t="n"/>
      <c r="I238" s="9" t="n"/>
      <c r="J238" s="3" t="n"/>
      <c r="K238" s="9" t="n"/>
    </row>
    <row r="239">
      <c r="A239" s="4" t="n"/>
      <c r="B239" s="9">
        <f>IF(A239="","",INT((DAY(A239)-1)/7)+1)</f>
        <v/>
      </c>
      <c r="C239" s="9" t="n"/>
      <c r="D239" s="9" t="n"/>
      <c r="E239" s="9" t="n"/>
      <c r="F239" s="9" t="n"/>
      <c r="G239" s="9" t="n"/>
      <c r="H239" s="9" t="n"/>
      <c r="I239" s="9" t="n"/>
      <c r="J239" s="3" t="n"/>
      <c r="K239" s="9" t="n"/>
    </row>
    <row r="240">
      <c r="A240" s="4" t="n"/>
      <c r="B240" s="9">
        <f>IF(A240="","",INT((DAY(A240)-1)/7)+1)</f>
        <v/>
      </c>
      <c r="C240" s="9" t="n"/>
      <c r="D240" s="9" t="n"/>
      <c r="E240" s="9" t="n"/>
      <c r="F240" s="9" t="n"/>
      <c r="G240" s="9" t="n"/>
      <c r="H240" s="9" t="n"/>
      <c r="I240" s="9" t="n"/>
      <c r="J240" s="3" t="n"/>
      <c r="K240" s="9" t="n"/>
    </row>
    <row r="241">
      <c r="A241" s="4" t="n"/>
      <c r="B241" s="9">
        <f>IF(A241="","",INT((DAY(A241)-1)/7)+1)</f>
        <v/>
      </c>
      <c r="C241" s="9" t="n"/>
      <c r="D241" s="9" t="n"/>
      <c r="E241" s="9" t="n"/>
      <c r="F241" s="9" t="n"/>
      <c r="G241" s="9" t="n"/>
      <c r="H241" s="9" t="n"/>
      <c r="I241" s="9" t="n"/>
      <c r="J241" s="3" t="n"/>
      <c r="K241" s="9" t="n"/>
    </row>
    <row r="242">
      <c r="A242" s="4" t="n"/>
      <c r="B242" s="9">
        <f>IF(A242="","",INT((DAY(A242)-1)/7)+1)</f>
        <v/>
      </c>
      <c r="C242" s="9" t="n"/>
      <c r="D242" s="9" t="n"/>
      <c r="E242" s="9" t="n"/>
      <c r="F242" s="9" t="n"/>
      <c r="G242" s="9" t="n"/>
      <c r="H242" s="9" t="n"/>
      <c r="I242" s="9" t="n"/>
      <c r="J242" s="3" t="n"/>
      <c r="K242" s="9" t="n"/>
    </row>
    <row r="243">
      <c r="A243" s="4" t="n"/>
      <c r="B243" s="9">
        <f>IF(A243="","",INT((DAY(A243)-1)/7)+1)</f>
        <v/>
      </c>
      <c r="C243" s="9" t="n"/>
      <c r="D243" s="9" t="n"/>
      <c r="E243" s="9" t="n"/>
      <c r="F243" s="9" t="n"/>
      <c r="G243" s="9" t="n"/>
      <c r="H243" s="9" t="n"/>
      <c r="I243" s="9" t="n"/>
      <c r="J243" s="3" t="n"/>
      <c r="K243" s="9" t="n"/>
    </row>
    <row r="244">
      <c r="A244" s="4" t="n"/>
      <c r="B244" s="9">
        <f>IF(A244="","",INT((DAY(A244)-1)/7)+1)</f>
        <v/>
      </c>
      <c r="C244" s="9" t="n"/>
      <c r="D244" s="9" t="n"/>
      <c r="E244" s="9" t="n"/>
      <c r="F244" s="9" t="n"/>
      <c r="G244" s="9" t="n"/>
      <c r="H244" s="9" t="n"/>
      <c r="I244" s="9" t="n"/>
      <c r="J244" s="3" t="n"/>
      <c r="K244" s="9" t="n"/>
    </row>
    <row r="245">
      <c r="A245" s="4" t="n"/>
      <c r="B245" s="9">
        <f>IF(A245="","",INT((DAY(A245)-1)/7)+1)</f>
        <v/>
      </c>
      <c r="C245" s="9" t="n"/>
      <c r="D245" s="9" t="n"/>
      <c r="E245" s="9" t="n"/>
      <c r="F245" s="9" t="n"/>
      <c r="G245" s="9" t="n"/>
      <c r="H245" s="9" t="n"/>
      <c r="I245" s="9" t="n"/>
      <c r="J245" s="3" t="n"/>
      <c r="K245" s="9" t="n"/>
    </row>
    <row r="246">
      <c r="A246" s="4" t="n"/>
      <c r="B246" s="9">
        <f>IF(A246="","",INT((DAY(A246)-1)/7)+1)</f>
        <v/>
      </c>
      <c r="C246" s="9" t="n"/>
      <c r="D246" s="9" t="n"/>
      <c r="E246" s="9" t="n"/>
      <c r="F246" s="9" t="n"/>
      <c r="G246" s="9" t="n"/>
      <c r="H246" s="9" t="n"/>
      <c r="I246" s="9" t="n"/>
      <c r="J246" s="3" t="n"/>
      <c r="K246" s="9" t="n"/>
    </row>
    <row r="247">
      <c r="A247" s="4" t="n"/>
      <c r="B247" s="9">
        <f>IF(A247="","",INT((DAY(A247)-1)/7)+1)</f>
        <v/>
      </c>
      <c r="C247" s="9" t="n"/>
      <c r="D247" s="9" t="n"/>
      <c r="E247" s="9" t="n"/>
      <c r="F247" s="9" t="n"/>
      <c r="G247" s="9" t="n"/>
      <c r="H247" s="9" t="n"/>
      <c r="I247" s="9" t="n"/>
      <c r="J247" s="3" t="n"/>
      <c r="K247" s="9" t="n"/>
    </row>
    <row r="248">
      <c r="A248" s="4" t="n"/>
      <c r="B248" s="9">
        <f>IF(A248="","",INT((DAY(A248)-1)/7)+1)</f>
        <v/>
      </c>
      <c r="C248" s="9" t="n"/>
      <c r="D248" s="9" t="n"/>
      <c r="E248" s="9" t="n"/>
      <c r="F248" s="9" t="n"/>
      <c r="G248" s="9" t="n"/>
      <c r="H248" s="9" t="n"/>
      <c r="I248" s="9" t="n"/>
      <c r="J248" s="3" t="n"/>
      <c r="K248" s="9" t="n"/>
    </row>
    <row r="249">
      <c r="A249" s="4" t="n"/>
      <c r="B249" s="9">
        <f>IF(A249="","",INT((DAY(A249)-1)/7)+1)</f>
        <v/>
      </c>
      <c r="C249" s="9" t="n"/>
      <c r="D249" s="9" t="n"/>
      <c r="E249" s="9" t="n"/>
      <c r="F249" s="9" t="n"/>
      <c r="G249" s="9" t="n"/>
      <c r="H249" s="9" t="n"/>
      <c r="I249" s="9" t="n"/>
      <c r="J249" s="3" t="n"/>
      <c r="K249" s="9" t="n"/>
    </row>
    <row r="250">
      <c r="A250" s="4" t="n"/>
      <c r="B250" s="9">
        <f>IF(A250="","",INT((DAY(A250)-1)/7)+1)</f>
        <v/>
      </c>
      <c r="C250" s="9" t="n"/>
      <c r="D250" s="9" t="n"/>
      <c r="E250" s="9" t="n"/>
      <c r="F250" s="9" t="n"/>
      <c r="G250" s="9" t="n"/>
      <c r="H250" s="9" t="n"/>
      <c r="I250" s="9" t="n"/>
      <c r="J250" s="3" t="n"/>
      <c r="K250" s="9" t="n"/>
    </row>
    <row r="251">
      <c r="A251" s="4" t="n"/>
      <c r="B251" s="9">
        <f>IF(A251="","",INT((DAY(A251)-1)/7)+1)</f>
        <v/>
      </c>
      <c r="C251" s="9" t="n"/>
      <c r="D251" s="9" t="n"/>
      <c r="E251" s="9" t="n"/>
      <c r="F251" s="9" t="n"/>
      <c r="G251" s="9" t="n"/>
      <c r="H251" s="9" t="n"/>
      <c r="I251" s="9" t="n"/>
      <c r="J251" s="3" t="n"/>
      <c r="K251" s="9" t="n"/>
    </row>
    <row r="252">
      <c r="A252" s="4" t="n"/>
      <c r="B252" s="9">
        <f>IF(A252="","",INT((DAY(A252)-1)/7)+1)</f>
        <v/>
      </c>
      <c r="C252" s="9" t="n"/>
      <c r="D252" s="9" t="n"/>
      <c r="E252" s="9" t="n"/>
      <c r="F252" s="9" t="n"/>
      <c r="G252" s="9" t="n"/>
      <c r="H252" s="9" t="n"/>
      <c r="I252" s="9" t="n"/>
      <c r="J252" s="3" t="n"/>
      <c r="K252" s="9" t="n"/>
    </row>
    <row r="253">
      <c r="A253" s="4" t="n"/>
      <c r="B253" s="9">
        <f>IF(A253="","",INT((DAY(A253)-1)/7)+1)</f>
        <v/>
      </c>
      <c r="C253" s="9" t="n"/>
      <c r="D253" s="9" t="n"/>
      <c r="E253" s="9" t="n"/>
      <c r="F253" s="9" t="n"/>
      <c r="G253" s="9" t="n"/>
      <c r="H253" s="9" t="n"/>
      <c r="I253" s="9" t="n"/>
      <c r="J253" s="3" t="n"/>
      <c r="K253" s="9" t="n"/>
    </row>
    <row r="254">
      <c r="A254" s="4" t="n"/>
      <c r="B254" s="9">
        <f>IF(A254="","",INT((DAY(A254)-1)/7)+1)</f>
        <v/>
      </c>
      <c r="C254" s="9" t="n"/>
      <c r="D254" s="9" t="n"/>
      <c r="E254" s="9" t="n"/>
      <c r="F254" s="9" t="n"/>
      <c r="G254" s="9" t="n"/>
      <c r="H254" s="9" t="n"/>
      <c r="I254" s="9" t="n"/>
      <c r="J254" s="3" t="n"/>
      <c r="K254" s="9" t="n"/>
    </row>
    <row r="255">
      <c r="A255" s="4" t="n"/>
      <c r="B255" s="9">
        <f>IF(A255="","",INT((DAY(A255)-1)/7)+1)</f>
        <v/>
      </c>
      <c r="C255" s="9" t="n"/>
      <c r="D255" s="9" t="n"/>
      <c r="E255" s="9" t="n"/>
      <c r="F255" s="9" t="n"/>
      <c r="G255" s="9" t="n"/>
      <c r="H255" s="9" t="n"/>
      <c r="I255" s="9" t="n"/>
      <c r="J255" s="3" t="n"/>
      <c r="K255" s="9" t="n"/>
    </row>
    <row r="256">
      <c r="A256" s="4" t="n"/>
      <c r="B256" s="9">
        <f>IF(A256="","",INT((DAY(A256)-1)/7)+1)</f>
        <v/>
      </c>
      <c r="C256" s="9" t="n"/>
      <c r="D256" s="9" t="n"/>
      <c r="E256" s="9" t="n"/>
      <c r="F256" s="9" t="n"/>
      <c r="G256" s="9" t="n"/>
      <c r="H256" s="9" t="n"/>
      <c r="I256" s="9" t="n"/>
      <c r="J256" s="3" t="n"/>
      <c r="K256" s="9" t="n"/>
    </row>
    <row r="257">
      <c r="A257" s="4" t="n"/>
      <c r="B257" s="9">
        <f>IF(A257="","",INT((DAY(A257)-1)/7)+1)</f>
        <v/>
      </c>
      <c r="C257" s="9" t="n"/>
      <c r="D257" s="9" t="n"/>
      <c r="E257" s="9" t="n"/>
      <c r="F257" s="9" t="n"/>
      <c r="G257" s="9" t="n"/>
      <c r="H257" s="9" t="n"/>
      <c r="I257" s="9" t="n"/>
      <c r="J257" s="3" t="n"/>
      <c r="K257" s="9" t="n"/>
    </row>
    <row r="258">
      <c r="A258" s="4" t="n"/>
      <c r="B258" s="9">
        <f>IF(A258="","",INT((DAY(A258)-1)/7)+1)</f>
        <v/>
      </c>
      <c r="C258" s="9" t="n"/>
      <c r="D258" s="9" t="n"/>
      <c r="E258" s="9" t="n"/>
      <c r="F258" s="9" t="n"/>
      <c r="G258" s="9" t="n"/>
      <c r="H258" s="9" t="n"/>
      <c r="I258" s="9" t="n"/>
      <c r="J258" s="3" t="n"/>
      <c r="K258" s="9" t="n"/>
    </row>
    <row r="259">
      <c r="A259" s="4" t="n"/>
      <c r="B259" s="9">
        <f>IF(A259="","",INT((DAY(A259)-1)/7)+1)</f>
        <v/>
      </c>
      <c r="C259" s="9" t="n"/>
      <c r="D259" s="9" t="n"/>
      <c r="E259" s="9" t="n"/>
      <c r="F259" s="9" t="n"/>
      <c r="G259" s="9" t="n"/>
      <c r="H259" s="9" t="n"/>
      <c r="I259" s="9" t="n"/>
      <c r="J259" s="3" t="n"/>
      <c r="K259" s="9" t="n"/>
    </row>
    <row r="260">
      <c r="A260" s="4" t="n"/>
      <c r="B260" s="9">
        <f>IF(A260="","",INT((DAY(A260)-1)/7)+1)</f>
        <v/>
      </c>
      <c r="C260" s="9" t="n"/>
      <c r="D260" s="9" t="n"/>
      <c r="E260" s="9" t="n"/>
      <c r="F260" s="9" t="n"/>
      <c r="G260" s="9" t="n"/>
      <c r="H260" s="9" t="n"/>
      <c r="I260" s="9" t="n"/>
      <c r="J260" s="3" t="n"/>
      <c r="K260" s="9" t="n"/>
    </row>
    <row r="261">
      <c r="A261" s="4" t="n"/>
      <c r="B261" s="9">
        <f>IF(A261="","",INT((DAY(A261)-1)/7)+1)</f>
        <v/>
      </c>
      <c r="C261" s="9" t="n"/>
      <c r="D261" s="9" t="n"/>
      <c r="E261" s="9" t="n"/>
      <c r="F261" s="9" t="n"/>
      <c r="G261" s="9" t="n"/>
      <c r="H261" s="9" t="n"/>
      <c r="I261" s="9" t="n"/>
      <c r="J261" s="3" t="n"/>
      <c r="K261" s="9" t="n"/>
    </row>
    <row r="262">
      <c r="A262" s="4" t="n"/>
      <c r="B262" s="9">
        <f>IF(A262="","",INT((DAY(A262)-1)/7)+1)</f>
        <v/>
      </c>
      <c r="C262" s="9" t="n"/>
      <c r="D262" s="9" t="n"/>
      <c r="E262" s="9" t="n"/>
      <c r="F262" s="9" t="n"/>
      <c r="G262" s="9" t="n"/>
      <c r="H262" s="9" t="n"/>
      <c r="I262" s="9" t="n"/>
      <c r="J262" s="3" t="n"/>
      <c r="K262" s="9" t="n"/>
    </row>
    <row r="263">
      <c r="A263" s="4" t="n"/>
      <c r="B263" s="9">
        <f>IF(A263="","",INT((DAY(A263)-1)/7)+1)</f>
        <v/>
      </c>
      <c r="C263" s="9" t="n"/>
      <c r="D263" s="9" t="n"/>
      <c r="E263" s="9" t="n"/>
      <c r="F263" s="9" t="n"/>
      <c r="G263" s="9" t="n"/>
      <c r="H263" s="9" t="n"/>
      <c r="I263" s="9" t="n"/>
      <c r="J263" s="3" t="n"/>
      <c r="K263" s="9" t="n"/>
    </row>
    <row r="264">
      <c r="A264" s="4" t="n"/>
      <c r="B264" s="9">
        <f>IF(A264="","",INT((DAY(A264)-1)/7)+1)</f>
        <v/>
      </c>
      <c r="C264" s="9" t="n"/>
      <c r="D264" s="9" t="n"/>
      <c r="E264" s="9" t="n"/>
      <c r="F264" s="9" t="n"/>
      <c r="G264" s="9" t="n"/>
      <c r="H264" s="9" t="n"/>
      <c r="I264" s="9" t="n"/>
      <c r="J264" s="3" t="n"/>
      <c r="K264" s="9" t="n"/>
    </row>
    <row r="265">
      <c r="A265" s="4" t="n"/>
      <c r="B265" s="9">
        <f>IF(A265="","",INT((DAY(A265)-1)/7)+1)</f>
        <v/>
      </c>
      <c r="C265" s="9" t="n"/>
      <c r="D265" s="9" t="n"/>
      <c r="E265" s="9" t="n"/>
      <c r="F265" s="9" t="n"/>
      <c r="G265" s="9" t="n"/>
      <c r="H265" s="9" t="n"/>
      <c r="I265" s="9" t="n"/>
      <c r="J265" s="3" t="n"/>
      <c r="K265" s="9" t="n"/>
    </row>
    <row r="266">
      <c r="A266" s="4" t="n"/>
      <c r="B266" s="9">
        <f>IF(A266="","",INT((DAY(A266)-1)/7)+1)</f>
        <v/>
      </c>
      <c r="C266" s="9" t="n"/>
      <c r="D266" s="9" t="n"/>
      <c r="E266" s="9" t="n"/>
      <c r="F266" s="9" t="n"/>
      <c r="G266" s="9" t="n"/>
      <c r="H266" s="9" t="n"/>
      <c r="I266" s="9" t="n"/>
      <c r="J266" s="3" t="n"/>
      <c r="K266" s="9" t="n"/>
    </row>
    <row r="267">
      <c r="A267" s="4" t="n"/>
      <c r="B267" s="9">
        <f>IF(A267="","",INT((DAY(A267)-1)/7)+1)</f>
        <v/>
      </c>
      <c r="C267" s="9" t="n"/>
      <c r="D267" s="9" t="n"/>
      <c r="E267" s="9" t="n"/>
      <c r="F267" s="9" t="n"/>
      <c r="G267" s="9" t="n"/>
      <c r="H267" s="9" t="n"/>
      <c r="I267" s="9" t="n"/>
      <c r="J267" s="3" t="n"/>
      <c r="K267" s="9" t="n"/>
    </row>
    <row r="268">
      <c r="A268" s="4" t="n"/>
      <c r="B268" s="9">
        <f>IF(A268="","",INT((DAY(A268)-1)/7)+1)</f>
        <v/>
      </c>
      <c r="C268" s="9" t="n"/>
      <c r="D268" s="9" t="n"/>
      <c r="E268" s="9" t="n"/>
      <c r="F268" s="9" t="n"/>
      <c r="G268" s="9" t="n"/>
      <c r="H268" s="9" t="n"/>
      <c r="I268" s="9" t="n"/>
      <c r="J268" s="3" t="n"/>
      <c r="K268" s="9" t="n"/>
    </row>
    <row r="269">
      <c r="A269" s="4" t="n"/>
      <c r="B269" s="9">
        <f>IF(A269="","",INT((DAY(A269)-1)/7)+1)</f>
        <v/>
      </c>
      <c r="C269" s="9" t="n"/>
      <c r="D269" s="9" t="n"/>
      <c r="E269" s="9" t="n"/>
      <c r="F269" s="9" t="n"/>
      <c r="G269" s="9" t="n"/>
      <c r="H269" s="9" t="n"/>
      <c r="I269" s="9" t="n"/>
      <c r="J269" s="3" t="n"/>
      <c r="K269" s="9" t="n"/>
    </row>
    <row r="270">
      <c r="A270" s="4" t="n"/>
      <c r="B270" s="9">
        <f>IF(A270="","",INT((DAY(A270)-1)/7)+1)</f>
        <v/>
      </c>
      <c r="C270" s="9" t="n"/>
      <c r="D270" s="9" t="n"/>
      <c r="E270" s="9" t="n"/>
      <c r="F270" s="9" t="n"/>
      <c r="G270" s="9" t="n"/>
      <c r="H270" s="9" t="n"/>
      <c r="I270" s="9" t="n"/>
      <c r="J270" s="3" t="n"/>
      <c r="K270" s="9" t="n"/>
    </row>
    <row r="271">
      <c r="A271" s="4" t="n"/>
      <c r="B271" s="9">
        <f>IF(A271="","",INT((DAY(A271)-1)/7)+1)</f>
        <v/>
      </c>
      <c r="C271" s="9" t="n"/>
      <c r="D271" s="9" t="n"/>
      <c r="E271" s="9" t="n"/>
      <c r="F271" s="9" t="n"/>
      <c r="G271" s="9" t="n"/>
      <c r="H271" s="9" t="n"/>
      <c r="I271" s="9" t="n"/>
      <c r="J271" s="3" t="n"/>
      <c r="K271" s="9" t="n"/>
    </row>
    <row r="272">
      <c r="A272" s="4" t="n"/>
      <c r="B272" s="9">
        <f>IF(A272="","",INT((DAY(A272)-1)/7)+1)</f>
        <v/>
      </c>
      <c r="C272" s="9" t="n"/>
      <c r="D272" s="9" t="n"/>
      <c r="E272" s="9" t="n"/>
      <c r="F272" s="9" t="n"/>
      <c r="G272" s="9" t="n"/>
      <c r="H272" s="9" t="n"/>
      <c r="I272" s="9" t="n"/>
      <c r="J272" s="3" t="n"/>
      <c r="K272" s="9" t="n"/>
    </row>
    <row r="273">
      <c r="A273" s="4" t="n"/>
      <c r="B273" s="9">
        <f>IF(A273="","",INT((DAY(A273)-1)/7)+1)</f>
        <v/>
      </c>
      <c r="C273" s="9" t="n"/>
      <c r="D273" s="9" t="n"/>
      <c r="E273" s="9" t="n"/>
      <c r="F273" s="9" t="n"/>
      <c r="G273" s="9" t="n"/>
      <c r="H273" s="9" t="n"/>
      <c r="I273" s="9" t="n"/>
      <c r="J273" s="3" t="n"/>
      <c r="K273" s="9" t="n"/>
    </row>
    <row r="274">
      <c r="A274" s="4" t="n"/>
      <c r="B274" s="9">
        <f>IF(A274="","",INT((DAY(A274)-1)/7)+1)</f>
        <v/>
      </c>
      <c r="C274" s="9" t="n"/>
      <c r="D274" s="9" t="n"/>
      <c r="E274" s="9" t="n"/>
      <c r="F274" s="9" t="n"/>
      <c r="G274" s="9" t="n"/>
      <c r="H274" s="9" t="n"/>
      <c r="I274" s="9" t="n"/>
      <c r="J274" s="3" t="n"/>
      <c r="K274" s="9" t="n"/>
    </row>
    <row r="275">
      <c r="A275" s="4" t="n"/>
      <c r="B275" s="9">
        <f>IF(A275="","",INT((DAY(A275)-1)/7)+1)</f>
        <v/>
      </c>
      <c r="C275" s="9" t="n"/>
      <c r="D275" s="9" t="n"/>
      <c r="E275" s="9" t="n"/>
      <c r="F275" s="9" t="n"/>
      <c r="G275" s="9" t="n"/>
      <c r="H275" s="9" t="n"/>
      <c r="I275" s="9" t="n"/>
      <c r="J275" s="3" t="n"/>
      <c r="K275" s="9" t="n"/>
    </row>
    <row r="276">
      <c r="A276" s="4" t="n"/>
      <c r="B276" s="9">
        <f>IF(A276="","",INT((DAY(A276)-1)/7)+1)</f>
        <v/>
      </c>
      <c r="C276" s="9" t="n"/>
      <c r="D276" s="9" t="n"/>
      <c r="E276" s="9" t="n"/>
      <c r="F276" s="9" t="n"/>
      <c r="G276" s="9" t="n"/>
      <c r="H276" s="9" t="n"/>
      <c r="I276" s="9" t="n"/>
      <c r="J276" s="3" t="n"/>
      <c r="K276" s="9" t="n"/>
    </row>
    <row r="277">
      <c r="A277" s="4" t="n"/>
      <c r="B277" s="9">
        <f>IF(A277="","",INT((DAY(A277)-1)/7)+1)</f>
        <v/>
      </c>
      <c r="C277" s="9" t="n"/>
      <c r="D277" s="9" t="n"/>
      <c r="E277" s="9" t="n"/>
      <c r="F277" s="9" t="n"/>
      <c r="G277" s="9" t="n"/>
      <c r="H277" s="9" t="n"/>
      <c r="I277" s="9" t="n"/>
      <c r="J277" s="3" t="n"/>
      <c r="K277" s="9" t="n"/>
    </row>
    <row r="278">
      <c r="A278" s="4" t="n"/>
      <c r="B278" s="9">
        <f>IF(A278="","",INT((DAY(A278)-1)/7)+1)</f>
        <v/>
      </c>
      <c r="C278" s="9" t="n"/>
      <c r="D278" s="9" t="n"/>
      <c r="E278" s="9" t="n"/>
      <c r="F278" s="9" t="n"/>
      <c r="G278" s="9" t="n"/>
      <c r="H278" s="9" t="n"/>
      <c r="I278" s="9" t="n"/>
      <c r="J278" s="3" t="n"/>
      <c r="K278" s="9" t="n"/>
    </row>
    <row r="279">
      <c r="A279" s="4" t="n"/>
      <c r="B279" s="9">
        <f>IF(A279="","",INT((DAY(A279)-1)/7)+1)</f>
        <v/>
      </c>
      <c r="C279" s="9" t="n"/>
      <c r="D279" s="9" t="n"/>
      <c r="E279" s="9" t="n"/>
      <c r="F279" s="9" t="n"/>
      <c r="G279" s="9" t="n"/>
      <c r="H279" s="9" t="n"/>
      <c r="I279" s="9" t="n"/>
      <c r="J279" s="3" t="n"/>
      <c r="K279" s="9" t="n"/>
    </row>
    <row r="280">
      <c r="A280" s="4" t="n"/>
      <c r="B280" s="9">
        <f>IF(A280="","",INT((DAY(A280)-1)/7)+1)</f>
        <v/>
      </c>
      <c r="C280" s="9" t="n"/>
      <c r="D280" s="9" t="n"/>
      <c r="E280" s="9" t="n"/>
      <c r="F280" s="9" t="n"/>
      <c r="G280" s="9" t="n"/>
      <c r="H280" s="9" t="n"/>
      <c r="I280" s="9" t="n"/>
      <c r="J280" s="3" t="n"/>
      <c r="K280" s="9" t="n"/>
    </row>
    <row r="281">
      <c r="A281" s="4" t="n"/>
      <c r="B281" s="9">
        <f>IF(A281="","",INT((DAY(A281)-1)/7)+1)</f>
        <v/>
      </c>
      <c r="C281" s="9" t="n"/>
      <c r="D281" s="9" t="n"/>
      <c r="E281" s="9" t="n"/>
      <c r="F281" s="9" t="n"/>
      <c r="G281" s="9" t="n"/>
      <c r="H281" s="9" t="n"/>
      <c r="I281" s="9" t="n"/>
      <c r="J281" s="3" t="n"/>
      <c r="K281" s="9" t="n"/>
    </row>
    <row r="282">
      <c r="A282" s="4" t="n"/>
      <c r="B282" s="9">
        <f>IF(A282="","",INT((DAY(A282)-1)/7)+1)</f>
        <v/>
      </c>
      <c r="C282" s="9" t="n"/>
      <c r="D282" s="9" t="n"/>
      <c r="E282" s="9" t="n"/>
      <c r="F282" s="9" t="n"/>
      <c r="G282" s="9" t="n"/>
      <c r="H282" s="9" t="n"/>
      <c r="I282" s="9" t="n"/>
      <c r="J282" s="3" t="n"/>
      <c r="K282" s="9" t="n"/>
    </row>
    <row r="283">
      <c r="A283" s="4" t="n"/>
      <c r="B283" s="9">
        <f>IF(A283="","",INT((DAY(A283)-1)/7)+1)</f>
        <v/>
      </c>
      <c r="C283" s="9" t="n"/>
      <c r="D283" s="9" t="n"/>
      <c r="E283" s="9" t="n"/>
      <c r="F283" s="9" t="n"/>
      <c r="G283" s="9" t="n"/>
      <c r="H283" s="9" t="n"/>
      <c r="I283" s="9" t="n"/>
      <c r="J283" s="3" t="n"/>
      <c r="K283" s="9" t="n"/>
    </row>
    <row r="284">
      <c r="A284" s="4" t="n"/>
      <c r="B284" s="9">
        <f>IF(A284="","",INT((DAY(A284)-1)/7)+1)</f>
        <v/>
      </c>
      <c r="C284" s="9" t="n"/>
      <c r="D284" s="9" t="n"/>
      <c r="E284" s="9" t="n"/>
      <c r="F284" s="9" t="n"/>
      <c r="G284" s="9" t="n"/>
      <c r="H284" s="9" t="n"/>
      <c r="I284" s="9" t="n"/>
      <c r="J284" s="3" t="n"/>
      <c r="K284" s="9" t="n"/>
    </row>
    <row r="285">
      <c r="A285" s="4" t="n"/>
      <c r="B285" s="9">
        <f>IF(A285="","",INT((DAY(A285)-1)/7)+1)</f>
        <v/>
      </c>
      <c r="C285" s="9" t="n"/>
      <c r="D285" s="9" t="n"/>
      <c r="E285" s="9" t="n"/>
      <c r="F285" s="9" t="n"/>
      <c r="G285" s="9" t="n"/>
      <c r="H285" s="9" t="n"/>
      <c r="I285" s="9" t="n"/>
      <c r="J285" s="3" t="n"/>
      <c r="K285" s="9" t="n"/>
    </row>
    <row r="286">
      <c r="A286" s="4" t="n"/>
      <c r="B286" s="9">
        <f>IF(A286="","",INT((DAY(A286)-1)/7)+1)</f>
        <v/>
      </c>
      <c r="C286" s="9" t="n"/>
      <c r="D286" s="9" t="n"/>
      <c r="E286" s="9" t="n"/>
      <c r="F286" s="9" t="n"/>
      <c r="G286" s="9" t="n"/>
      <c r="H286" s="9" t="n"/>
      <c r="I286" s="9" t="n"/>
      <c r="J286" s="3" t="n"/>
      <c r="K286" s="9" t="n"/>
    </row>
    <row r="287">
      <c r="A287" s="4" t="n"/>
      <c r="B287" s="9">
        <f>IF(A287="","",INT((DAY(A287)-1)/7)+1)</f>
        <v/>
      </c>
      <c r="C287" s="9" t="n"/>
      <c r="D287" s="9" t="n"/>
      <c r="E287" s="9" t="n"/>
      <c r="F287" s="9" t="n"/>
      <c r="G287" s="9" t="n"/>
      <c r="H287" s="9" t="n"/>
      <c r="I287" s="9" t="n"/>
      <c r="J287" s="3" t="n"/>
      <c r="K287" s="9" t="n"/>
    </row>
    <row r="288">
      <c r="A288" s="4" t="n"/>
      <c r="B288" s="9">
        <f>IF(A288="","",INT((DAY(A288)-1)/7)+1)</f>
        <v/>
      </c>
      <c r="C288" s="9" t="n"/>
      <c r="D288" s="9" t="n"/>
      <c r="E288" s="9" t="n"/>
      <c r="F288" s="9" t="n"/>
      <c r="G288" s="9" t="n"/>
      <c r="H288" s="9" t="n"/>
      <c r="I288" s="9" t="n"/>
      <c r="J288" s="3" t="n"/>
      <c r="K288" s="9" t="n"/>
    </row>
    <row r="289">
      <c r="A289" s="4" t="n"/>
      <c r="B289" s="9">
        <f>IF(A289="","",INT((DAY(A289)-1)/7)+1)</f>
        <v/>
      </c>
      <c r="C289" s="9" t="n"/>
      <c r="D289" s="9" t="n"/>
      <c r="E289" s="9" t="n"/>
      <c r="F289" s="9" t="n"/>
      <c r="G289" s="9" t="n"/>
      <c r="H289" s="9" t="n"/>
      <c r="I289" s="9" t="n"/>
      <c r="J289" s="3" t="n"/>
      <c r="K289" s="9" t="n"/>
    </row>
    <row r="290">
      <c r="A290" s="4" t="n"/>
      <c r="B290" s="9">
        <f>IF(A290="","",INT((DAY(A290)-1)/7)+1)</f>
        <v/>
      </c>
      <c r="C290" s="9" t="n"/>
      <c r="D290" s="9" t="n"/>
      <c r="E290" s="9" t="n"/>
      <c r="F290" s="9" t="n"/>
      <c r="G290" s="9" t="n"/>
      <c r="H290" s="9" t="n"/>
      <c r="I290" s="9" t="n"/>
      <c r="J290" s="3" t="n"/>
      <c r="K290" s="9" t="n"/>
    </row>
    <row r="291">
      <c r="A291" s="4" t="n"/>
      <c r="B291" s="9">
        <f>IF(A291="","",INT((DAY(A291)-1)/7)+1)</f>
        <v/>
      </c>
      <c r="C291" s="9" t="n"/>
      <c r="D291" s="9" t="n"/>
      <c r="E291" s="9" t="n"/>
      <c r="F291" s="9" t="n"/>
      <c r="G291" s="9" t="n"/>
      <c r="H291" s="9" t="n"/>
      <c r="I291" s="9" t="n"/>
      <c r="J291" s="3" t="n"/>
      <c r="K291" s="9" t="n"/>
    </row>
    <row r="292">
      <c r="A292" s="4" t="n"/>
      <c r="B292" s="9">
        <f>IF(A292="","",INT((DAY(A292)-1)/7)+1)</f>
        <v/>
      </c>
      <c r="C292" s="9" t="n"/>
      <c r="D292" s="9" t="n"/>
      <c r="E292" s="9" t="n"/>
      <c r="F292" s="9" t="n"/>
      <c r="G292" s="9" t="n"/>
      <c r="H292" s="9" t="n"/>
      <c r="I292" s="9" t="n"/>
      <c r="J292" s="3" t="n"/>
      <c r="K292" s="9" t="n"/>
    </row>
    <row r="293">
      <c r="A293" s="4" t="n"/>
      <c r="B293" s="9">
        <f>IF(A293="","",INT((DAY(A293)-1)/7)+1)</f>
        <v/>
      </c>
      <c r="C293" s="9" t="n"/>
      <c r="D293" s="9" t="n"/>
      <c r="E293" s="9" t="n"/>
      <c r="F293" s="9" t="n"/>
      <c r="G293" s="9" t="n"/>
      <c r="H293" s="9" t="n"/>
      <c r="I293" s="9" t="n"/>
      <c r="J293" s="3" t="n"/>
      <c r="K293" s="9" t="n"/>
    </row>
    <row r="294">
      <c r="A294" s="4" t="n"/>
      <c r="B294" s="9">
        <f>IF(A294="","",INT((DAY(A294)-1)/7)+1)</f>
        <v/>
      </c>
      <c r="C294" s="9" t="n"/>
      <c r="D294" s="9" t="n"/>
      <c r="E294" s="9" t="n"/>
      <c r="F294" s="9" t="n"/>
      <c r="G294" s="9" t="n"/>
      <c r="H294" s="9" t="n"/>
      <c r="I294" s="9" t="n"/>
      <c r="J294" s="3" t="n"/>
      <c r="K294" s="9" t="n"/>
    </row>
    <row r="295">
      <c r="A295" s="4" t="n"/>
      <c r="B295" s="9">
        <f>IF(A295="","",INT((DAY(A295)-1)/7)+1)</f>
        <v/>
      </c>
      <c r="C295" s="9" t="n"/>
      <c r="D295" s="9" t="n"/>
      <c r="E295" s="9" t="n"/>
      <c r="F295" s="9" t="n"/>
      <c r="G295" s="9" t="n"/>
      <c r="H295" s="9" t="n"/>
      <c r="I295" s="9" t="n"/>
      <c r="J295" s="3" t="n"/>
      <c r="K295" s="9" t="n"/>
    </row>
    <row r="296">
      <c r="A296" s="4" t="n"/>
      <c r="B296" s="9">
        <f>IF(A296="","",INT((DAY(A296)-1)/7)+1)</f>
        <v/>
      </c>
      <c r="C296" s="9" t="n"/>
      <c r="D296" s="9" t="n"/>
      <c r="E296" s="9" t="n"/>
      <c r="F296" s="9" t="n"/>
      <c r="G296" s="9" t="n"/>
      <c r="H296" s="9" t="n"/>
      <c r="I296" s="9" t="n"/>
      <c r="J296" s="3" t="n"/>
      <c r="K296" s="9" t="n"/>
    </row>
    <row r="297">
      <c r="A297" s="4" t="n"/>
      <c r="B297" s="9">
        <f>IF(A297="","",INT((DAY(A297)-1)/7)+1)</f>
        <v/>
      </c>
      <c r="C297" s="9" t="n"/>
      <c r="D297" s="9" t="n"/>
      <c r="E297" s="9" t="n"/>
      <c r="F297" s="9" t="n"/>
      <c r="G297" s="9" t="n"/>
      <c r="H297" s="9" t="n"/>
      <c r="I297" s="9" t="n"/>
      <c r="J297" s="3" t="n"/>
      <c r="K297" s="9" t="n"/>
    </row>
    <row r="298">
      <c r="A298" s="4" t="n"/>
      <c r="B298" s="9">
        <f>IF(A298="","",INT((DAY(A298)-1)/7)+1)</f>
        <v/>
      </c>
      <c r="C298" s="9" t="n"/>
      <c r="D298" s="9" t="n"/>
      <c r="E298" s="9" t="n"/>
      <c r="F298" s="9" t="n"/>
      <c r="G298" s="9" t="n"/>
      <c r="H298" s="9" t="n"/>
      <c r="I298" s="9" t="n"/>
      <c r="J298" s="3" t="n"/>
      <c r="K298" s="9" t="n"/>
    </row>
    <row r="299">
      <c r="A299" s="4" t="n"/>
      <c r="B299" s="9">
        <f>IF(A299="","",INT((DAY(A299)-1)/7)+1)</f>
        <v/>
      </c>
      <c r="C299" s="9" t="n"/>
      <c r="D299" s="9" t="n"/>
      <c r="E299" s="9" t="n"/>
      <c r="F299" s="9" t="n"/>
      <c r="G299" s="9" t="n"/>
      <c r="H299" s="9" t="n"/>
      <c r="I299" s="9" t="n"/>
      <c r="J299" s="3" t="n"/>
      <c r="K299" s="9" t="n"/>
    </row>
    <row r="300">
      <c r="A300" s="4" t="n"/>
      <c r="B300" s="9">
        <f>IF(A300="","",INT((DAY(A300)-1)/7)+1)</f>
        <v/>
      </c>
      <c r="C300" s="9" t="n"/>
      <c r="D300" s="9" t="n"/>
      <c r="E300" s="9" t="n"/>
      <c r="F300" s="9" t="n"/>
      <c r="G300" s="9" t="n"/>
      <c r="H300" s="9" t="n"/>
      <c r="I300" s="9" t="n"/>
      <c r="J300" s="3" t="n"/>
      <c r="K300" s="9" t="n"/>
    </row>
    <row r="301">
      <c r="A301" s="4" t="n"/>
      <c r="B301" s="9">
        <f>IF(A301="","",INT((DAY(A301)-1)/7)+1)</f>
        <v/>
      </c>
      <c r="C301" s="9" t="n"/>
      <c r="D301" s="9" t="n"/>
      <c r="E301" s="9" t="n"/>
      <c r="F301" s="9" t="n"/>
      <c r="G301" s="9" t="n"/>
      <c r="H301" s="9" t="n"/>
      <c r="I301" s="9" t="n"/>
      <c r="J301" s="3" t="n"/>
      <c r="K301" s="9" t="n"/>
    </row>
    <row r="302">
      <c r="A302" s="4" t="n"/>
      <c r="B302" s="9">
        <f>IF(A302="","",INT((DAY(A302)-1)/7)+1)</f>
        <v/>
      </c>
      <c r="C302" s="9" t="n"/>
      <c r="D302" s="9" t="n"/>
      <c r="E302" s="9" t="n"/>
      <c r="F302" s="9" t="n"/>
      <c r="G302" s="9" t="n"/>
      <c r="H302" s="9" t="n"/>
      <c r="I302" s="9" t="n"/>
      <c r="J302" s="3" t="n"/>
      <c r="K302" s="9" t="n"/>
    </row>
    <row r="303">
      <c r="A303" s="4" t="n"/>
      <c r="B303" s="9">
        <f>IF(A303="","",INT((DAY(A303)-1)/7)+1)</f>
        <v/>
      </c>
      <c r="C303" s="9" t="n"/>
      <c r="D303" s="9" t="n"/>
      <c r="E303" s="9" t="n"/>
      <c r="F303" s="9" t="n"/>
      <c r="G303" s="9" t="n"/>
      <c r="H303" s="9" t="n"/>
      <c r="I303" s="9" t="n"/>
      <c r="J303" s="3" t="n"/>
      <c r="K303" s="9" t="n"/>
    </row>
    <row r="304">
      <c r="A304" s="4" t="n"/>
      <c r="B304" s="9">
        <f>IF(A304="","",INT((DAY(A304)-1)/7)+1)</f>
        <v/>
      </c>
      <c r="C304" s="9" t="n"/>
      <c r="D304" s="9" t="n"/>
      <c r="E304" s="9" t="n"/>
      <c r="F304" s="9" t="n"/>
      <c r="G304" s="9" t="n"/>
      <c r="H304" s="9" t="n"/>
      <c r="I304" s="9" t="n"/>
      <c r="J304" s="3" t="n"/>
      <c r="K304" s="9" t="n"/>
    </row>
    <row r="305">
      <c r="A305" s="4" t="n"/>
      <c r="B305" s="9">
        <f>IF(A305="","",INT((DAY(A305)-1)/7)+1)</f>
        <v/>
      </c>
      <c r="C305" s="9" t="n"/>
      <c r="D305" s="9" t="n"/>
      <c r="E305" s="9" t="n"/>
      <c r="F305" s="9" t="n"/>
      <c r="G305" s="9" t="n"/>
      <c r="H305" s="9" t="n"/>
      <c r="I305" s="9" t="n"/>
      <c r="J305" s="3" t="n"/>
      <c r="K305" s="9" t="n"/>
    </row>
    <row r="306">
      <c r="A306" s="4" t="n"/>
      <c r="B306" s="9">
        <f>IF(A306="","",INT((DAY(A306)-1)/7)+1)</f>
        <v/>
      </c>
      <c r="C306" s="9" t="n"/>
      <c r="D306" s="9" t="n"/>
      <c r="E306" s="9" t="n"/>
      <c r="F306" s="9" t="n"/>
      <c r="G306" s="9" t="n"/>
      <c r="H306" s="9" t="n"/>
      <c r="I306" s="9" t="n"/>
      <c r="J306" s="3" t="n"/>
      <c r="K306" s="9" t="n"/>
    </row>
    <row r="307">
      <c r="A307" s="4" t="n"/>
      <c r="B307" s="9">
        <f>IF(A307="","",INT((DAY(A307)-1)/7)+1)</f>
        <v/>
      </c>
      <c r="C307" s="9" t="n"/>
      <c r="D307" s="9" t="n"/>
      <c r="E307" s="9" t="n"/>
      <c r="F307" s="9" t="n"/>
      <c r="G307" s="9" t="n"/>
      <c r="H307" s="9" t="n"/>
      <c r="I307" s="9" t="n"/>
      <c r="J307" s="3" t="n"/>
      <c r="K307" s="9" t="n"/>
    </row>
    <row r="308">
      <c r="A308" s="4" t="n"/>
      <c r="B308" s="9">
        <f>IF(A308="","",INT((DAY(A308)-1)/7)+1)</f>
        <v/>
      </c>
      <c r="C308" s="9" t="n"/>
      <c r="D308" s="9" t="n"/>
      <c r="E308" s="9" t="n"/>
      <c r="F308" s="9" t="n"/>
      <c r="G308" s="9" t="n"/>
      <c r="H308" s="9" t="n"/>
      <c r="I308" s="9" t="n"/>
      <c r="J308" s="3" t="n"/>
      <c r="K308" s="9" t="n"/>
    </row>
    <row r="309">
      <c r="A309" s="4" t="n"/>
      <c r="B309" s="9">
        <f>IF(A309="","",INT((DAY(A309)-1)/7)+1)</f>
        <v/>
      </c>
      <c r="C309" s="9" t="n"/>
      <c r="D309" s="9" t="n"/>
      <c r="E309" s="9" t="n"/>
      <c r="F309" s="9" t="n"/>
      <c r="G309" s="9" t="n"/>
      <c r="H309" s="9" t="n"/>
      <c r="I309" s="9" t="n"/>
      <c r="J309" s="3" t="n"/>
      <c r="K309" s="9" t="n"/>
    </row>
    <row r="310">
      <c r="A310" s="4" t="n"/>
      <c r="B310" s="9">
        <f>IF(A310="","",INT((DAY(A310)-1)/7)+1)</f>
        <v/>
      </c>
      <c r="C310" s="9" t="n"/>
      <c r="D310" s="9" t="n"/>
      <c r="E310" s="9" t="n"/>
      <c r="F310" s="9" t="n"/>
      <c r="G310" s="9" t="n"/>
      <c r="H310" s="9" t="n"/>
      <c r="I310" s="9" t="n"/>
      <c r="J310" s="3" t="n"/>
      <c r="K310" s="9" t="n"/>
    </row>
    <row r="311">
      <c r="A311" s="4" t="n"/>
      <c r="B311" s="9">
        <f>IF(A311="","",INT((DAY(A311)-1)/7)+1)</f>
        <v/>
      </c>
      <c r="C311" s="9" t="n"/>
      <c r="D311" s="9" t="n"/>
      <c r="E311" s="9" t="n"/>
      <c r="F311" s="9" t="n"/>
      <c r="G311" s="9" t="n"/>
      <c r="H311" s="9" t="n"/>
      <c r="I311" s="9" t="n"/>
      <c r="J311" s="3" t="n"/>
      <c r="K311" s="9" t="n"/>
    </row>
    <row r="312">
      <c r="A312" s="4" t="n"/>
      <c r="B312" s="9">
        <f>IF(A312="","",INT((DAY(A312)-1)/7)+1)</f>
        <v/>
      </c>
      <c r="C312" s="9" t="n"/>
      <c r="D312" s="9" t="n"/>
      <c r="E312" s="9" t="n"/>
      <c r="F312" s="9" t="n"/>
      <c r="G312" s="9" t="n"/>
      <c r="H312" s="9" t="n"/>
      <c r="I312" s="9" t="n"/>
      <c r="J312" s="3" t="n"/>
      <c r="K312" s="9" t="n"/>
    </row>
    <row r="313">
      <c r="A313" s="4" t="n"/>
      <c r="B313" s="9">
        <f>IF(A313="","",INT((DAY(A313)-1)/7)+1)</f>
        <v/>
      </c>
      <c r="C313" s="9" t="n"/>
      <c r="D313" s="9" t="n"/>
      <c r="E313" s="9" t="n"/>
      <c r="F313" s="9" t="n"/>
      <c r="G313" s="9" t="n"/>
      <c r="H313" s="9" t="n"/>
      <c r="I313" s="9" t="n"/>
      <c r="J313" s="3" t="n"/>
      <c r="K313" s="9" t="n"/>
    </row>
    <row r="314">
      <c r="A314" s="4" t="n"/>
      <c r="B314" s="9">
        <f>IF(A314="","",INT((DAY(A314)-1)/7)+1)</f>
        <v/>
      </c>
      <c r="C314" s="9" t="n"/>
      <c r="D314" s="9" t="n"/>
      <c r="E314" s="9" t="n"/>
      <c r="F314" s="9" t="n"/>
      <c r="G314" s="9" t="n"/>
      <c r="H314" s="9" t="n"/>
      <c r="I314" s="9" t="n"/>
      <c r="J314" s="3" t="n"/>
      <c r="K314" s="9" t="n"/>
    </row>
    <row r="315">
      <c r="A315" s="4" t="n"/>
      <c r="B315" s="9">
        <f>IF(A315="","",INT((DAY(A315)-1)/7)+1)</f>
        <v/>
      </c>
      <c r="C315" s="9" t="n"/>
      <c r="D315" s="9" t="n"/>
      <c r="E315" s="9" t="n"/>
      <c r="F315" s="9" t="n"/>
      <c r="G315" s="9" t="n"/>
      <c r="H315" s="9" t="n"/>
      <c r="I315" s="9" t="n"/>
      <c r="J315" s="3" t="n"/>
      <c r="K315" s="9" t="n"/>
    </row>
    <row r="316">
      <c r="A316" s="4" t="n"/>
      <c r="B316" s="9">
        <f>IF(A316="","",INT((DAY(A316)-1)/7)+1)</f>
        <v/>
      </c>
      <c r="C316" s="9" t="n"/>
      <c r="D316" s="9" t="n"/>
      <c r="E316" s="9" t="n"/>
      <c r="F316" s="9" t="n"/>
      <c r="G316" s="9" t="n"/>
      <c r="H316" s="9" t="n"/>
      <c r="I316" s="9" t="n"/>
      <c r="J316" s="3" t="n"/>
      <c r="K316" s="9" t="n"/>
    </row>
    <row r="317">
      <c r="A317" s="4" t="n"/>
      <c r="B317" s="9">
        <f>IF(A317="","",INT((DAY(A317)-1)/7)+1)</f>
        <v/>
      </c>
      <c r="C317" s="9" t="n"/>
      <c r="D317" s="9" t="n"/>
      <c r="E317" s="9" t="n"/>
      <c r="F317" s="9" t="n"/>
      <c r="G317" s="9" t="n"/>
      <c r="H317" s="9" t="n"/>
      <c r="I317" s="9" t="n"/>
      <c r="J317" s="3" t="n"/>
      <c r="K317" s="9" t="n"/>
    </row>
    <row r="318">
      <c r="A318" s="4" t="n"/>
      <c r="B318" s="9">
        <f>IF(A318="","",INT((DAY(A318)-1)/7)+1)</f>
        <v/>
      </c>
      <c r="C318" s="9" t="n"/>
      <c r="D318" s="9" t="n"/>
      <c r="E318" s="9" t="n"/>
      <c r="F318" s="9" t="n"/>
      <c r="G318" s="9" t="n"/>
      <c r="H318" s="9" t="n"/>
      <c r="I318" s="9" t="n"/>
      <c r="J318" s="3" t="n"/>
      <c r="K318" s="9" t="n"/>
    </row>
    <row r="319">
      <c r="A319" s="4" t="n"/>
      <c r="B319" s="9">
        <f>IF(A319="","",INT((DAY(A319)-1)/7)+1)</f>
        <v/>
      </c>
      <c r="C319" s="9" t="n"/>
      <c r="D319" s="9" t="n"/>
      <c r="E319" s="9" t="n"/>
      <c r="F319" s="9" t="n"/>
      <c r="G319" s="9" t="n"/>
      <c r="H319" s="9" t="n"/>
      <c r="I319" s="9" t="n"/>
      <c r="J319" s="3" t="n"/>
      <c r="K319" s="9" t="n"/>
    </row>
    <row r="320">
      <c r="A320" s="4" t="n"/>
      <c r="B320" s="9">
        <f>IF(A320="","",INT((DAY(A320)-1)/7)+1)</f>
        <v/>
      </c>
      <c r="C320" s="9" t="n"/>
      <c r="D320" s="9" t="n"/>
      <c r="E320" s="9" t="n"/>
      <c r="F320" s="9" t="n"/>
      <c r="G320" s="9" t="n"/>
      <c r="H320" s="9" t="n"/>
      <c r="I320" s="9" t="n"/>
      <c r="J320" s="3" t="n"/>
      <c r="K320" s="9" t="n"/>
    </row>
    <row r="321">
      <c r="A321" s="4" t="n"/>
      <c r="B321" s="9">
        <f>IF(A321="","",INT((DAY(A321)-1)/7)+1)</f>
        <v/>
      </c>
      <c r="C321" s="9" t="n"/>
      <c r="D321" s="9" t="n"/>
      <c r="E321" s="9" t="n"/>
      <c r="F321" s="9" t="n"/>
      <c r="G321" s="9" t="n"/>
      <c r="H321" s="9" t="n"/>
      <c r="I321" s="9" t="n"/>
      <c r="J321" s="3" t="n"/>
      <c r="K321" s="9" t="n"/>
    </row>
    <row r="322">
      <c r="A322" s="4" t="n"/>
      <c r="B322" s="9">
        <f>IF(A322="","",INT((DAY(A322)-1)/7)+1)</f>
        <v/>
      </c>
      <c r="C322" s="9" t="n"/>
      <c r="D322" s="9" t="n"/>
      <c r="E322" s="9" t="n"/>
      <c r="F322" s="9" t="n"/>
      <c r="G322" s="9" t="n"/>
      <c r="H322" s="9" t="n"/>
      <c r="I322" s="9" t="n"/>
      <c r="J322" s="3" t="n"/>
      <c r="K322" s="9" t="n"/>
    </row>
    <row r="323">
      <c r="A323" s="4" t="n"/>
      <c r="B323" s="9">
        <f>IF(A323="","",INT((DAY(A323)-1)/7)+1)</f>
        <v/>
      </c>
      <c r="C323" s="9" t="n"/>
      <c r="D323" s="9" t="n"/>
      <c r="E323" s="9" t="n"/>
      <c r="F323" s="9" t="n"/>
      <c r="G323" s="9" t="n"/>
      <c r="H323" s="9" t="n"/>
      <c r="I323" s="9" t="n"/>
      <c r="J323" s="3" t="n"/>
      <c r="K323" s="9" t="n"/>
    </row>
    <row r="324">
      <c r="A324" s="4" t="n"/>
      <c r="B324" s="9">
        <f>IF(A324="","",INT((DAY(A324)-1)/7)+1)</f>
        <v/>
      </c>
      <c r="C324" s="9" t="n"/>
      <c r="D324" s="9" t="n"/>
      <c r="E324" s="9" t="n"/>
      <c r="F324" s="9" t="n"/>
      <c r="G324" s="9" t="n"/>
      <c r="H324" s="9" t="n"/>
      <c r="I324" s="9" t="n"/>
      <c r="J324" s="3" t="n"/>
      <c r="K324" s="9" t="n"/>
    </row>
    <row r="325">
      <c r="A325" s="4" t="n"/>
      <c r="B325" s="9">
        <f>IF(A325="","",INT((DAY(A325)-1)/7)+1)</f>
        <v/>
      </c>
      <c r="C325" s="9" t="n"/>
      <c r="D325" s="9" t="n"/>
      <c r="E325" s="9" t="n"/>
      <c r="F325" s="9" t="n"/>
      <c r="G325" s="9" t="n"/>
      <c r="H325" s="9" t="n"/>
      <c r="I325" s="9" t="n"/>
      <c r="J325" s="3" t="n"/>
      <c r="K325" s="9" t="n"/>
    </row>
    <row r="326">
      <c r="A326" s="4" t="n"/>
      <c r="B326" s="9">
        <f>IF(A326="","",INT((DAY(A326)-1)/7)+1)</f>
        <v/>
      </c>
      <c r="C326" s="9" t="n"/>
      <c r="D326" s="9" t="n"/>
      <c r="E326" s="9" t="n"/>
      <c r="F326" s="9" t="n"/>
      <c r="G326" s="9" t="n"/>
      <c r="H326" s="9" t="n"/>
      <c r="I326" s="9" t="n"/>
      <c r="J326" s="3" t="n"/>
      <c r="K326" s="9" t="n"/>
    </row>
    <row r="327">
      <c r="A327" s="4" t="n"/>
      <c r="B327" s="9">
        <f>IF(A327="","",INT((DAY(A327)-1)/7)+1)</f>
        <v/>
      </c>
      <c r="C327" s="9" t="n"/>
      <c r="D327" s="9" t="n"/>
      <c r="E327" s="9" t="n"/>
      <c r="F327" s="9" t="n"/>
      <c r="G327" s="9" t="n"/>
      <c r="H327" s="9" t="n"/>
      <c r="I327" s="9" t="n"/>
      <c r="J327" s="3" t="n"/>
      <c r="K327" s="9" t="n"/>
    </row>
    <row r="328">
      <c r="A328" s="4" t="n"/>
      <c r="B328" s="9">
        <f>IF(A328="","",INT((DAY(A328)-1)/7)+1)</f>
        <v/>
      </c>
      <c r="C328" s="9" t="n"/>
      <c r="D328" s="9" t="n"/>
      <c r="E328" s="9" t="n"/>
      <c r="F328" s="9" t="n"/>
      <c r="G328" s="9" t="n"/>
      <c r="H328" s="9" t="n"/>
      <c r="I328" s="9" t="n"/>
      <c r="J328" s="3" t="n"/>
      <c r="K328" s="9" t="n"/>
    </row>
    <row r="329">
      <c r="A329" s="4" t="n"/>
      <c r="B329" s="9">
        <f>IF(A329="","",INT((DAY(A329)-1)/7)+1)</f>
        <v/>
      </c>
      <c r="C329" s="9" t="n"/>
      <c r="D329" s="9" t="n"/>
      <c r="E329" s="9" t="n"/>
      <c r="F329" s="9" t="n"/>
      <c r="G329" s="9" t="n"/>
      <c r="H329" s="9" t="n"/>
      <c r="I329" s="9" t="n"/>
      <c r="J329" s="3" t="n"/>
      <c r="K329" s="9" t="n"/>
    </row>
    <row r="330">
      <c r="A330" s="4" t="n"/>
      <c r="B330" s="9">
        <f>IF(A330="","",INT((DAY(A330)-1)/7)+1)</f>
        <v/>
      </c>
      <c r="C330" s="9" t="n"/>
      <c r="D330" s="9" t="n"/>
      <c r="E330" s="9" t="n"/>
      <c r="F330" s="9" t="n"/>
      <c r="G330" s="9" t="n"/>
      <c r="H330" s="9" t="n"/>
      <c r="I330" s="9" t="n"/>
      <c r="J330" s="3" t="n"/>
      <c r="K330" s="9" t="n"/>
    </row>
    <row r="331">
      <c r="A331" s="4" t="n"/>
      <c r="B331" s="9">
        <f>IF(A331="","",INT((DAY(A331)-1)/7)+1)</f>
        <v/>
      </c>
      <c r="C331" s="9" t="n"/>
      <c r="D331" s="9" t="n"/>
      <c r="E331" s="9" t="n"/>
      <c r="F331" s="9" t="n"/>
      <c r="G331" s="9" t="n"/>
      <c r="H331" s="9" t="n"/>
      <c r="I331" s="9" t="n"/>
      <c r="J331" s="3" t="n"/>
      <c r="K331" s="9" t="n"/>
    </row>
    <row r="332">
      <c r="A332" s="4" t="n"/>
      <c r="B332" s="9">
        <f>IF(A332="","",INT((DAY(A332)-1)/7)+1)</f>
        <v/>
      </c>
      <c r="C332" s="9" t="n"/>
      <c r="D332" s="9" t="n"/>
      <c r="E332" s="9" t="n"/>
      <c r="F332" s="9" t="n"/>
      <c r="G332" s="9" t="n"/>
      <c r="H332" s="9" t="n"/>
      <c r="I332" s="9" t="n"/>
      <c r="J332" s="3" t="n"/>
      <c r="K332" s="9" t="n"/>
    </row>
    <row r="333">
      <c r="A333" s="4" t="n"/>
      <c r="B333" s="9">
        <f>IF(A333="","",INT((DAY(A333)-1)/7)+1)</f>
        <v/>
      </c>
      <c r="C333" s="9" t="n"/>
      <c r="D333" s="9" t="n"/>
      <c r="E333" s="9" t="n"/>
      <c r="F333" s="9" t="n"/>
      <c r="G333" s="9" t="n"/>
      <c r="H333" s="9" t="n"/>
      <c r="I333" s="9" t="n"/>
      <c r="J333" s="3" t="n"/>
      <c r="K333" s="9" t="n"/>
    </row>
    <row r="334">
      <c r="A334" s="4" t="n"/>
      <c r="B334" s="9">
        <f>IF(A334="","",INT((DAY(A334)-1)/7)+1)</f>
        <v/>
      </c>
      <c r="C334" s="9" t="n"/>
      <c r="D334" s="9" t="n"/>
      <c r="E334" s="9" t="n"/>
      <c r="F334" s="9" t="n"/>
      <c r="G334" s="9" t="n"/>
      <c r="H334" s="9" t="n"/>
      <c r="I334" s="9" t="n"/>
      <c r="J334" s="3" t="n"/>
      <c r="K334" s="9" t="n"/>
    </row>
    <row r="335">
      <c r="A335" s="4" t="n"/>
      <c r="B335" s="9">
        <f>IF(A335="","",INT((DAY(A335)-1)/7)+1)</f>
        <v/>
      </c>
      <c r="C335" s="9" t="n"/>
      <c r="D335" s="9" t="n"/>
      <c r="E335" s="9" t="n"/>
      <c r="F335" s="9" t="n"/>
      <c r="G335" s="9" t="n"/>
      <c r="H335" s="9" t="n"/>
      <c r="I335" s="9" t="n"/>
      <c r="J335" s="3" t="n"/>
      <c r="K335" s="9" t="n"/>
    </row>
    <row r="336">
      <c r="A336" s="4" t="n"/>
      <c r="B336" s="9">
        <f>IF(A336="","",INT((DAY(A336)-1)/7)+1)</f>
        <v/>
      </c>
      <c r="C336" s="9" t="n"/>
      <c r="D336" s="9" t="n"/>
      <c r="E336" s="9" t="n"/>
      <c r="F336" s="9" t="n"/>
      <c r="G336" s="9" t="n"/>
      <c r="H336" s="9" t="n"/>
      <c r="I336" s="9" t="n"/>
      <c r="J336" s="3" t="n"/>
      <c r="K336" s="9" t="n"/>
    </row>
    <row r="337">
      <c r="A337" s="4" t="n"/>
      <c r="B337" s="9">
        <f>IF(A337="","",INT((DAY(A337)-1)/7)+1)</f>
        <v/>
      </c>
      <c r="C337" s="9" t="n"/>
      <c r="D337" s="9" t="n"/>
      <c r="E337" s="9" t="n"/>
      <c r="F337" s="9" t="n"/>
      <c r="G337" s="9" t="n"/>
      <c r="H337" s="9" t="n"/>
      <c r="I337" s="9" t="n"/>
      <c r="J337" s="3" t="n"/>
      <c r="K337" s="9" t="n"/>
    </row>
    <row r="338">
      <c r="A338" s="4" t="n"/>
      <c r="B338" s="9">
        <f>IF(A338="","",INT((DAY(A338)-1)/7)+1)</f>
        <v/>
      </c>
      <c r="C338" s="9" t="n"/>
      <c r="D338" s="9" t="n"/>
      <c r="E338" s="9" t="n"/>
      <c r="F338" s="9" t="n"/>
      <c r="G338" s="9" t="n"/>
      <c r="H338" s="9" t="n"/>
      <c r="I338" s="9" t="n"/>
      <c r="J338" s="3" t="n"/>
      <c r="K338" s="9" t="n"/>
    </row>
    <row r="339">
      <c r="A339" s="4" t="n"/>
      <c r="B339" s="9">
        <f>IF(A339="","",INT((DAY(A339)-1)/7)+1)</f>
        <v/>
      </c>
      <c r="C339" s="9" t="n"/>
      <c r="D339" s="9" t="n"/>
      <c r="E339" s="9" t="n"/>
      <c r="F339" s="9" t="n"/>
      <c r="G339" s="9" t="n"/>
      <c r="H339" s="9" t="n"/>
      <c r="I339" s="9" t="n"/>
      <c r="J339" s="3" t="n"/>
      <c r="K339" s="9" t="n"/>
    </row>
    <row r="340">
      <c r="A340" s="4" t="n"/>
      <c r="B340" s="9">
        <f>IF(A340="","",INT((DAY(A340)-1)/7)+1)</f>
        <v/>
      </c>
      <c r="C340" s="9" t="n"/>
      <c r="D340" s="9" t="n"/>
      <c r="E340" s="9" t="n"/>
      <c r="F340" s="9" t="n"/>
      <c r="G340" s="9" t="n"/>
      <c r="H340" s="9" t="n"/>
      <c r="I340" s="9" t="n"/>
      <c r="J340" s="3" t="n"/>
      <c r="K340" s="9" t="n"/>
    </row>
    <row r="341">
      <c r="A341" s="4" t="n"/>
      <c r="B341" s="9">
        <f>IF(A341="","",INT((DAY(A341)-1)/7)+1)</f>
        <v/>
      </c>
      <c r="C341" s="9" t="n"/>
      <c r="D341" s="9" t="n"/>
      <c r="E341" s="9" t="n"/>
      <c r="F341" s="9" t="n"/>
      <c r="G341" s="9" t="n"/>
      <c r="H341" s="9" t="n"/>
      <c r="I341" s="9" t="n"/>
      <c r="J341" s="3" t="n"/>
      <c r="K341" s="9" t="n"/>
    </row>
    <row r="342">
      <c r="A342" s="4" t="n"/>
      <c r="B342" s="9">
        <f>IF(A342="","",INT((DAY(A342)-1)/7)+1)</f>
        <v/>
      </c>
      <c r="C342" s="9" t="n"/>
      <c r="D342" s="9" t="n"/>
      <c r="E342" s="9" t="n"/>
      <c r="F342" s="9" t="n"/>
      <c r="G342" s="9" t="n"/>
      <c r="H342" s="9" t="n"/>
      <c r="I342" s="9" t="n"/>
      <c r="J342" s="3" t="n"/>
      <c r="K342" s="9" t="n"/>
    </row>
    <row r="343">
      <c r="A343" s="4" t="n"/>
      <c r="B343" s="9">
        <f>IF(A343="","",INT((DAY(A343)-1)/7)+1)</f>
        <v/>
      </c>
      <c r="C343" s="9" t="n"/>
      <c r="D343" s="9" t="n"/>
      <c r="E343" s="9" t="n"/>
      <c r="F343" s="9" t="n"/>
      <c r="G343" s="9" t="n"/>
      <c r="H343" s="9" t="n"/>
      <c r="I343" s="9" t="n"/>
      <c r="J343" s="3" t="n"/>
      <c r="K343" s="9" t="n"/>
    </row>
    <row r="344">
      <c r="A344" s="4" t="n"/>
      <c r="B344" s="9">
        <f>IF(A344="","",INT((DAY(A344)-1)/7)+1)</f>
        <v/>
      </c>
      <c r="C344" s="9" t="n"/>
      <c r="D344" s="9" t="n"/>
      <c r="E344" s="9" t="n"/>
      <c r="F344" s="9" t="n"/>
      <c r="G344" s="9" t="n"/>
      <c r="H344" s="9" t="n"/>
      <c r="I344" s="9" t="n"/>
      <c r="J344" s="3" t="n"/>
      <c r="K344" s="9" t="n"/>
    </row>
    <row r="345">
      <c r="A345" s="4" t="n"/>
      <c r="B345" s="9">
        <f>IF(A345="","",INT((DAY(A345)-1)/7)+1)</f>
        <v/>
      </c>
      <c r="C345" s="9" t="n"/>
      <c r="D345" s="9" t="n"/>
      <c r="E345" s="9" t="n"/>
      <c r="F345" s="9" t="n"/>
      <c r="G345" s="9" t="n"/>
      <c r="H345" s="9" t="n"/>
      <c r="I345" s="9" t="n"/>
      <c r="J345" s="3" t="n"/>
      <c r="K345" s="9" t="n"/>
    </row>
    <row r="346">
      <c r="A346" s="4" t="n"/>
      <c r="B346" s="9">
        <f>IF(A346="","",INT((DAY(A346)-1)/7)+1)</f>
        <v/>
      </c>
      <c r="C346" s="9" t="n"/>
      <c r="D346" s="9" t="n"/>
      <c r="E346" s="9" t="n"/>
      <c r="F346" s="9" t="n"/>
      <c r="G346" s="9" t="n"/>
      <c r="H346" s="9" t="n"/>
      <c r="I346" s="9" t="n"/>
      <c r="J346" s="3" t="n"/>
      <c r="K346" s="9" t="n"/>
    </row>
    <row r="347">
      <c r="A347" s="4" t="n"/>
      <c r="B347" s="9">
        <f>IF(A347="","",INT((DAY(A347)-1)/7)+1)</f>
        <v/>
      </c>
      <c r="C347" s="9" t="n"/>
      <c r="D347" s="9" t="n"/>
      <c r="E347" s="9" t="n"/>
      <c r="F347" s="9" t="n"/>
      <c r="G347" s="9" t="n"/>
      <c r="H347" s="9" t="n"/>
      <c r="I347" s="9" t="n"/>
      <c r="J347" s="3" t="n"/>
      <c r="K347" s="9" t="n"/>
    </row>
    <row r="348">
      <c r="A348" s="4" t="n"/>
      <c r="B348" s="9">
        <f>IF(A348="","",INT((DAY(A348)-1)/7)+1)</f>
        <v/>
      </c>
      <c r="C348" s="9" t="n"/>
      <c r="D348" s="9" t="n"/>
      <c r="E348" s="9" t="n"/>
      <c r="F348" s="9" t="n"/>
      <c r="G348" s="9" t="n"/>
      <c r="H348" s="9" t="n"/>
      <c r="I348" s="9" t="n"/>
      <c r="J348" s="3" t="n"/>
      <c r="K348" s="9" t="n"/>
    </row>
    <row r="349">
      <c r="A349" s="4" t="n"/>
      <c r="B349" s="9">
        <f>IF(A349="","",INT((DAY(A349)-1)/7)+1)</f>
        <v/>
      </c>
      <c r="C349" s="9" t="n"/>
      <c r="D349" s="9" t="n"/>
      <c r="E349" s="9" t="n"/>
      <c r="F349" s="9" t="n"/>
      <c r="G349" s="9" t="n"/>
      <c r="H349" s="9" t="n"/>
      <c r="I349" s="9" t="n"/>
      <c r="J349" s="3" t="n"/>
      <c r="K349" s="9" t="n"/>
    </row>
    <row r="350">
      <c r="A350" s="4" t="n"/>
      <c r="B350" s="9">
        <f>IF(A350="","",INT((DAY(A350)-1)/7)+1)</f>
        <v/>
      </c>
      <c r="C350" s="9" t="n"/>
      <c r="D350" s="9" t="n"/>
      <c r="E350" s="9" t="n"/>
      <c r="F350" s="9" t="n"/>
      <c r="G350" s="9" t="n"/>
      <c r="H350" s="9" t="n"/>
      <c r="I350" s="9" t="n"/>
      <c r="J350" s="3" t="n"/>
      <c r="K350" s="9" t="n"/>
    </row>
    <row r="351">
      <c r="A351" s="4" t="n"/>
      <c r="B351" s="9">
        <f>IF(A351="","",INT((DAY(A351)-1)/7)+1)</f>
        <v/>
      </c>
      <c r="C351" s="9" t="n"/>
      <c r="D351" s="9" t="n"/>
      <c r="E351" s="9" t="n"/>
      <c r="F351" s="9" t="n"/>
      <c r="G351" s="9" t="n"/>
      <c r="H351" s="9" t="n"/>
      <c r="I351" s="9" t="n"/>
      <c r="J351" s="3" t="n"/>
      <c r="K351" s="9" t="n"/>
    </row>
    <row r="352">
      <c r="A352" s="4" t="n"/>
      <c r="B352" s="9">
        <f>IF(A352="","",INT((DAY(A352)-1)/7)+1)</f>
        <v/>
      </c>
      <c r="C352" s="9" t="n"/>
      <c r="D352" s="9" t="n"/>
      <c r="E352" s="9" t="n"/>
      <c r="F352" s="9" t="n"/>
      <c r="G352" s="9" t="n"/>
      <c r="H352" s="9" t="n"/>
      <c r="I352" s="9" t="n"/>
      <c r="J352" s="3" t="n"/>
      <c r="K352" s="9" t="n"/>
    </row>
    <row r="353">
      <c r="A353" s="4" t="n"/>
      <c r="B353" s="9">
        <f>IF(A353="","",INT((DAY(A353)-1)/7)+1)</f>
        <v/>
      </c>
      <c r="C353" s="9" t="n"/>
      <c r="D353" s="9" t="n"/>
      <c r="E353" s="9" t="n"/>
      <c r="F353" s="9" t="n"/>
      <c r="G353" s="9" t="n"/>
      <c r="H353" s="9" t="n"/>
      <c r="I353" s="9" t="n"/>
      <c r="J353" s="3" t="n"/>
      <c r="K353" s="9" t="n"/>
    </row>
    <row r="354">
      <c r="A354" s="4" t="n"/>
      <c r="B354" s="9">
        <f>IF(A354="","",INT((DAY(A354)-1)/7)+1)</f>
        <v/>
      </c>
      <c r="C354" s="9" t="n"/>
      <c r="D354" s="9" t="n"/>
      <c r="E354" s="9" t="n"/>
      <c r="F354" s="9" t="n"/>
      <c r="G354" s="9" t="n"/>
      <c r="H354" s="9" t="n"/>
      <c r="I354" s="9" t="n"/>
      <c r="J354" s="3" t="n"/>
      <c r="K354" s="9" t="n"/>
    </row>
    <row r="355">
      <c r="A355" s="4" t="n"/>
      <c r="B355" s="9">
        <f>IF(A355="","",INT((DAY(A355)-1)/7)+1)</f>
        <v/>
      </c>
      <c r="C355" s="9" t="n"/>
      <c r="D355" s="9" t="n"/>
      <c r="E355" s="9" t="n"/>
      <c r="F355" s="9" t="n"/>
      <c r="G355" s="9" t="n"/>
      <c r="H355" s="9" t="n"/>
      <c r="I355" s="9" t="n"/>
      <c r="J355" s="3" t="n"/>
      <c r="K355" s="9" t="n"/>
    </row>
    <row r="356">
      <c r="A356" s="4" t="n"/>
      <c r="B356" s="9">
        <f>IF(A356="","",INT((DAY(A356)-1)/7)+1)</f>
        <v/>
      </c>
      <c r="C356" s="9" t="n"/>
      <c r="D356" s="9" t="n"/>
      <c r="E356" s="9" t="n"/>
      <c r="F356" s="9" t="n"/>
      <c r="G356" s="9" t="n"/>
      <c r="H356" s="9" t="n"/>
      <c r="I356" s="9" t="n"/>
      <c r="J356" s="3" t="n"/>
      <c r="K356" s="9" t="n"/>
    </row>
    <row r="357">
      <c r="A357" s="4" t="n"/>
      <c r="B357" s="9">
        <f>IF(A357="","",INT((DAY(A357)-1)/7)+1)</f>
        <v/>
      </c>
      <c r="C357" s="9" t="n"/>
      <c r="D357" s="9" t="n"/>
      <c r="E357" s="9" t="n"/>
      <c r="F357" s="9" t="n"/>
      <c r="G357" s="9" t="n"/>
      <c r="H357" s="9" t="n"/>
      <c r="I357" s="9" t="n"/>
      <c r="J357" s="3" t="n"/>
      <c r="K357" s="9" t="n"/>
    </row>
    <row r="358">
      <c r="A358" s="4" t="n"/>
      <c r="B358" s="9">
        <f>IF(A358="","",INT((DAY(A358)-1)/7)+1)</f>
        <v/>
      </c>
      <c r="C358" s="9" t="n"/>
      <c r="D358" s="9" t="n"/>
      <c r="E358" s="9" t="n"/>
      <c r="F358" s="9" t="n"/>
      <c r="G358" s="9" t="n"/>
      <c r="H358" s="9" t="n"/>
      <c r="I358" s="9" t="n"/>
      <c r="J358" s="3" t="n"/>
      <c r="K358" s="9" t="n"/>
    </row>
    <row r="359">
      <c r="A359" s="4" t="n"/>
      <c r="B359" s="9">
        <f>IF(A359="","",INT((DAY(A359)-1)/7)+1)</f>
        <v/>
      </c>
      <c r="C359" s="9" t="n"/>
      <c r="D359" s="9" t="n"/>
      <c r="E359" s="9" t="n"/>
      <c r="F359" s="9" t="n"/>
      <c r="G359" s="9" t="n"/>
      <c r="H359" s="9" t="n"/>
      <c r="I359" s="9" t="n"/>
      <c r="J359" s="3" t="n"/>
      <c r="K359" s="9" t="n"/>
    </row>
    <row r="360">
      <c r="A360" s="4" t="n"/>
      <c r="B360" s="9">
        <f>IF(A360="","",INT((DAY(A360)-1)/7)+1)</f>
        <v/>
      </c>
      <c r="C360" s="9" t="n"/>
      <c r="D360" s="9" t="n"/>
      <c r="E360" s="9" t="n"/>
      <c r="F360" s="9" t="n"/>
      <c r="G360" s="9" t="n"/>
      <c r="H360" s="9" t="n"/>
      <c r="I360" s="9" t="n"/>
      <c r="J360" s="3" t="n"/>
      <c r="K360" s="9" t="n"/>
    </row>
    <row r="361">
      <c r="A361" s="4" t="n"/>
      <c r="B361" s="9">
        <f>IF(A361="","",INT((DAY(A361)-1)/7)+1)</f>
        <v/>
      </c>
      <c r="C361" s="9" t="n"/>
      <c r="D361" s="9" t="n"/>
      <c r="E361" s="9" t="n"/>
      <c r="F361" s="9" t="n"/>
      <c r="G361" s="9" t="n"/>
      <c r="H361" s="9" t="n"/>
      <c r="I361" s="9" t="n"/>
      <c r="J361" s="3" t="n"/>
      <c r="K361" s="9" t="n"/>
    </row>
    <row r="362">
      <c r="A362" s="4" t="n"/>
      <c r="B362" s="9">
        <f>IF(A362="","",INT((DAY(A362)-1)/7)+1)</f>
        <v/>
      </c>
      <c r="C362" s="9" t="n"/>
      <c r="D362" s="9" t="n"/>
      <c r="E362" s="9" t="n"/>
      <c r="F362" s="9" t="n"/>
      <c r="G362" s="9" t="n"/>
      <c r="H362" s="9" t="n"/>
      <c r="I362" s="9" t="n"/>
      <c r="J362" s="3" t="n"/>
      <c r="K362" s="9" t="n"/>
    </row>
    <row r="363">
      <c r="A363" s="4" t="n"/>
      <c r="B363" s="9">
        <f>IF(A363="","",INT((DAY(A363)-1)/7)+1)</f>
        <v/>
      </c>
      <c r="C363" s="9" t="n"/>
      <c r="D363" s="9" t="n"/>
      <c r="E363" s="9" t="n"/>
      <c r="F363" s="9" t="n"/>
      <c r="G363" s="9" t="n"/>
      <c r="H363" s="9" t="n"/>
      <c r="I363" s="9" t="n"/>
      <c r="J363" s="3" t="n"/>
      <c r="K363" s="9" t="n"/>
    </row>
    <row r="364">
      <c r="A364" s="4" t="n"/>
      <c r="B364" s="9">
        <f>IF(A364="","",INT((DAY(A364)-1)/7)+1)</f>
        <v/>
      </c>
      <c r="C364" s="9" t="n"/>
      <c r="D364" s="9" t="n"/>
      <c r="E364" s="9" t="n"/>
      <c r="F364" s="9" t="n"/>
      <c r="G364" s="9" t="n"/>
      <c r="H364" s="9" t="n"/>
      <c r="I364" s="9" t="n"/>
      <c r="J364" s="3" t="n"/>
      <c r="K364" s="9" t="n"/>
    </row>
    <row r="365">
      <c r="A365" s="4" t="n"/>
      <c r="B365" s="9">
        <f>IF(A365="","",INT((DAY(A365)-1)/7)+1)</f>
        <v/>
      </c>
      <c r="C365" s="9" t="n"/>
      <c r="D365" s="9" t="n"/>
      <c r="E365" s="9" t="n"/>
      <c r="F365" s="9" t="n"/>
      <c r="G365" s="9" t="n"/>
      <c r="H365" s="9" t="n"/>
      <c r="I365" s="9" t="n"/>
      <c r="J365" s="3" t="n"/>
      <c r="K365" s="9" t="n"/>
    </row>
    <row r="366">
      <c r="A366" s="4" t="n"/>
      <c r="B366" s="9">
        <f>IF(A366="","",INT((DAY(A366)-1)/7)+1)</f>
        <v/>
      </c>
      <c r="C366" s="9" t="n"/>
      <c r="D366" s="9" t="n"/>
      <c r="E366" s="9" t="n"/>
      <c r="F366" s="9" t="n"/>
      <c r="G366" s="9" t="n"/>
      <c r="H366" s="9" t="n"/>
      <c r="I366" s="9" t="n"/>
      <c r="J366" s="3" t="n"/>
      <c r="K366" s="9" t="n"/>
    </row>
    <row r="367">
      <c r="A367" s="4" t="n"/>
      <c r="B367" s="9">
        <f>IF(A367="","",INT((DAY(A367)-1)/7)+1)</f>
        <v/>
      </c>
      <c r="C367" s="9" t="n"/>
      <c r="D367" s="9" t="n"/>
      <c r="E367" s="9" t="n"/>
      <c r="F367" s="9" t="n"/>
      <c r="G367" s="9" t="n"/>
      <c r="H367" s="9" t="n"/>
      <c r="I367" s="9" t="n"/>
      <c r="J367" s="3" t="n"/>
      <c r="K367" s="9" t="n"/>
    </row>
    <row r="368">
      <c r="A368" s="4" t="n"/>
      <c r="B368" s="9">
        <f>IF(A368="","",INT((DAY(A368)-1)/7)+1)</f>
        <v/>
      </c>
      <c r="C368" s="9" t="n"/>
      <c r="D368" s="9" t="n"/>
      <c r="E368" s="9" t="n"/>
      <c r="F368" s="9" t="n"/>
      <c r="G368" s="9" t="n"/>
      <c r="H368" s="9" t="n"/>
      <c r="I368" s="9" t="n"/>
      <c r="J368" s="3" t="n"/>
      <c r="K368" s="9" t="n"/>
    </row>
    <row r="369">
      <c r="A369" s="4" t="n"/>
      <c r="B369" s="9">
        <f>IF(A369="","",INT((DAY(A369)-1)/7)+1)</f>
        <v/>
      </c>
      <c r="C369" s="9" t="n"/>
      <c r="D369" s="9" t="n"/>
      <c r="E369" s="9" t="n"/>
      <c r="F369" s="9" t="n"/>
      <c r="G369" s="9" t="n"/>
      <c r="H369" s="9" t="n"/>
      <c r="I369" s="9" t="n"/>
      <c r="J369" s="3" t="n"/>
      <c r="K369" s="9" t="n"/>
    </row>
    <row r="370">
      <c r="A370" s="4" t="n"/>
      <c r="B370" s="9">
        <f>IF(A370="","",INT((DAY(A370)-1)/7)+1)</f>
        <v/>
      </c>
      <c r="C370" s="9" t="n"/>
      <c r="D370" s="9" t="n"/>
      <c r="E370" s="9" t="n"/>
      <c r="F370" s="9" t="n"/>
      <c r="G370" s="9" t="n"/>
      <c r="H370" s="9" t="n"/>
      <c r="I370" s="9" t="n"/>
      <c r="J370" s="3" t="n"/>
      <c r="K370" s="9" t="n"/>
    </row>
    <row r="371">
      <c r="A371" s="4" t="n"/>
      <c r="B371" s="9">
        <f>IF(A371="","",INT((DAY(A371)-1)/7)+1)</f>
        <v/>
      </c>
      <c r="C371" s="9" t="n"/>
      <c r="D371" s="9" t="n"/>
      <c r="E371" s="9" t="n"/>
      <c r="F371" s="9" t="n"/>
      <c r="G371" s="9" t="n"/>
      <c r="H371" s="9" t="n"/>
      <c r="I371" s="9" t="n"/>
      <c r="J371" s="3" t="n"/>
      <c r="K371" s="9" t="n"/>
    </row>
    <row r="372">
      <c r="A372" s="4" t="n"/>
      <c r="B372" s="9">
        <f>IF(A372="","",INT((DAY(A372)-1)/7)+1)</f>
        <v/>
      </c>
      <c r="C372" s="9" t="n"/>
      <c r="D372" s="9" t="n"/>
      <c r="E372" s="9" t="n"/>
      <c r="F372" s="9" t="n"/>
      <c r="G372" s="9" t="n"/>
      <c r="H372" s="9" t="n"/>
      <c r="I372" s="9" t="n"/>
      <c r="J372" s="3" t="n"/>
      <c r="K372" s="9" t="n"/>
    </row>
    <row r="373">
      <c r="A373" s="4" t="n"/>
      <c r="B373" s="9">
        <f>IF(A373="","",INT((DAY(A373)-1)/7)+1)</f>
        <v/>
      </c>
      <c r="C373" s="9" t="n"/>
      <c r="D373" s="9" t="n"/>
      <c r="E373" s="9" t="n"/>
      <c r="F373" s="9" t="n"/>
      <c r="G373" s="9" t="n"/>
      <c r="H373" s="9" t="n"/>
      <c r="I373" s="9" t="n"/>
      <c r="J373" s="3" t="n"/>
      <c r="K373" s="9" t="n"/>
    </row>
    <row r="374">
      <c r="A374" s="4" t="n"/>
      <c r="B374" s="9">
        <f>IF(A374="","",INT((DAY(A374)-1)/7)+1)</f>
        <v/>
      </c>
      <c r="C374" s="9" t="n"/>
      <c r="D374" s="9" t="n"/>
      <c r="E374" s="9" t="n"/>
      <c r="F374" s="9" t="n"/>
      <c r="G374" s="9" t="n"/>
      <c r="H374" s="9" t="n"/>
      <c r="I374" s="9" t="n"/>
      <c r="J374" s="3" t="n"/>
      <c r="K374" s="9" t="n"/>
    </row>
    <row r="375">
      <c r="A375" s="4" t="n"/>
      <c r="B375" s="9">
        <f>IF(A375="","",INT((DAY(A375)-1)/7)+1)</f>
        <v/>
      </c>
      <c r="C375" s="9" t="n"/>
      <c r="D375" s="9" t="n"/>
      <c r="E375" s="9" t="n"/>
      <c r="F375" s="9" t="n"/>
      <c r="G375" s="9" t="n"/>
      <c r="H375" s="9" t="n"/>
      <c r="I375" s="9" t="n"/>
      <c r="J375" s="3" t="n"/>
      <c r="K375" s="9" t="n"/>
    </row>
    <row r="376">
      <c r="A376" s="4" t="n"/>
      <c r="B376" s="9">
        <f>IF(A376="","",INT((DAY(A376)-1)/7)+1)</f>
        <v/>
      </c>
      <c r="C376" s="9" t="n"/>
      <c r="D376" s="9" t="n"/>
      <c r="E376" s="9" t="n"/>
      <c r="F376" s="9" t="n"/>
      <c r="G376" s="9" t="n"/>
      <c r="H376" s="9" t="n"/>
      <c r="I376" s="9" t="n"/>
      <c r="J376" s="3" t="n"/>
      <c r="K376" s="9" t="n"/>
    </row>
    <row r="377">
      <c r="A377" s="4" t="n"/>
      <c r="B377" s="9">
        <f>IF(A377="","",INT((DAY(A377)-1)/7)+1)</f>
        <v/>
      </c>
      <c r="C377" s="9" t="n"/>
      <c r="D377" s="9" t="n"/>
      <c r="E377" s="9" t="n"/>
      <c r="F377" s="9" t="n"/>
      <c r="G377" s="9" t="n"/>
      <c r="H377" s="9" t="n"/>
      <c r="I377" s="9" t="n"/>
      <c r="J377" s="3" t="n"/>
      <c r="K377" s="9" t="n"/>
    </row>
    <row r="378">
      <c r="A378" s="4" t="n"/>
      <c r="B378" s="9">
        <f>IF(A378="","",INT((DAY(A378)-1)/7)+1)</f>
        <v/>
      </c>
      <c r="C378" s="9" t="n"/>
      <c r="D378" s="9" t="n"/>
      <c r="E378" s="9" t="n"/>
      <c r="F378" s="9" t="n"/>
      <c r="G378" s="9" t="n"/>
      <c r="H378" s="9" t="n"/>
      <c r="I378" s="9" t="n"/>
      <c r="J378" s="3" t="n"/>
      <c r="K378" s="9" t="n"/>
    </row>
    <row r="379">
      <c r="A379" s="4" t="n"/>
      <c r="B379" s="9">
        <f>IF(A379="","",INT((DAY(A379)-1)/7)+1)</f>
        <v/>
      </c>
      <c r="C379" s="9" t="n"/>
      <c r="D379" s="9" t="n"/>
      <c r="E379" s="9" t="n"/>
      <c r="F379" s="9" t="n"/>
      <c r="G379" s="9" t="n"/>
      <c r="H379" s="9" t="n"/>
      <c r="I379" s="9" t="n"/>
      <c r="J379" s="3" t="n"/>
      <c r="K379" s="9" t="n"/>
    </row>
    <row r="380">
      <c r="A380" s="4" t="n"/>
      <c r="B380" s="9">
        <f>IF(A380="","",INT((DAY(A380)-1)/7)+1)</f>
        <v/>
      </c>
      <c r="C380" s="9" t="n"/>
      <c r="D380" s="9" t="n"/>
      <c r="E380" s="9" t="n"/>
      <c r="F380" s="9" t="n"/>
      <c r="G380" s="9" t="n"/>
      <c r="H380" s="9" t="n"/>
      <c r="I380" s="9" t="n"/>
      <c r="J380" s="3" t="n"/>
      <c r="K380" s="9" t="n"/>
    </row>
    <row r="381">
      <c r="A381" s="4" t="n"/>
      <c r="B381" s="9">
        <f>IF(A381="","",INT((DAY(A381)-1)/7)+1)</f>
        <v/>
      </c>
      <c r="C381" s="9" t="n"/>
      <c r="D381" s="9" t="n"/>
      <c r="E381" s="9" t="n"/>
      <c r="F381" s="9" t="n"/>
      <c r="G381" s="9" t="n"/>
      <c r="H381" s="9" t="n"/>
      <c r="I381" s="9" t="n"/>
      <c r="J381" s="3" t="n"/>
      <c r="K381" s="9" t="n"/>
    </row>
    <row r="382">
      <c r="A382" s="4" t="n"/>
      <c r="B382" s="9">
        <f>IF(A382="","",INT((DAY(A382)-1)/7)+1)</f>
        <v/>
      </c>
      <c r="C382" s="9" t="n"/>
      <c r="D382" s="9" t="n"/>
      <c r="E382" s="9" t="n"/>
      <c r="F382" s="9" t="n"/>
      <c r="G382" s="9" t="n"/>
      <c r="H382" s="9" t="n"/>
      <c r="I382" s="9" t="n"/>
      <c r="J382" s="3" t="n"/>
      <c r="K382" s="9" t="n"/>
    </row>
    <row r="383">
      <c r="A383" s="4" t="n"/>
      <c r="B383" s="9">
        <f>IF(A383="","",INT((DAY(A383)-1)/7)+1)</f>
        <v/>
      </c>
      <c r="C383" s="9" t="n"/>
      <c r="D383" s="9" t="n"/>
      <c r="E383" s="9" t="n"/>
      <c r="F383" s="9" t="n"/>
      <c r="G383" s="9" t="n"/>
      <c r="H383" s="9" t="n"/>
      <c r="I383" s="9" t="n"/>
      <c r="J383" s="3" t="n"/>
      <c r="K383" s="9" t="n"/>
    </row>
    <row r="384">
      <c r="A384" s="4" t="n"/>
      <c r="B384" s="9">
        <f>IF(A384="","",INT((DAY(A384)-1)/7)+1)</f>
        <v/>
      </c>
      <c r="C384" s="9" t="n"/>
      <c r="D384" s="9" t="n"/>
      <c r="E384" s="9" t="n"/>
      <c r="F384" s="9" t="n"/>
      <c r="G384" s="9" t="n"/>
      <c r="H384" s="9" t="n"/>
      <c r="I384" s="9" t="n"/>
      <c r="J384" s="3" t="n"/>
      <c r="K384" s="9" t="n"/>
    </row>
    <row r="385">
      <c r="A385" s="4" t="n"/>
      <c r="B385" s="9">
        <f>IF(A385="","",INT((DAY(A385)-1)/7)+1)</f>
        <v/>
      </c>
      <c r="C385" s="9" t="n"/>
      <c r="D385" s="9" t="n"/>
      <c r="E385" s="9" t="n"/>
      <c r="F385" s="9" t="n"/>
      <c r="G385" s="9" t="n"/>
      <c r="H385" s="9" t="n"/>
      <c r="I385" s="9" t="n"/>
      <c r="J385" s="3" t="n"/>
      <c r="K385" s="9" t="n"/>
    </row>
    <row r="386">
      <c r="A386" s="4" t="n"/>
      <c r="B386" s="9">
        <f>IF(A386="","",INT((DAY(A386)-1)/7)+1)</f>
        <v/>
      </c>
      <c r="C386" s="9" t="n"/>
      <c r="D386" s="9" t="n"/>
      <c r="E386" s="9" t="n"/>
      <c r="F386" s="9" t="n"/>
      <c r="G386" s="9" t="n"/>
      <c r="H386" s="9" t="n"/>
      <c r="I386" s="9" t="n"/>
      <c r="J386" s="3" t="n"/>
      <c r="K386" s="9" t="n"/>
    </row>
    <row r="387">
      <c r="A387" s="4" t="n"/>
      <c r="B387" s="9">
        <f>IF(A387="","",INT((DAY(A387)-1)/7)+1)</f>
        <v/>
      </c>
      <c r="C387" s="9" t="n"/>
      <c r="D387" s="9" t="n"/>
      <c r="E387" s="9" t="n"/>
      <c r="F387" s="9" t="n"/>
      <c r="G387" s="9" t="n"/>
      <c r="H387" s="9" t="n"/>
      <c r="I387" s="9" t="n"/>
      <c r="J387" s="3" t="n"/>
      <c r="K387" s="9" t="n"/>
    </row>
    <row r="388">
      <c r="A388" s="4" t="n"/>
      <c r="B388" s="9">
        <f>IF(A388="","",INT((DAY(A388)-1)/7)+1)</f>
        <v/>
      </c>
      <c r="C388" s="9" t="n"/>
      <c r="D388" s="9" t="n"/>
      <c r="E388" s="9" t="n"/>
      <c r="F388" s="9" t="n"/>
      <c r="G388" s="9" t="n"/>
      <c r="H388" s="9" t="n"/>
      <c r="I388" s="9" t="n"/>
      <c r="J388" s="3" t="n"/>
      <c r="K388" s="9" t="n"/>
    </row>
    <row r="389">
      <c r="A389" s="4" t="n"/>
      <c r="B389" s="9">
        <f>IF(A389="","",INT((DAY(A389)-1)/7)+1)</f>
        <v/>
      </c>
      <c r="C389" s="9" t="n"/>
      <c r="D389" s="9" t="n"/>
      <c r="E389" s="9" t="n"/>
      <c r="F389" s="9" t="n"/>
      <c r="G389" s="9" t="n"/>
      <c r="H389" s="9" t="n"/>
      <c r="I389" s="9" t="n"/>
      <c r="J389" s="3" t="n"/>
      <c r="K389" s="9" t="n"/>
    </row>
    <row r="390">
      <c r="A390" s="4" t="n"/>
      <c r="B390" s="9">
        <f>IF(A390="","",INT((DAY(A390)-1)/7)+1)</f>
        <v/>
      </c>
      <c r="C390" s="9" t="n"/>
      <c r="D390" s="9" t="n"/>
      <c r="E390" s="9" t="n"/>
      <c r="F390" s="9" t="n"/>
      <c r="G390" s="9" t="n"/>
      <c r="H390" s="9" t="n"/>
      <c r="I390" s="9" t="n"/>
      <c r="J390" s="3" t="n"/>
      <c r="K390" s="9" t="n"/>
    </row>
    <row r="391">
      <c r="A391" s="4" t="n"/>
      <c r="B391" s="9">
        <f>IF(A391="","",INT((DAY(A391)-1)/7)+1)</f>
        <v/>
      </c>
      <c r="C391" s="9" t="n"/>
      <c r="D391" s="9" t="n"/>
      <c r="E391" s="9" t="n"/>
      <c r="F391" s="9" t="n"/>
      <c r="G391" s="9" t="n"/>
      <c r="H391" s="9" t="n"/>
      <c r="I391" s="9" t="n"/>
      <c r="J391" s="3" t="n"/>
      <c r="K391" s="9" t="n"/>
    </row>
    <row r="392">
      <c r="A392" s="4" t="n"/>
      <c r="B392" s="9">
        <f>IF(A392="","",INT((DAY(A392)-1)/7)+1)</f>
        <v/>
      </c>
      <c r="C392" s="9" t="n"/>
      <c r="D392" s="9" t="n"/>
      <c r="E392" s="9" t="n"/>
      <c r="F392" s="9" t="n"/>
      <c r="G392" s="9" t="n"/>
      <c r="H392" s="9" t="n"/>
      <c r="I392" s="9" t="n"/>
      <c r="J392" s="3" t="n"/>
      <c r="K392" s="9" t="n"/>
    </row>
    <row r="393">
      <c r="A393" s="4" t="n"/>
      <c r="B393" s="9">
        <f>IF(A393="","",INT((DAY(A393)-1)/7)+1)</f>
        <v/>
      </c>
      <c r="C393" s="9" t="n"/>
      <c r="D393" s="9" t="n"/>
      <c r="E393" s="9" t="n"/>
      <c r="F393" s="9" t="n"/>
      <c r="G393" s="9" t="n"/>
      <c r="H393" s="9" t="n"/>
      <c r="I393" s="9" t="n"/>
      <c r="J393" s="3" t="n"/>
      <c r="K393" s="9" t="n"/>
    </row>
    <row r="394">
      <c r="A394" s="4" t="n"/>
      <c r="B394" s="9">
        <f>IF(A394="","",INT((DAY(A394)-1)/7)+1)</f>
        <v/>
      </c>
      <c r="C394" s="9" t="n"/>
      <c r="D394" s="9" t="n"/>
      <c r="E394" s="9" t="n"/>
      <c r="F394" s="9" t="n"/>
      <c r="G394" s="9" t="n"/>
      <c r="H394" s="9" t="n"/>
      <c r="I394" s="9" t="n"/>
      <c r="J394" s="3" t="n"/>
      <c r="K394" s="9" t="n"/>
    </row>
    <row r="395">
      <c r="A395" s="4" t="n"/>
      <c r="B395" s="9">
        <f>IF(A395="","",INT((DAY(A395)-1)/7)+1)</f>
        <v/>
      </c>
      <c r="C395" s="9" t="n"/>
      <c r="D395" s="9" t="n"/>
      <c r="E395" s="9" t="n"/>
      <c r="F395" s="9" t="n"/>
      <c r="G395" s="9" t="n"/>
      <c r="H395" s="9" t="n"/>
      <c r="I395" s="9" t="n"/>
      <c r="J395" s="3" t="n"/>
      <c r="K395" s="9" t="n"/>
    </row>
    <row r="396">
      <c r="A396" s="4" t="n"/>
      <c r="B396" s="9">
        <f>IF(A396="","",INT((DAY(A396)-1)/7)+1)</f>
        <v/>
      </c>
      <c r="C396" s="9" t="n"/>
      <c r="D396" s="9" t="n"/>
      <c r="E396" s="9" t="n"/>
      <c r="F396" s="9" t="n"/>
      <c r="G396" s="9" t="n"/>
      <c r="H396" s="9" t="n"/>
      <c r="I396" s="9" t="n"/>
      <c r="J396" s="3" t="n"/>
      <c r="K396" s="9" t="n"/>
    </row>
    <row r="397">
      <c r="A397" s="4" t="n"/>
      <c r="B397" s="9">
        <f>IF(A397="","",INT((DAY(A397)-1)/7)+1)</f>
        <v/>
      </c>
      <c r="C397" s="9" t="n"/>
      <c r="D397" s="9" t="n"/>
      <c r="E397" s="9" t="n"/>
      <c r="F397" s="9" t="n"/>
      <c r="G397" s="9" t="n"/>
      <c r="H397" s="9" t="n"/>
      <c r="I397" s="9" t="n"/>
      <c r="J397" s="3" t="n"/>
      <c r="K397" s="9" t="n"/>
    </row>
    <row r="398">
      <c r="A398" s="4" t="n"/>
      <c r="B398" s="9">
        <f>IF(A398="","",INT((DAY(A398)-1)/7)+1)</f>
        <v/>
      </c>
      <c r="C398" s="9" t="n"/>
      <c r="D398" s="9" t="n"/>
      <c r="E398" s="9" t="n"/>
      <c r="F398" s="9" t="n"/>
      <c r="G398" s="9" t="n"/>
      <c r="H398" s="9" t="n"/>
      <c r="I398" s="9" t="n"/>
      <c r="J398" s="3" t="n"/>
      <c r="K398" s="9" t="n"/>
    </row>
    <row r="399">
      <c r="A399" s="4" t="n"/>
      <c r="B399" s="9">
        <f>IF(A399="","",INT((DAY(A399)-1)/7)+1)</f>
        <v/>
      </c>
      <c r="C399" s="9" t="n"/>
      <c r="D399" s="9" t="n"/>
      <c r="E399" s="9" t="n"/>
      <c r="F399" s="9" t="n"/>
      <c r="G399" s="9" t="n"/>
      <c r="H399" s="9" t="n"/>
      <c r="I399" s="9" t="n"/>
      <c r="J399" s="3" t="n"/>
      <c r="K399" s="9" t="n"/>
    </row>
    <row r="400">
      <c r="A400" s="4" t="n"/>
      <c r="B400" s="9">
        <f>IF(A400="","",INT((DAY(A400)-1)/7)+1)</f>
        <v/>
      </c>
      <c r="C400" s="9" t="n"/>
      <c r="D400" s="9" t="n"/>
      <c r="E400" s="9" t="n"/>
      <c r="F400" s="9" t="n"/>
      <c r="G400" s="9" t="n"/>
      <c r="H400" s="9" t="n"/>
      <c r="I400" s="9" t="n"/>
      <c r="J400" s="3" t="n"/>
      <c r="K400" s="9" t="n"/>
    </row>
    <row r="401">
      <c r="A401" s="4" t="n"/>
      <c r="B401" s="9">
        <f>IF(A401="","",INT((DAY(A401)-1)/7)+1)</f>
        <v/>
      </c>
      <c r="C401" s="9" t="n"/>
      <c r="D401" s="9" t="n"/>
      <c r="E401" s="9" t="n"/>
      <c r="F401" s="9" t="n"/>
      <c r="G401" s="9" t="n"/>
      <c r="H401" s="9" t="n"/>
      <c r="I401" s="9" t="n"/>
      <c r="J401" s="3" t="n"/>
      <c r="K401" s="9" t="n"/>
    </row>
    <row r="402">
      <c r="A402" s="4" t="n"/>
      <c r="B402" s="9">
        <f>IF(A402="","",INT((DAY(A402)-1)/7)+1)</f>
        <v/>
      </c>
      <c r="C402" s="9" t="n"/>
      <c r="D402" s="9" t="n"/>
      <c r="E402" s="9" t="n"/>
      <c r="F402" s="9" t="n"/>
      <c r="G402" s="9" t="n"/>
      <c r="H402" s="9" t="n"/>
      <c r="I402" s="9" t="n"/>
      <c r="J402" s="3" t="n"/>
      <c r="K402" s="9" t="n"/>
    </row>
    <row r="403">
      <c r="A403" s="4" t="n"/>
      <c r="B403" s="9">
        <f>IF(A403="","",INT((DAY(A403)-1)/7)+1)</f>
        <v/>
      </c>
      <c r="C403" s="9" t="n"/>
      <c r="D403" s="9" t="n"/>
      <c r="E403" s="9" t="n"/>
      <c r="F403" s="9" t="n"/>
      <c r="G403" s="9" t="n"/>
      <c r="H403" s="9" t="n"/>
      <c r="I403" s="9" t="n"/>
      <c r="J403" s="3" t="n"/>
      <c r="K403" s="9" t="n"/>
    </row>
    <row r="404">
      <c r="A404" s="4" t="n"/>
      <c r="B404" s="9">
        <f>IF(A404="","",INT((DAY(A404)-1)/7)+1)</f>
        <v/>
      </c>
      <c r="C404" s="9" t="n"/>
      <c r="D404" s="9" t="n"/>
      <c r="E404" s="9" t="n"/>
      <c r="F404" s="9" t="n"/>
      <c r="G404" s="9" t="n"/>
      <c r="H404" s="9" t="n"/>
      <c r="I404" s="9" t="n"/>
      <c r="J404" s="3" t="n"/>
      <c r="K404" s="9" t="n"/>
    </row>
    <row r="405">
      <c r="A405" s="4" t="n"/>
      <c r="B405" s="9">
        <f>IF(A405="","",INT((DAY(A405)-1)/7)+1)</f>
        <v/>
      </c>
      <c r="C405" s="9" t="n"/>
      <c r="D405" s="9" t="n"/>
      <c r="E405" s="9" t="n"/>
      <c r="F405" s="9" t="n"/>
      <c r="G405" s="9" t="n"/>
      <c r="H405" s="9" t="n"/>
      <c r="I405" s="9" t="n"/>
      <c r="J405" s="3" t="n"/>
      <c r="K405" s="9" t="n"/>
    </row>
    <row r="406">
      <c r="A406" s="4" t="n"/>
      <c r="B406" s="9">
        <f>IF(A406="","",INT((DAY(A406)-1)/7)+1)</f>
        <v/>
      </c>
      <c r="C406" s="9" t="n"/>
      <c r="D406" s="9" t="n"/>
      <c r="E406" s="9" t="n"/>
      <c r="F406" s="9" t="n"/>
      <c r="G406" s="9" t="n"/>
      <c r="H406" s="9" t="n"/>
      <c r="I406" s="9" t="n"/>
      <c r="J406" s="3" t="n"/>
      <c r="K406" s="9" t="n"/>
    </row>
    <row r="407">
      <c r="A407" s="4" t="n"/>
      <c r="B407" s="9">
        <f>IF(A407="","",INT((DAY(A407)-1)/7)+1)</f>
        <v/>
      </c>
      <c r="C407" s="9" t="n"/>
      <c r="D407" s="9" t="n"/>
      <c r="E407" s="9" t="n"/>
      <c r="F407" s="9" t="n"/>
      <c r="G407" s="9" t="n"/>
      <c r="H407" s="9" t="n"/>
      <c r="I407" s="9" t="n"/>
      <c r="J407" s="3" t="n"/>
      <c r="K407" s="9" t="n"/>
    </row>
    <row r="408">
      <c r="A408" s="4" t="n"/>
      <c r="B408" s="9">
        <f>IF(A408="","",INT((DAY(A408)-1)/7)+1)</f>
        <v/>
      </c>
      <c r="C408" s="9" t="n"/>
      <c r="D408" s="9" t="n"/>
      <c r="E408" s="9" t="n"/>
      <c r="F408" s="9" t="n"/>
      <c r="G408" s="9" t="n"/>
      <c r="H408" s="9" t="n"/>
      <c r="I408" s="9" t="n"/>
      <c r="J408" s="3" t="n"/>
      <c r="K408" s="9" t="n"/>
    </row>
    <row r="409">
      <c r="A409" s="4" t="n"/>
      <c r="B409" s="9">
        <f>IF(A409="","",INT((DAY(A409)-1)/7)+1)</f>
        <v/>
      </c>
      <c r="C409" s="9" t="n"/>
      <c r="D409" s="9" t="n"/>
      <c r="E409" s="9" t="n"/>
      <c r="F409" s="9" t="n"/>
      <c r="G409" s="9" t="n"/>
      <c r="H409" s="9" t="n"/>
      <c r="I409" s="9" t="n"/>
      <c r="J409" s="3" t="n"/>
      <c r="K409" s="9" t="n"/>
    </row>
    <row r="410">
      <c r="A410" s="4" t="n"/>
      <c r="B410" s="9">
        <f>IF(A410="","",INT((DAY(A410)-1)/7)+1)</f>
        <v/>
      </c>
      <c r="C410" s="9" t="n"/>
      <c r="D410" s="9" t="n"/>
      <c r="E410" s="9" t="n"/>
      <c r="F410" s="9" t="n"/>
      <c r="G410" s="9" t="n"/>
      <c r="H410" s="9" t="n"/>
      <c r="I410" s="9" t="n"/>
      <c r="J410" s="3" t="n"/>
      <c r="K410" s="9" t="n"/>
    </row>
    <row r="411">
      <c r="A411" s="4" t="n"/>
      <c r="B411" s="9">
        <f>IF(A411="","",INT((DAY(A411)-1)/7)+1)</f>
        <v/>
      </c>
      <c r="C411" s="9" t="n"/>
      <c r="D411" s="9" t="n"/>
      <c r="E411" s="9" t="n"/>
      <c r="F411" s="9" t="n"/>
      <c r="G411" s="9" t="n"/>
      <c r="H411" s="9" t="n"/>
      <c r="I411" s="9" t="n"/>
      <c r="J411" s="3" t="n"/>
      <c r="K411" s="9" t="n"/>
    </row>
    <row r="412">
      <c r="A412" s="4" t="n"/>
      <c r="B412" s="9">
        <f>IF(A412="","",INT((DAY(A412)-1)/7)+1)</f>
        <v/>
      </c>
      <c r="C412" s="9" t="n"/>
      <c r="D412" s="9" t="n"/>
      <c r="E412" s="9" t="n"/>
      <c r="F412" s="9" t="n"/>
      <c r="G412" s="9" t="n"/>
      <c r="H412" s="9" t="n"/>
      <c r="I412" s="9" t="n"/>
      <c r="J412" s="3" t="n"/>
      <c r="K412" s="9" t="n"/>
    </row>
    <row r="413">
      <c r="A413" s="4" t="n"/>
      <c r="B413" s="9">
        <f>IF(A413="","",INT((DAY(A413)-1)/7)+1)</f>
        <v/>
      </c>
      <c r="C413" s="9" t="n"/>
      <c r="D413" s="9" t="n"/>
      <c r="E413" s="9" t="n"/>
      <c r="F413" s="9" t="n"/>
      <c r="G413" s="9" t="n"/>
      <c r="H413" s="9" t="n"/>
      <c r="I413" s="9" t="n"/>
      <c r="J413" s="3" t="n"/>
      <c r="K413" s="9" t="n"/>
    </row>
    <row r="414">
      <c r="A414" s="4" t="n"/>
      <c r="B414" s="9">
        <f>IF(A414="","",INT((DAY(A414)-1)/7)+1)</f>
        <v/>
      </c>
      <c r="C414" s="9" t="n"/>
      <c r="D414" s="9" t="n"/>
      <c r="E414" s="9" t="n"/>
      <c r="F414" s="9" t="n"/>
      <c r="G414" s="9" t="n"/>
      <c r="H414" s="9" t="n"/>
      <c r="I414" s="9" t="n"/>
      <c r="J414" s="3" t="n"/>
      <c r="K414" s="9" t="n"/>
    </row>
    <row r="415">
      <c r="A415" s="4" t="n"/>
      <c r="B415" s="9">
        <f>IF(A415="","",INT((DAY(A415)-1)/7)+1)</f>
        <v/>
      </c>
      <c r="C415" s="9" t="n"/>
      <c r="D415" s="9" t="n"/>
      <c r="E415" s="9" t="n"/>
      <c r="F415" s="9" t="n"/>
      <c r="G415" s="9" t="n"/>
      <c r="H415" s="9" t="n"/>
      <c r="I415" s="9" t="n"/>
      <c r="J415" s="3" t="n"/>
      <c r="K415" s="9" t="n"/>
    </row>
    <row r="416">
      <c r="A416" s="4" t="n"/>
      <c r="B416" s="9">
        <f>IF(A416="","",INT((DAY(A416)-1)/7)+1)</f>
        <v/>
      </c>
      <c r="C416" s="9" t="n"/>
      <c r="D416" s="9" t="n"/>
      <c r="E416" s="9" t="n"/>
      <c r="F416" s="9" t="n"/>
      <c r="G416" s="9" t="n"/>
      <c r="H416" s="9" t="n"/>
      <c r="I416" s="9" t="n"/>
      <c r="J416" s="3" t="n"/>
      <c r="K416" s="9" t="n"/>
    </row>
    <row r="417">
      <c r="A417" s="4" t="n"/>
      <c r="B417" s="9">
        <f>IF(A417="","",INT((DAY(A417)-1)/7)+1)</f>
        <v/>
      </c>
      <c r="C417" s="9" t="n"/>
      <c r="D417" s="9" t="n"/>
      <c r="E417" s="9" t="n"/>
      <c r="F417" s="9" t="n"/>
      <c r="G417" s="9" t="n"/>
      <c r="H417" s="9" t="n"/>
      <c r="I417" s="9" t="n"/>
      <c r="J417" s="3" t="n"/>
      <c r="K417" s="9" t="n"/>
    </row>
    <row r="418">
      <c r="A418" s="4" t="n"/>
      <c r="B418" s="9">
        <f>IF(A418="","",INT((DAY(A418)-1)/7)+1)</f>
        <v/>
      </c>
      <c r="C418" s="9" t="n"/>
      <c r="D418" s="9" t="n"/>
      <c r="E418" s="9" t="n"/>
      <c r="F418" s="9" t="n"/>
      <c r="G418" s="9" t="n"/>
      <c r="H418" s="9" t="n"/>
      <c r="I418" s="9" t="n"/>
      <c r="J418" s="3" t="n"/>
      <c r="K418" s="9" t="n"/>
    </row>
    <row r="419">
      <c r="A419" s="4" t="n"/>
      <c r="B419" s="9">
        <f>IF(A419="","",INT((DAY(A419)-1)/7)+1)</f>
        <v/>
      </c>
      <c r="C419" s="9" t="n"/>
      <c r="D419" s="9" t="n"/>
      <c r="E419" s="9" t="n"/>
      <c r="F419" s="9" t="n"/>
      <c r="G419" s="9" t="n"/>
      <c r="H419" s="9" t="n"/>
      <c r="I419" s="9" t="n"/>
      <c r="J419" s="3" t="n"/>
      <c r="K419" s="9" t="n"/>
    </row>
    <row r="420">
      <c r="A420" s="4" t="n"/>
      <c r="B420" s="9">
        <f>IF(A420="","",INT((DAY(A420)-1)/7)+1)</f>
        <v/>
      </c>
      <c r="C420" s="9" t="n"/>
      <c r="D420" s="9" t="n"/>
      <c r="E420" s="9" t="n"/>
      <c r="F420" s="9" t="n"/>
      <c r="G420" s="9" t="n"/>
      <c r="H420" s="9" t="n"/>
      <c r="I420" s="9" t="n"/>
      <c r="J420" s="3" t="n"/>
      <c r="K420" s="9" t="n"/>
    </row>
    <row r="421">
      <c r="A421" s="4" t="n"/>
      <c r="B421" s="9">
        <f>IF(A421="","",INT((DAY(A421)-1)/7)+1)</f>
        <v/>
      </c>
      <c r="C421" s="9" t="n"/>
      <c r="D421" s="9" t="n"/>
      <c r="E421" s="9" t="n"/>
      <c r="F421" s="9" t="n"/>
      <c r="G421" s="9" t="n"/>
      <c r="H421" s="9" t="n"/>
      <c r="I421" s="9" t="n"/>
      <c r="J421" s="3" t="n"/>
      <c r="K421" s="9" t="n"/>
    </row>
    <row r="422">
      <c r="A422" s="4" t="n"/>
      <c r="B422" s="9">
        <f>IF(A422="","",INT((DAY(A422)-1)/7)+1)</f>
        <v/>
      </c>
      <c r="C422" s="9" t="n"/>
      <c r="D422" s="9" t="n"/>
      <c r="E422" s="9" t="n"/>
      <c r="F422" s="9" t="n"/>
      <c r="G422" s="9" t="n"/>
      <c r="H422" s="9" t="n"/>
      <c r="I422" s="9" t="n"/>
      <c r="J422" s="3" t="n"/>
      <c r="K422" s="9" t="n"/>
    </row>
    <row r="423">
      <c r="A423" s="4" t="n"/>
      <c r="B423" s="9">
        <f>IF(A423="","",INT((DAY(A423)-1)/7)+1)</f>
        <v/>
      </c>
      <c r="C423" s="9" t="n"/>
      <c r="D423" s="9" t="n"/>
      <c r="E423" s="9" t="n"/>
      <c r="F423" s="9" t="n"/>
      <c r="G423" s="9" t="n"/>
      <c r="H423" s="9" t="n"/>
      <c r="I423" s="9" t="n"/>
      <c r="J423" s="3" t="n"/>
      <c r="K423" s="9" t="n"/>
    </row>
    <row r="424">
      <c r="A424" s="4" t="n"/>
      <c r="B424" s="9">
        <f>IF(A424="","",INT((DAY(A424)-1)/7)+1)</f>
        <v/>
      </c>
      <c r="C424" s="9" t="n"/>
      <c r="D424" s="9" t="n"/>
      <c r="E424" s="9" t="n"/>
      <c r="F424" s="9" t="n"/>
      <c r="G424" s="9" t="n"/>
      <c r="H424" s="9" t="n"/>
      <c r="I424" s="9" t="n"/>
      <c r="J424" s="3" t="n"/>
      <c r="K424" s="9" t="n"/>
    </row>
    <row r="425">
      <c r="A425" s="4" t="n"/>
      <c r="B425" s="9">
        <f>IF(A425="","",INT((DAY(A425)-1)/7)+1)</f>
        <v/>
      </c>
      <c r="C425" s="9" t="n"/>
      <c r="D425" s="9" t="n"/>
      <c r="E425" s="9" t="n"/>
      <c r="F425" s="9" t="n"/>
      <c r="G425" s="9" t="n"/>
      <c r="H425" s="9" t="n"/>
      <c r="I425" s="9" t="n"/>
      <c r="J425" s="3" t="n"/>
      <c r="K425" s="9" t="n"/>
    </row>
    <row r="426">
      <c r="A426" s="4" t="n"/>
      <c r="B426" s="9">
        <f>IF(A426="","",INT((DAY(A426)-1)/7)+1)</f>
        <v/>
      </c>
      <c r="C426" s="9" t="n"/>
      <c r="D426" s="9" t="n"/>
      <c r="E426" s="9" t="n"/>
      <c r="F426" s="9" t="n"/>
      <c r="G426" s="9" t="n"/>
      <c r="H426" s="9" t="n"/>
      <c r="I426" s="9" t="n"/>
      <c r="J426" s="3" t="n"/>
      <c r="K426" s="9" t="n"/>
    </row>
    <row r="427">
      <c r="A427" s="4" t="n"/>
      <c r="B427" s="9">
        <f>IF(A427="","",INT((DAY(A427)-1)/7)+1)</f>
        <v/>
      </c>
      <c r="C427" s="9" t="n"/>
      <c r="D427" s="9" t="n"/>
      <c r="E427" s="9" t="n"/>
      <c r="F427" s="9" t="n"/>
      <c r="G427" s="9" t="n"/>
      <c r="H427" s="9" t="n"/>
      <c r="I427" s="9" t="n"/>
      <c r="J427" s="3" t="n"/>
      <c r="K427" s="9" t="n"/>
    </row>
    <row r="428">
      <c r="A428" s="4" t="n"/>
      <c r="B428" s="9">
        <f>IF(A428="","",INT((DAY(A428)-1)/7)+1)</f>
        <v/>
      </c>
      <c r="C428" s="9" t="n"/>
      <c r="D428" s="9" t="n"/>
      <c r="E428" s="9" t="n"/>
      <c r="F428" s="9" t="n"/>
      <c r="G428" s="9" t="n"/>
      <c r="H428" s="9" t="n"/>
      <c r="I428" s="9" t="n"/>
      <c r="J428" s="3" t="n"/>
      <c r="K428" s="9" t="n"/>
    </row>
    <row r="429">
      <c r="A429" s="4" t="n"/>
      <c r="B429" s="9">
        <f>IF(A429="","",INT((DAY(A429)-1)/7)+1)</f>
        <v/>
      </c>
      <c r="C429" s="9" t="n"/>
      <c r="D429" s="9" t="n"/>
      <c r="E429" s="9" t="n"/>
      <c r="F429" s="9" t="n"/>
      <c r="G429" s="9" t="n"/>
      <c r="H429" s="9" t="n"/>
      <c r="I429" s="9" t="n"/>
      <c r="J429" s="3" t="n"/>
      <c r="K429" s="9" t="n"/>
    </row>
    <row r="430">
      <c r="A430" s="4" t="n"/>
      <c r="B430" s="9">
        <f>IF(A430="","",INT((DAY(A430)-1)/7)+1)</f>
        <v/>
      </c>
      <c r="C430" s="9" t="n"/>
      <c r="D430" s="9" t="n"/>
      <c r="E430" s="9" t="n"/>
      <c r="F430" s="9" t="n"/>
      <c r="G430" s="9" t="n"/>
      <c r="H430" s="9" t="n"/>
      <c r="I430" s="9" t="n"/>
      <c r="J430" s="3" t="n"/>
      <c r="K430" s="9" t="n"/>
    </row>
    <row r="431">
      <c r="A431" s="4" t="n"/>
      <c r="B431" s="9">
        <f>IF(A431="","",INT((DAY(A431)-1)/7)+1)</f>
        <v/>
      </c>
      <c r="C431" s="9" t="n"/>
      <c r="D431" s="9" t="n"/>
      <c r="E431" s="9" t="n"/>
      <c r="F431" s="9" t="n"/>
      <c r="G431" s="9" t="n"/>
      <c r="H431" s="9" t="n"/>
      <c r="I431" s="9" t="n"/>
      <c r="J431" s="3" t="n"/>
      <c r="K431" s="9" t="n"/>
    </row>
    <row r="432">
      <c r="A432" s="4" t="n"/>
      <c r="B432" s="9">
        <f>IF(A432="","",INT((DAY(A432)-1)/7)+1)</f>
        <v/>
      </c>
      <c r="C432" s="9" t="n"/>
      <c r="D432" s="9" t="n"/>
      <c r="E432" s="9" t="n"/>
      <c r="F432" s="9" t="n"/>
      <c r="G432" s="9" t="n"/>
      <c r="H432" s="9" t="n"/>
      <c r="I432" s="9" t="n"/>
      <c r="J432" s="3" t="n"/>
      <c r="K432" s="9" t="n"/>
    </row>
    <row r="433">
      <c r="A433" s="4" t="n"/>
      <c r="B433" s="9">
        <f>IF(A433="","",INT((DAY(A433)-1)/7)+1)</f>
        <v/>
      </c>
      <c r="C433" s="9" t="n"/>
      <c r="D433" s="9" t="n"/>
      <c r="E433" s="9" t="n"/>
      <c r="F433" s="9" t="n"/>
      <c r="G433" s="9" t="n"/>
      <c r="H433" s="9" t="n"/>
      <c r="I433" s="9" t="n"/>
      <c r="J433" s="3" t="n"/>
      <c r="K433" s="9" t="n"/>
    </row>
    <row r="434">
      <c r="A434" s="4" t="n"/>
      <c r="B434" s="9">
        <f>IF(A434="","",INT((DAY(A434)-1)/7)+1)</f>
        <v/>
      </c>
      <c r="C434" s="9" t="n"/>
      <c r="D434" s="9" t="n"/>
      <c r="E434" s="9" t="n"/>
      <c r="F434" s="9" t="n"/>
      <c r="G434" s="9" t="n"/>
      <c r="H434" s="9" t="n"/>
      <c r="I434" s="9" t="n"/>
      <c r="J434" s="3" t="n"/>
      <c r="K434" s="9" t="n"/>
    </row>
    <row r="435">
      <c r="A435" s="4" t="n"/>
      <c r="B435" s="9">
        <f>IF(A435="","",INT((DAY(A435)-1)/7)+1)</f>
        <v/>
      </c>
      <c r="C435" s="9" t="n"/>
      <c r="D435" s="9" t="n"/>
      <c r="E435" s="9" t="n"/>
      <c r="F435" s="9" t="n"/>
      <c r="G435" s="9" t="n"/>
      <c r="H435" s="9" t="n"/>
      <c r="I435" s="9" t="n"/>
      <c r="J435" s="3" t="n"/>
      <c r="K435" s="9" t="n"/>
    </row>
    <row r="436">
      <c r="A436" s="4" t="n"/>
      <c r="B436" s="9">
        <f>IF(A436="","",INT((DAY(A436)-1)/7)+1)</f>
        <v/>
      </c>
      <c r="C436" s="9" t="n"/>
      <c r="D436" s="9" t="n"/>
      <c r="E436" s="9" t="n"/>
      <c r="F436" s="9" t="n"/>
      <c r="G436" s="9" t="n"/>
      <c r="H436" s="9" t="n"/>
      <c r="I436" s="9" t="n"/>
      <c r="J436" s="3" t="n"/>
      <c r="K436" s="9" t="n"/>
    </row>
    <row r="437">
      <c r="A437" s="4" t="n"/>
      <c r="B437" s="9">
        <f>IF(A437="","",INT((DAY(A437)-1)/7)+1)</f>
        <v/>
      </c>
      <c r="C437" s="9" t="n"/>
      <c r="D437" s="9" t="n"/>
      <c r="E437" s="9" t="n"/>
      <c r="F437" s="9" t="n"/>
      <c r="G437" s="9" t="n"/>
      <c r="H437" s="9" t="n"/>
      <c r="I437" s="9" t="n"/>
      <c r="J437" s="3" t="n"/>
      <c r="K437" s="9" t="n"/>
    </row>
    <row r="438">
      <c r="A438" s="4" t="n"/>
      <c r="B438" s="9">
        <f>IF(A438="","",INT((DAY(A438)-1)/7)+1)</f>
        <v/>
      </c>
      <c r="C438" s="9" t="n"/>
      <c r="D438" s="9" t="n"/>
      <c r="E438" s="9" t="n"/>
      <c r="F438" s="9" t="n"/>
      <c r="G438" s="9" t="n"/>
      <c r="H438" s="9" t="n"/>
      <c r="I438" s="9" t="n"/>
      <c r="J438" s="3" t="n"/>
      <c r="K438" s="9" t="n"/>
    </row>
    <row r="439">
      <c r="A439" s="4" t="n"/>
      <c r="B439" s="9">
        <f>IF(A439="","",INT((DAY(A439)-1)/7)+1)</f>
        <v/>
      </c>
      <c r="C439" s="9" t="n"/>
      <c r="D439" s="9" t="n"/>
      <c r="E439" s="9" t="n"/>
      <c r="F439" s="9" t="n"/>
      <c r="G439" s="9" t="n"/>
      <c r="H439" s="9" t="n"/>
      <c r="I439" s="9" t="n"/>
      <c r="J439" s="3" t="n"/>
      <c r="K439" s="9" t="n"/>
    </row>
    <row r="440">
      <c r="A440" s="4" t="n"/>
      <c r="B440" s="9">
        <f>IF(A440="","",INT((DAY(A440)-1)/7)+1)</f>
        <v/>
      </c>
      <c r="C440" s="9" t="n"/>
      <c r="D440" s="9" t="n"/>
      <c r="E440" s="9" t="n"/>
      <c r="F440" s="9" t="n"/>
      <c r="G440" s="9" t="n"/>
      <c r="H440" s="9" t="n"/>
      <c r="I440" s="9" t="n"/>
      <c r="J440" s="3" t="n"/>
      <c r="K440" s="9" t="n"/>
    </row>
    <row r="441">
      <c r="A441" s="4" t="n"/>
      <c r="B441" s="9">
        <f>IF(A441="","",INT((DAY(A441)-1)/7)+1)</f>
        <v/>
      </c>
      <c r="C441" s="9" t="n"/>
      <c r="D441" s="9" t="n"/>
      <c r="E441" s="9" t="n"/>
      <c r="F441" s="9" t="n"/>
      <c r="G441" s="9" t="n"/>
      <c r="H441" s="9" t="n"/>
      <c r="I441" s="9" t="n"/>
      <c r="J441" s="3" t="n"/>
      <c r="K441" s="9" t="n"/>
    </row>
    <row r="442">
      <c r="A442" s="4" t="n"/>
      <c r="B442" s="9">
        <f>IF(A442="","",INT((DAY(A442)-1)/7)+1)</f>
        <v/>
      </c>
      <c r="C442" s="9" t="n"/>
      <c r="D442" s="9" t="n"/>
      <c r="E442" s="9" t="n"/>
      <c r="F442" s="9" t="n"/>
      <c r="G442" s="9" t="n"/>
      <c r="H442" s="9" t="n"/>
      <c r="I442" s="9" t="n"/>
      <c r="J442" s="3" t="n"/>
      <c r="K442" s="9" t="n"/>
    </row>
    <row r="443">
      <c r="A443" s="4" t="n"/>
      <c r="B443" s="9">
        <f>IF(A443="","",INT((DAY(A443)-1)/7)+1)</f>
        <v/>
      </c>
      <c r="C443" s="9" t="n"/>
      <c r="D443" s="9" t="n"/>
      <c r="E443" s="9" t="n"/>
      <c r="F443" s="9" t="n"/>
      <c r="G443" s="9" t="n"/>
      <c r="H443" s="9" t="n"/>
      <c r="I443" s="9" t="n"/>
      <c r="J443" s="3" t="n"/>
      <c r="K443" s="9" t="n"/>
    </row>
    <row r="444">
      <c r="A444" s="4" t="n"/>
      <c r="B444" s="9">
        <f>IF(A444="","",INT((DAY(A444)-1)/7)+1)</f>
        <v/>
      </c>
      <c r="C444" s="9" t="n"/>
      <c r="D444" s="9" t="n"/>
      <c r="E444" s="9" t="n"/>
      <c r="F444" s="9" t="n"/>
      <c r="G444" s="9" t="n"/>
      <c r="H444" s="9" t="n"/>
      <c r="I444" s="9" t="n"/>
      <c r="J444" s="3" t="n"/>
      <c r="K444" s="9" t="n"/>
    </row>
    <row r="445">
      <c r="A445" s="4" t="n"/>
      <c r="B445" s="9">
        <f>IF(A445="","",INT((DAY(A445)-1)/7)+1)</f>
        <v/>
      </c>
      <c r="C445" s="9" t="n"/>
      <c r="D445" s="9" t="n"/>
      <c r="E445" s="9" t="n"/>
      <c r="F445" s="9" t="n"/>
      <c r="G445" s="9" t="n"/>
      <c r="H445" s="9" t="n"/>
      <c r="I445" s="9" t="n"/>
      <c r="J445" s="3" t="n"/>
      <c r="K445" s="9" t="n"/>
    </row>
    <row r="446">
      <c r="A446" s="4" t="n"/>
      <c r="B446" s="9">
        <f>IF(A446="","",INT((DAY(A446)-1)/7)+1)</f>
        <v/>
      </c>
      <c r="C446" s="9" t="n"/>
      <c r="D446" s="9" t="n"/>
      <c r="E446" s="9" t="n"/>
      <c r="F446" s="9" t="n"/>
      <c r="G446" s="9" t="n"/>
      <c r="H446" s="9" t="n"/>
      <c r="I446" s="9" t="n"/>
      <c r="J446" s="3" t="n"/>
      <c r="K446" s="9" t="n"/>
    </row>
    <row r="447">
      <c r="A447" s="4" t="n"/>
      <c r="B447" s="9">
        <f>IF(A447="","",INT((DAY(A447)-1)/7)+1)</f>
        <v/>
      </c>
      <c r="C447" s="9" t="n"/>
      <c r="D447" s="9" t="n"/>
      <c r="E447" s="9" t="n"/>
      <c r="F447" s="9" t="n"/>
      <c r="G447" s="9" t="n"/>
      <c r="H447" s="9" t="n"/>
      <c r="I447" s="9" t="n"/>
      <c r="J447" s="3" t="n"/>
      <c r="K447" s="9" t="n"/>
    </row>
    <row r="448">
      <c r="A448" s="4" t="n"/>
      <c r="B448" s="9">
        <f>IF(A448="","",INT((DAY(A448)-1)/7)+1)</f>
        <v/>
      </c>
      <c r="C448" s="9" t="n"/>
      <c r="D448" s="9" t="n"/>
      <c r="E448" s="9" t="n"/>
      <c r="F448" s="9" t="n"/>
      <c r="G448" s="9" t="n"/>
      <c r="H448" s="9" t="n"/>
      <c r="I448" s="9" t="n"/>
      <c r="J448" s="3" t="n"/>
      <c r="K448" s="9" t="n"/>
    </row>
    <row r="449">
      <c r="A449" s="4" t="n"/>
      <c r="B449" s="9">
        <f>IF(A449="","",INT((DAY(A449)-1)/7)+1)</f>
        <v/>
      </c>
      <c r="C449" s="9" t="n"/>
      <c r="D449" s="9" t="n"/>
      <c r="E449" s="9" t="n"/>
      <c r="F449" s="9" t="n"/>
      <c r="G449" s="9" t="n"/>
      <c r="H449" s="9" t="n"/>
      <c r="I449" s="9" t="n"/>
      <c r="J449" s="3" t="n"/>
      <c r="K449" s="9" t="n"/>
    </row>
    <row r="450">
      <c r="A450" s="4" t="n"/>
      <c r="B450" s="9">
        <f>IF(A450="","",INT((DAY(A450)-1)/7)+1)</f>
        <v/>
      </c>
      <c r="C450" s="9" t="n"/>
      <c r="D450" s="9" t="n"/>
      <c r="E450" s="9" t="n"/>
      <c r="F450" s="9" t="n"/>
      <c r="G450" s="9" t="n"/>
      <c r="H450" s="9" t="n"/>
      <c r="I450" s="9" t="n"/>
      <c r="J450" s="3" t="n"/>
      <c r="K450" s="9" t="n"/>
    </row>
    <row r="451">
      <c r="A451" s="4" t="n"/>
      <c r="B451" s="9">
        <f>IF(A451="","",INT((DAY(A451)-1)/7)+1)</f>
        <v/>
      </c>
      <c r="C451" s="9" t="n"/>
      <c r="D451" s="9" t="n"/>
      <c r="E451" s="9" t="n"/>
      <c r="F451" s="9" t="n"/>
      <c r="G451" s="9" t="n"/>
      <c r="H451" s="9" t="n"/>
      <c r="I451" s="9" t="n"/>
      <c r="J451" s="3" t="n"/>
      <c r="K451" s="9" t="n"/>
    </row>
    <row r="452">
      <c r="A452" s="4" t="n"/>
      <c r="B452" s="9">
        <f>IF(A452="","",INT((DAY(A452)-1)/7)+1)</f>
        <v/>
      </c>
      <c r="C452" s="9" t="n"/>
      <c r="D452" s="9" t="n"/>
      <c r="E452" s="9" t="n"/>
      <c r="F452" s="9" t="n"/>
      <c r="G452" s="9" t="n"/>
      <c r="H452" s="9" t="n"/>
      <c r="I452" s="9" t="n"/>
      <c r="J452" s="3" t="n"/>
      <c r="K452" s="9" t="n"/>
    </row>
    <row r="453">
      <c r="A453" s="4" t="n"/>
      <c r="B453" s="9">
        <f>IF(A453="","",INT((DAY(A453)-1)/7)+1)</f>
        <v/>
      </c>
      <c r="C453" s="9" t="n"/>
      <c r="D453" s="9" t="n"/>
      <c r="E453" s="9" t="n"/>
      <c r="F453" s="9" t="n"/>
      <c r="G453" s="9" t="n"/>
      <c r="H453" s="9" t="n"/>
      <c r="I453" s="9" t="n"/>
      <c r="J453" s="3" t="n"/>
      <c r="K453" s="9" t="n"/>
    </row>
    <row r="454">
      <c r="A454" s="4" t="n"/>
      <c r="B454" s="9">
        <f>IF(A454="","",INT((DAY(A454)-1)/7)+1)</f>
        <v/>
      </c>
      <c r="C454" s="9" t="n"/>
      <c r="D454" s="9" t="n"/>
      <c r="E454" s="9" t="n"/>
      <c r="F454" s="9" t="n"/>
      <c r="G454" s="9" t="n"/>
      <c r="H454" s="9" t="n"/>
      <c r="I454" s="9" t="n"/>
      <c r="J454" s="3" t="n"/>
      <c r="K454" s="9" t="n"/>
    </row>
    <row r="455">
      <c r="A455" s="4" t="n"/>
      <c r="B455" s="9">
        <f>IF(A455="","",INT((DAY(A455)-1)/7)+1)</f>
        <v/>
      </c>
      <c r="C455" s="9" t="n"/>
      <c r="D455" s="9" t="n"/>
      <c r="E455" s="9" t="n"/>
      <c r="F455" s="9" t="n"/>
      <c r="G455" s="9" t="n"/>
      <c r="H455" s="9" t="n"/>
      <c r="I455" s="9" t="n"/>
      <c r="J455" s="3" t="n"/>
      <c r="K455" s="9" t="n"/>
    </row>
    <row r="456">
      <c r="A456" s="4" t="n"/>
      <c r="B456" s="9">
        <f>IF(A456="","",INT((DAY(A456)-1)/7)+1)</f>
        <v/>
      </c>
      <c r="C456" s="9" t="n"/>
      <c r="D456" s="9" t="n"/>
      <c r="E456" s="9" t="n"/>
      <c r="F456" s="9" t="n"/>
      <c r="G456" s="9" t="n"/>
      <c r="H456" s="9" t="n"/>
      <c r="I456" s="9" t="n"/>
      <c r="J456" s="3" t="n"/>
      <c r="K456" s="9" t="n"/>
    </row>
    <row r="457">
      <c r="A457" s="4" t="n"/>
      <c r="B457" s="9">
        <f>IF(A457="","",INT((DAY(A457)-1)/7)+1)</f>
        <v/>
      </c>
      <c r="C457" s="9" t="n"/>
      <c r="D457" s="9" t="n"/>
      <c r="E457" s="9" t="n"/>
      <c r="F457" s="9" t="n"/>
      <c r="G457" s="9" t="n"/>
      <c r="H457" s="9" t="n"/>
      <c r="I457" s="9" t="n"/>
      <c r="J457" s="3" t="n"/>
      <c r="K457" s="9" t="n"/>
    </row>
    <row r="458">
      <c r="A458" s="4" t="n"/>
      <c r="B458" s="9">
        <f>IF(A458="","",INT((DAY(A458)-1)/7)+1)</f>
        <v/>
      </c>
      <c r="C458" s="9" t="n"/>
      <c r="D458" s="9" t="n"/>
      <c r="E458" s="9" t="n"/>
      <c r="F458" s="9" t="n"/>
      <c r="G458" s="9" t="n"/>
      <c r="H458" s="9" t="n"/>
      <c r="I458" s="9" t="n"/>
      <c r="J458" s="3" t="n"/>
      <c r="K458" s="9" t="n"/>
    </row>
    <row r="459">
      <c r="A459" s="4" t="n"/>
      <c r="B459" s="9">
        <f>IF(A459="","",INT((DAY(A459)-1)/7)+1)</f>
        <v/>
      </c>
      <c r="C459" s="9" t="n"/>
      <c r="D459" s="9" t="n"/>
      <c r="E459" s="9" t="n"/>
      <c r="F459" s="9" t="n"/>
      <c r="G459" s="9" t="n"/>
      <c r="H459" s="9" t="n"/>
      <c r="I459" s="9" t="n"/>
      <c r="J459" s="3" t="n"/>
      <c r="K459" s="9" t="n"/>
    </row>
    <row r="460">
      <c r="A460" s="4" t="n"/>
      <c r="B460" s="9">
        <f>IF(A460="","",INT((DAY(A460)-1)/7)+1)</f>
        <v/>
      </c>
      <c r="C460" s="9" t="n"/>
      <c r="D460" s="9" t="n"/>
      <c r="E460" s="9" t="n"/>
      <c r="F460" s="9" t="n"/>
      <c r="G460" s="9" t="n"/>
      <c r="H460" s="9" t="n"/>
      <c r="I460" s="9" t="n"/>
      <c r="J460" s="3" t="n"/>
      <c r="K460" s="9" t="n"/>
    </row>
    <row r="461">
      <c r="A461" s="4" t="n"/>
      <c r="B461" s="9">
        <f>IF(A461="","",INT((DAY(A461)-1)/7)+1)</f>
        <v/>
      </c>
      <c r="C461" s="9" t="n"/>
      <c r="D461" s="9" t="n"/>
      <c r="E461" s="9" t="n"/>
      <c r="F461" s="9" t="n"/>
      <c r="G461" s="9" t="n"/>
      <c r="H461" s="9" t="n"/>
      <c r="I461" s="9" t="n"/>
      <c r="J461" s="3" t="n"/>
      <c r="K461" s="9" t="n"/>
    </row>
    <row r="462">
      <c r="A462" s="4" t="n"/>
      <c r="B462" s="9">
        <f>IF(A462="","",INT((DAY(A462)-1)/7)+1)</f>
        <v/>
      </c>
      <c r="C462" s="9" t="n"/>
      <c r="D462" s="9" t="n"/>
      <c r="E462" s="9" t="n"/>
      <c r="F462" s="9" t="n"/>
      <c r="G462" s="9" t="n"/>
      <c r="H462" s="9" t="n"/>
      <c r="I462" s="9" t="n"/>
      <c r="J462" s="3" t="n"/>
      <c r="K462" s="9" t="n"/>
    </row>
    <row r="463">
      <c r="A463" s="4" t="n"/>
      <c r="B463" s="9">
        <f>IF(A463="","",INT((DAY(A463)-1)/7)+1)</f>
        <v/>
      </c>
      <c r="C463" s="9" t="n"/>
      <c r="D463" s="9" t="n"/>
      <c r="E463" s="9" t="n"/>
      <c r="F463" s="9" t="n"/>
      <c r="G463" s="9" t="n"/>
      <c r="H463" s="9" t="n"/>
      <c r="I463" s="9" t="n"/>
      <c r="J463" s="3" t="n"/>
      <c r="K463" s="9" t="n"/>
    </row>
    <row r="464">
      <c r="A464" s="4" t="n"/>
      <c r="B464" s="9">
        <f>IF(A464="","",INT((DAY(A464)-1)/7)+1)</f>
        <v/>
      </c>
      <c r="C464" s="9" t="n"/>
      <c r="D464" s="9" t="n"/>
      <c r="E464" s="9" t="n"/>
      <c r="F464" s="9" t="n"/>
      <c r="G464" s="9" t="n"/>
      <c r="H464" s="9" t="n"/>
      <c r="I464" s="9" t="n"/>
      <c r="J464" s="3" t="n"/>
      <c r="K464" s="9" t="n"/>
    </row>
    <row r="465">
      <c r="A465" s="4" t="n"/>
      <c r="B465" s="9">
        <f>IF(A465="","",INT((DAY(A465)-1)/7)+1)</f>
        <v/>
      </c>
      <c r="C465" s="9" t="n"/>
      <c r="D465" s="9" t="n"/>
      <c r="E465" s="9" t="n"/>
      <c r="F465" s="9" t="n"/>
      <c r="G465" s="9" t="n"/>
      <c r="H465" s="9" t="n"/>
      <c r="I465" s="9" t="n"/>
      <c r="J465" s="3" t="n"/>
      <c r="K465" s="9" t="n"/>
    </row>
    <row r="466">
      <c r="A466" s="4" t="n"/>
      <c r="B466" s="9">
        <f>IF(A466="","",INT((DAY(A466)-1)/7)+1)</f>
        <v/>
      </c>
      <c r="C466" s="9" t="n"/>
      <c r="D466" s="9" t="n"/>
      <c r="E466" s="9" t="n"/>
      <c r="F466" s="9" t="n"/>
      <c r="G466" s="9" t="n"/>
      <c r="H466" s="9" t="n"/>
      <c r="I466" s="9" t="n"/>
      <c r="J466" s="3" t="n"/>
      <c r="K466" s="9" t="n"/>
    </row>
    <row r="467">
      <c r="A467" s="4" t="n"/>
      <c r="B467" s="9">
        <f>IF(A467="","",INT((DAY(A467)-1)/7)+1)</f>
        <v/>
      </c>
      <c r="C467" s="9" t="n"/>
      <c r="D467" s="9" t="n"/>
      <c r="E467" s="9" t="n"/>
      <c r="F467" s="9" t="n"/>
      <c r="G467" s="9" t="n"/>
      <c r="H467" s="9" t="n"/>
      <c r="I467" s="9" t="n"/>
      <c r="J467" s="3" t="n"/>
      <c r="K467" s="9" t="n"/>
    </row>
    <row r="468">
      <c r="A468" s="4" t="n"/>
      <c r="B468" s="9">
        <f>IF(A468="","",INT((DAY(A468)-1)/7)+1)</f>
        <v/>
      </c>
      <c r="C468" s="9" t="n"/>
      <c r="D468" s="9" t="n"/>
      <c r="E468" s="9" t="n"/>
      <c r="F468" s="9" t="n"/>
      <c r="G468" s="9" t="n"/>
      <c r="H468" s="9" t="n"/>
      <c r="I468" s="9" t="n"/>
      <c r="J468" s="3" t="n"/>
      <c r="K468" s="9" t="n"/>
    </row>
    <row r="469">
      <c r="A469" s="4" t="n"/>
      <c r="B469" s="9">
        <f>IF(A469="","",INT((DAY(A469)-1)/7)+1)</f>
        <v/>
      </c>
      <c r="C469" s="9" t="n"/>
      <c r="D469" s="9" t="n"/>
      <c r="E469" s="9" t="n"/>
      <c r="F469" s="9" t="n"/>
      <c r="G469" s="9" t="n"/>
      <c r="H469" s="9" t="n"/>
      <c r="I469" s="9" t="n"/>
      <c r="J469" s="3" t="n"/>
      <c r="K469" s="9" t="n"/>
    </row>
    <row r="470">
      <c r="A470" s="4" t="n"/>
      <c r="B470" s="9">
        <f>IF(A470="","",INT((DAY(A470)-1)/7)+1)</f>
        <v/>
      </c>
      <c r="C470" s="9" t="n"/>
      <c r="D470" s="9" t="n"/>
      <c r="E470" s="9" t="n"/>
      <c r="F470" s="9" t="n"/>
      <c r="G470" s="9" t="n"/>
      <c r="H470" s="9" t="n"/>
      <c r="I470" s="9" t="n"/>
      <c r="J470" s="3" t="n"/>
      <c r="K470" s="9" t="n"/>
    </row>
    <row r="471">
      <c r="A471" s="4" t="n"/>
      <c r="B471" s="9">
        <f>IF(A471="","",INT((DAY(A471)-1)/7)+1)</f>
        <v/>
      </c>
      <c r="C471" s="9" t="n"/>
      <c r="D471" s="9" t="n"/>
      <c r="E471" s="9" t="n"/>
      <c r="F471" s="9" t="n"/>
      <c r="G471" s="9" t="n"/>
      <c r="H471" s="9" t="n"/>
      <c r="I471" s="9" t="n"/>
      <c r="J471" s="3" t="n"/>
      <c r="K471" s="9" t="n"/>
    </row>
    <row r="472">
      <c r="A472" s="4" t="n"/>
      <c r="B472" s="9">
        <f>IF(A472="","",INT((DAY(A472)-1)/7)+1)</f>
        <v/>
      </c>
      <c r="C472" s="9" t="n"/>
      <c r="D472" s="9" t="n"/>
      <c r="E472" s="9" t="n"/>
      <c r="F472" s="9" t="n"/>
      <c r="G472" s="9" t="n"/>
      <c r="H472" s="9" t="n"/>
      <c r="I472" s="9" t="n"/>
      <c r="J472" s="3" t="n"/>
      <c r="K472" s="9" t="n"/>
    </row>
    <row r="473">
      <c r="A473" s="4" t="n"/>
      <c r="B473" s="9">
        <f>IF(A473="","",INT((DAY(A473)-1)/7)+1)</f>
        <v/>
      </c>
      <c r="C473" s="9" t="n"/>
      <c r="D473" s="9" t="n"/>
      <c r="E473" s="9" t="n"/>
      <c r="F473" s="9" t="n"/>
      <c r="G473" s="9" t="n"/>
      <c r="H473" s="9" t="n"/>
      <c r="I473" s="9" t="n"/>
      <c r="J473" s="3" t="n"/>
      <c r="K473" s="9" t="n"/>
    </row>
    <row r="474">
      <c r="A474" s="4" t="n"/>
      <c r="B474" s="9">
        <f>IF(A474="","",INT((DAY(A474)-1)/7)+1)</f>
        <v/>
      </c>
      <c r="C474" s="9" t="n"/>
      <c r="D474" s="9" t="n"/>
      <c r="E474" s="9" t="n"/>
      <c r="F474" s="9" t="n"/>
      <c r="G474" s="9" t="n"/>
      <c r="H474" s="9" t="n"/>
      <c r="I474" s="9" t="n"/>
      <c r="J474" s="3" t="n"/>
      <c r="K474" s="9" t="n"/>
    </row>
    <row r="475">
      <c r="A475" s="4" t="n"/>
      <c r="B475" s="9">
        <f>IF(A475="","",INT((DAY(A475)-1)/7)+1)</f>
        <v/>
      </c>
      <c r="C475" s="9" t="n"/>
      <c r="D475" s="9" t="n"/>
      <c r="E475" s="9" t="n"/>
      <c r="F475" s="9" t="n"/>
      <c r="G475" s="9" t="n"/>
      <c r="H475" s="9" t="n"/>
      <c r="I475" s="9" t="n"/>
      <c r="J475" s="3" t="n"/>
      <c r="K475" s="9" t="n"/>
    </row>
    <row r="476">
      <c r="A476" s="4" t="n"/>
      <c r="B476" s="9">
        <f>IF(A476="","",INT((DAY(A476)-1)/7)+1)</f>
        <v/>
      </c>
      <c r="C476" s="9" t="n"/>
      <c r="D476" s="9" t="n"/>
      <c r="E476" s="9" t="n"/>
      <c r="F476" s="9" t="n"/>
      <c r="G476" s="9" t="n"/>
      <c r="H476" s="9" t="n"/>
      <c r="I476" s="9" t="n"/>
      <c r="J476" s="3" t="n"/>
      <c r="K476" s="9" t="n"/>
    </row>
    <row r="477">
      <c r="A477" s="4" t="n"/>
      <c r="B477" s="9">
        <f>IF(A477="","",INT((DAY(A477)-1)/7)+1)</f>
        <v/>
      </c>
      <c r="C477" s="9" t="n"/>
      <c r="D477" s="9" t="n"/>
      <c r="E477" s="9" t="n"/>
      <c r="F477" s="9" t="n"/>
      <c r="G477" s="9" t="n"/>
      <c r="H477" s="9" t="n"/>
      <c r="I477" s="9" t="n"/>
      <c r="J477" s="3" t="n"/>
      <c r="K477" s="9" t="n"/>
    </row>
    <row r="478">
      <c r="A478" s="4" t="n"/>
      <c r="B478" s="9">
        <f>IF(A478="","",INT((DAY(A478)-1)/7)+1)</f>
        <v/>
      </c>
      <c r="C478" s="9" t="n"/>
      <c r="D478" s="9" t="n"/>
      <c r="E478" s="9" t="n"/>
      <c r="F478" s="9" t="n"/>
      <c r="G478" s="9" t="n"/>
      <c r="H478" s="9" t="n"/>
      <c r="I478" s="9" t="n"/>
      <c r="J478" s="3" t="n"/>
      <c r="K478" s="9" t="n"/>
    </row>
    <row r="479">
      <c r="A479" s="4" t="n"/>
      <c r="B479" s="9">
        <f>IF(A479="","",INT((DAY(A479)-1)/7)+1)</f>
        <v/>
      </c>
      <c r="C479" s="9" t="n"/>
      <c r="D479" s="9" t="n"/>
      <c r="E479" s="9" t="n"/>
      <c r="F479" s="9" t="n"/>
      <c r="G479" s="9" t="n"/>
      <c r="H479" s="9" t="n"/>
      <c r="I479" s="9" t="n"/>
      <c r="J479" s="3" t="n"/>
      <c r="K479" s="9" t="n"/>
    </row>
    <row r="480">
      <c r="A480" s="4" t="n"/>
      <c r="B480" s="9">
        <f>IF(A480="","",INT((DAY(A480)-1)/7)+1)</f>
        <v/>
      </c>
      <c r="C480" s="9" t="n"/>
      <c r="D480" s="9" t="n"/>
      <c r="E480" s="9" t="n"/>
      <c r="F480" s="9" t="n"/>
      <c r="G480" s="9" t="n"/>
      <c r="H480" s="9" t="n"/>
      <c r="I480" s="9" t="n"/>
      <c r="J480" s="3" t="n"/>
      <c r="K480" s="9" t="n"/>
    </row>
    <row r="481">
      <c r="A481" s="4" t="n"/>
      <c r="B481" s="9">
        <f>IF(A481="","",INT((DAY(A481)-1)/7)+1)</f>
        <v/>
      </c>
      <c r="C481" s="9" t="n"/>
      <c r="D481" s="9" t="n"/>
      <c r="E481" s="9" t="n"/>
      <c r="F481" s="9" t="n"/>
      <c r="G481" s="9" t="n"/>
      <c r="H481" s="9" t="n"/>
      <c r="I481" s="9" t="n"/>
      <c r="J481" s="3" t="n"/>
      <c r="K481" s="9" t="n"/>
    </row>
    <row r="482">
      <c r="A482" s="4" t="n"/>
      <c r="B482" s="9">
        <f>IF(A482="","",INT((DAY(A482)-1)/7)+1)</f>
        <v/>
      </c>
      <c r="C482" s="9" t="n"/>
      <c r="D482" s="9" t="n"/>
      <c r="E482" s="9" t="n"/>
      <c r="F482" s="9" t="n"/>
      <c r="G482" s="9" t="n"/>
      <c r="H482" s="9" t="n"/>
      <c r="I482" s="9" t="n"/>
      <c r="J482" s="3" t="n"/>
      <c r="K482" s="9" t="n"/>
    </row>
    <row r="483">
      <c r="A483" s="4" t="n"/>
      <c r="B483" s="9">
        <f>IF(A483="","",INT((DAY(A483)-1)/7)+1)</f>
        <v/>
      </c>
      <c r="C483" s="9" t="n"/>
      <c r="D483" s="9" t="n"/>
      <c r="E483" s="9" t="n"/>
      <c r="F483" s="9" t="n"/>
      <c r="G483" s="9" t="n"/>
      <c r="H483" s="9" t="n"/>
      <c r="I483" s="9" t="n"/>
      <c r="J483" s="3" t="n"/>
      <c r="K483" s="9" t="n"/>
    </row>
    <row r="484">
      <c r="A484" s="4" t="n"/>
      <c r="B484" s="9">
        <f>IF(A484="","",INT((DAY(A484)-1)/7)+1)</f>
        <v/>
      </c>
      <c r="C484" s="9" t="n"/>
      <c r="D484" s="9" t="n"/>
      <c r="E484" s="9" t="n"/>
      <c r="F484" s="9" t="n"/>
      <c r="G484" s="9" t="n"/>
      <c r="H484" s="9" t="n"/>
      <c r="I484" s="9" t="n"/>
      <c r="J484" s="3" t="n"/>
      <c r="K484" s="9" t="n"/>
    </row>
    <row r="485">
      <c r="A485" s="4" t="n"/>
      <c r="B485" s="9">
        <f>IF(A485="","",INT((DAY(A485)-1)/7)+1)</f>
        <v/>
      </c>
      <c r="C485" s="9" t="n"/>
      <c r="D485" s="9" t="n"/>
      <c r="E485" s="9" t="n"/>
      <c r="F485" s="9" t="n"/>
      <c r="G485" s="9" t="n"/>
      <c r="H485" s="9" t="n"/>
      <c r="I485" s="9" t="n"/>
      <c r="J485" s="3" t="n"/>
      <c r="K485" s="9" t="n"/>
    </row>
    <row r="486">
      <c r="A486" s="4" t="n"/>
      <c r="B486" s="9">
        <f>IF(A486="","",INT((DAY(A486)-1)/7)+1)</f>
        <v/>
      </c>
      <c r="C486" s="9" t="n"/>
      <c r="D486" s="9" t="n"/>
      <c r="E486" s="9" t="n"/>
      <c r="F486" s="9" t="n"/>
      <c r="G486" s="9" t="n"/>
      <c r="H486" s="9" t="n"/>
      <c r="I486" s="9" t="n"/>
      <c r="J486" s="3" t="n"/>
      <c r="K486" s="9" t="n"/>
    </row>
    <row r="487">
      <c r="A487" s="4" t="n"/>
      <c r="B487" s="9">
        <f>IF(A487="","",INT((DAY(A487)-1)/7)+1)</f>
        <v/>
      </c>
      <c r="C487" s="9" t="n"/>
      <c r="D487" s="9" t="n"/>
      <c r="E487" s="9" t="n"/>
      <c r="F487" s="9" t="n"/>
      <c r="G487" s="9" t="n"/>
      <c r="H487" s="9" t="n"/>
      <c r="I487" s="9" t="n"/>
      <c r="J487" s="3" t="n"/>
      <c r="K487" s="9" t="n"/>
    </row>
    <row r="488">
      <c r="A488" s="4" t="n"/>
      <c r="B488" s="9">
        <f>IF(A488="","",INT((DAY(A488)-1)/7)+1)</f>
        <v/>
      </c>
      <c r="C488" s="9" t="n"/>
      <c r="D488" s="9" t="n"/>
      <c r="E488" s="9" t="n"/>
      <c r="F488" s="9" t="n"/>
      <c r="G488" s="9" t="n"/>
      <c r="H488" s="9" t="n"/>
      <c r="I488" s="9" t="n"/>
      <c r="J488" s="3" t="n"/>
      <c r="K488" s="9" t="n"/>
    </row>
    <row r="489">
      <c r="A489" s="4" t="n"/>
      <c r="B489" s="9">
        <f>IF(A489="","",INT((DAY(A489)-1)/7)+1)</f>
        <v/>
      </c>
      <c r="C489" s="9" t="n"/>
      <c r="D489" s="9" t="n"/>
      <c r="E489" s="9" t="n"/>
      <c r="F489" s="9" t="n"/>
      <c r="G489" s="9" t="n"/>
      <c r="H489" s="9" t="n"/>
      <c r="I489" s="9" t="n"/>
      <c r="J489" s="3" t="n"/>
      <c r="K489" s="9" t="n"/>
    </row>
    <row r="490">
      <c r="A490" s="4" t="n"/>
      <c r="B490" s="9">
        <f>IF(A490="","",INT((DAY(A490)-1)/7)+1)</f>
        <v/>
      </c>
      <c r="C490" s="9" t="n"/>
      <c r="D490" s="9" t="n"/>
      <c r="E490" s="9" t="n"/>
      <c r="F490" s="9" t="n"/>
      <c r="G490" s="9" t="n"/>
      <c r="H490" s="9" t="n"/>
      <c r="I490" s="9" t="n"/>
      <c r="J490" s="3" t="n"/>
      <c r="K490" s="9" t="n"/>
    </row>
    <row r="491">
      <c r="A491" s="4" t="n"/>
      <c r="B491" s="9">
        <f>IF(A491="","",INT((DAY(A491)-1)/7)+1)</f>
        <v/>
      </c>
      <c r="C491" s="9" t="n"/>
      <c r="D491" s="9" t="n"/>
      <c r="E491" s="9" t="n"/>
      <c r="F491" s="9" t="n"/>
      <c r="G491" s="9" t="n"/>
      <c r="H491" s="9" t="n"/>
      <c r="I491" s="9" t="n"/>
      <c r="J491" s="3" t="n"/>
      <c r="K491" s="9" t="n"/>
    </row>
    <row r="492">
      <c r="A492" s="4" t="n"/>
      <c r="B492" s="9">
        <f>IF(A492="","",INT((DAY(A492)-1)/7)+1)</f>
        <v/>
      </c>
      <c r="C492" s="9" t="n"/>
      <c r="D492" s="9" t="n"/>
      <c r="E492" s="9" t="n"/>
      <c r="F492" s="9" t="n"/>
      <c r="G492" s="9" t="n"/>
      <c r="H492" s="9" t="n"/>
      <c r="I492" s="9" t="n"/>
      <c r="J492" s="3" t="n"/>
      <c r="K492" s="9" t="n"/>
    </row>
    <row r="493">
      <c r="A493" s="4" t="n"/>
      <c r="B493" s="9">
        <f>IF(A493="","",INT((DAY(A493)-1)/7)+1)</f>
        <v/>
      </c>
      <c r="C493" s="9" t="n"/>
      <c r="D493" s="9" t="n"/>
      <c r="E493" s="9" t="n"/>
      <c r="F493" s="9" t="n"/>
      <c r="G493" s="9" t="n"/>
      <c r="H493" s="9" t="n"/>
      <c r="I493" s="9" t="n"/>
      <c r="J493" s="3" t="n"/>
      <c r="K493" s="9" t="n"/>
    </row>
    <row r="494">
      <c r="A494" s="4" t="n"/>
      <c r="B494" s="9">
        <f>IF(A494="","",INT((DAY(A494)-1)/7)+1)</f>
        <v/>
      </c>
      <c r="C494" s="9" t="n"/>
      <c r="D494" s="9" t="n"/>
      <c r="E494" s="9" t="n"/>
      <c r="F494" s="9" t="n"/>
      <c r="G494" s="9" t="n"/>
      <c r="H494" s="9" t="n"/>
      <c r="I494" s="9" t="n"/>
      <c r="J494" s="3" t="n"/>
      <c r="K494" s="9" t="n"/>
    </row>
    <row r="495">
      <c r="A495" s="4" t="n"/>
      <c r="B495" s="9">
        <f>IF(A495="","",INT((DAY(A495)-1)/7)+1)</f>
        <v/>
      </c>
      <c r="C495" s="9" t="n"/>
      <c r="D495" s="9" t="n"/>
      <c r="E495" s="9" t="n"/>
      <c r="F495" s="9" t="n"/>
      <c r="G495" s="9" t="n"/>
      <c r="H495" s="9" t="n"/>
      <c r="I495" s="9" t="n"/>
      <c r="J495" s="3" t="n"/>
      <c r="K495" s="9" t="n"/>
    </row>
    <row r="496">
      <c r="A496" s="4" t="n"/>
      <c r="B496" s="9">
        <f>IF(A496="","",INT((DAY(A496)-1)/7)+1)</f>
        <v/>
      </c>
      <c r="C496" s="9" t="n"/>
      <c r="D496" s="9" t="n"/>
      <c r="E496" s="9" t="n"/>
      <c r="F496" s="9" t="n"/>
      <c r="G496" s="9" t="n"/>
      <c r="H496" s="9" t="n"/>
      <c r="I496" s="9" t="n"/>
      <c r="J496" s="3" t="n"/>
      <c r="K496" s="9" t="n"/>
    </row>
    <row r="497">
      <c r="A497" s="4" t="n"/>
      <c r="B497" s="9">
        <f>IF(A497="","",INT((DAY(A497)-1)/7)+1)</f>
        <v/>
      </c>
      <c r="C497" s="9" t="n"/>
      <c r="D497" s="9" t="n"/>
      <c r="E497" s="9" t="n"/>
      <c r="F497" s="9" t="n"/>
      <c r="G497" s="9" t="n"/>
      <c r="H497" s="9" t="n"/>
      <c r="I497" s="9" t="n"/>
      <c r="J497" s="3" t="n"/>
      <c r="K497" s="9" t="n"/>
    </row>
    <row r="498">
      <c r="A498" s="4" t="n"/>
      <c r="B498" s="9">
        <f>IF(A498="","",INT((DAY(A498)-1)/7)+1)</f>
        <v/>
      </c>
      <c r="C498" s="9" t="n"/>
      <c r="D498" s="9" t="n"/>
      <c r="E498" s="9" t="n"/>
      <c r="F498" s="9" t="n"/>
      <c r="G498" s="9" t="n"/>
      <c r="H498" s="9" t="n"/>
      <c r="I498" s="9" t="n"/>
      <c r="J498" s="3" t="n"/>
      <c r="K498" s="9" t="n"/>
    </row>
    <row r="499">
      <c r="A499" s="4" t="n"/>
      <c r="B499" s="9">
        <f>IF(A499="","",INT((DAY(A499)-1)/7)+1)</f>
        <v/>
      </c>
      <c r="C499" s="9" t="n"/>
      <c r="D499" s="9" t="n"/>
      <c r="E499" s="9" t="n"/>
      <c r="F499" s="9" t="n"/>
      <c r="G499" s="9" t="n"/>
      <c r="H499" s="9" t="n"/>
      <c r="I499" s="9" t="n"/>
      <c r="J499" s="3" t="n"/>
      <c r="K499" s="9" t="n"/>
    </row>
    <row r="500">
      <c r="A500" s="4" t="n"/>
      <c r="B500" s="9">
        <f>IF(A500="","",INT((DAY(A500)-1)/7)+1)</f>
        <v/>
      </c>
      <c r="C500" s="9" t="n"/>
      <c r="D500" s="9" t="n"/>
      <c r="E500" s="9" t="n"/>
      <c r="F500" s="9" t="n"/>
      <c r="G500" s="9" t="n"/>
      <c r="H500" s="9" t="n"/>
      <c r="I500" s="9" t="n"/>
      <c r="J500" s="3" t="n"/>
      <c r="K500" s="9" t="n"/>
    </row>
    <row r="501">
      <c r="A501" s="4" t="n"/>
      <c r="B501" s="9">
        <f>IF(A501="","",INT((DAY(A501)-1)/7)+1)</f>
        <v/>
      </c>
      <c r="C501" s="9" t="n"/>
      <c r="D501" s="9" t="n"/>
      <c r="E501" s="9" t="n"/>
      <c r="F501" s="9" t="n"/>
      <c r="G501" s="9" t="n"/>
      <c r="H501" s="9" t="n"/>
      <c r="I501" s="9" t="n"/>
      <c r="J501" s="3" t="n"/>
      <c r="K501" s="9" t="n"/>
    </row>
    <row r="502">
      <c r="A502" s="4" t="n"/>
      <c r="B502" s="9">
        <f>IF(A502="","",INT((DAY(A502)-1)/7)+1)</f>
        <v/>
      </c>
      <c r="C502" s="9" t="n"/>
      <c r="D502" s="9" t="n"/>
      <c r="E502" s="9" t="n"/>
      <c r="F502" s="9" t="n"/>
      <c r="G502" s="9" t="n"/>
      <c r="H502" s="9" t="n"/>
      <c r="I502" s="9" t="n"/>
      <c r="J502" s="3" t="n"/>
      <c r="K502" s="9" t="n"/>
    </row>
    <row r="503">
      <c r="A503" s="4" t="n"/>
      <c r="B503" s="9">
        <f>IF(A503="","",INT((DAY(A503)-1)/7)+1)</f>
        <v/>
      </c>
      <c r="C503" s="9" t="n"/>
      <c r="D503" s="9" t="n"/>
      <c r="E503" s="9" t="n"/>
      <c r="F503" s="9" t="n"/>
      <c r="G503" s="9" t="n"/>
      <c r="H503" s="9" t="n"/>
      <c r="I503" s="9" t="n"/>
      <c r="J503" s="3" t="n"/>
      <c r="K503" s="9" t="n"/>
    </row>
    <row r="504">
      <c r="A504" s="4" t="n"/>
      <c r="B504" s="9">
        <f>IF(A504="","",INT((DAY(A504)-1)/7)+1)</f>
        <v/>
      </c>
      <c r="C504" s="9" t="n"/>
      <c r="D504" s="9" t="n"/>
      <c r="E504" s="9" t="n"/>
      <c r="F504" s="9" t="n"/>
      <c r="G504" s="9" t="n"/>
      <c r="H504" s="9" t="n"/>
      <c r="I504" s="9" t="n"/>
      <c r="J504" s="3" t="n"/>
      <c r="K504" s="9" t="n"/>
    </row>
    <row r="505">
      <c r="A505" s="4" t="n"/>
      <c r="B505" s="9">
        <f>IF(A505="","",INT((DAY(A505)-1)/7)+1)</f>
        <v/>
      </c>
      <c r="C505" s="9" t="n"/>
      <c r="D505" s="9" t="n"/>
      <c r="E505" s="9" t="n"/>
      <c r="F505" s="9" t="n"/>
      <c r="G505" s="9" t="n"/>
      <c r="H505" s="9" t="n"/>
      <c r="I505" s="9" t="n"/>
      <c r="J505" s="3" t="n"/>
      <c r="K505" s="9" t="n"/>
    </row>
    <row r="506">
      <c r="A506" s="4" t="n"/>
      <c r="B506" s="9">
        <f>IF(A506="","",INT((DAY(A506)-1)/7)+1)</f>
        <v/>
      </c>
      <c r="C506" s="9" t="n"/>
      <c r="D506" s="9" t="n"/>
      <c r="E506" s="9" t="n"/>
      <c r="F506" s="9" t="n"/>
      <c r="G506" s="9" t="n"/>
      <c r="H506" s="9" t="n"/>
      <c r="I506" s="9" t="n"/>
      <c r="J506" s="3" t="n"/>
      <c r="K506" s="9" t="n"/>
    </row>
    <row r="507">
      <c r="A507" s="4" t="n"/>
      <c r="B507" s="9">
        <f>IF(A507="","",INT((DAY(A507)-1)/7)+1)</f>
        <v/>
      </c>
      <c r="C507" s="9" t="n"/>
      <c r="D507" s="9" t="n"/>
      <c r="E507" s="9" t="n"/>
      <c r="F507" s="9" t="n"/>
      <c r="G507" s="9" t="n"/>
      <c r="H507" s="9" t="n"/>
      <c r="I507" s="9" t="n"/>
      <c r="J507" s="3" t="n"/>
      <c r="K507" s="9" t="n"/>
    </row>
    <row r="508">
      <c r="A508" s="4" t="n"/>
      <c r="B508" s="9">
        <f>IF(A508="","",INT((DAY(A508)-1)/7)+1)</f>
        <v/>
      </c>
      <c r="C508" s="9" t="n"/>
      <c r="D508" s="9" t="n"/>
      <c r="E508" s="9" t="n"/>
      <c r="F508" s="9" t="n"/>
      <c r="G508" s="9" t="n"/>
      <c r="H508" s="9" t="n"/>
      <c r="I508" s="9" t="n"/>
      <c r="J508" s="3" t="n"/>
      <c r="K508" s="9" t="n"/>
    </row>
    <row r="509">
      <c r="A509" s="4" t="n"/>
      <c r="B509" s="9">
        <f>IF(A509="","",INT((DAY(A509)-1)/7)+1)</f>
        <v/>
      </c>
      <c r="C509" s="9" t="n"/>
      <c r="D509" s="9" t="n"/>
      <c r="E509" s="9" t="n"/>
      <c r="F509" s="9" t="n"/>
      <c r="G509" s="9" t="n"/>
      <c r="H509" s="9" t="n"/>
      <c r="I509" s="9" t="n"/>
      <c r="J509" s="3" t="n"/>
      <c r="K509" s="9" t="n"/>
    </row>
    <row r="510">
      <c r="A510" s="4" t="n"/>
      <c r="B510" s="9">
        <f>IF(A510="","",INT((DAY(A510)-1)/7)+1)</f>
        <v/>
      </c>
      <c r="C510" s="9" t="n"/>
      <c r="D510" s="9" t="n"/>
      <c r="E510" s="9" t="n"/>
      <c r="F510" s="9" t="n"/>
      <c r="G510" s="9" t="n"/>
      <c r="H510" s="9" t="n"/>
      <c r="I510" s="9" t="n"/>
      <c r="J510" s="3" t="n"/>
      <c r="K510" s="9" t="n"/>
    </row>
    <row r="511">
      <c r="A511" s="4" t="n"/>
      <c r="B511" s="9">
        <f>IF(A511="","",INT((DAY(A511)-1)/7)+1)</f>
        <v/>
      </c>
      <c r="C511" s="9" t="n"/>
      <c r="D511" s="9" t="n"/>
      <c r="E511" s="9" t="n"/>
      <c r="F511" s="9" t="n"/>
      <c r="G511" s="9" t="n"/>
      <c r="H511" s="9" t="n"/>
      <c r="I511" s="9" t="n"/>
      <c r="J511" s="3" t="n"/>
      <c r="K511" s="9" t="n"/>
    </row>
    <row r="512">
      <c r="A512" s="4" t="n"/>
      <c r="B512" s="9">
        <f>IF(A512="","",INT((DAY(A512)-1)/7)+1)</f>
        <v/>
      </c>
      <c r="C512" s="9" t="n"/>
      <c r="D512" s="9" t="n"/>
      <c r="E512" s="9" t="n"/>
      <c r="F512" s="9" t="n"/>
      <c r="G512" s="9" t="n"/>
      <c r="H512" s="9" t="n"/>
      <c r="I512" s="9" t="n"/>
      <c r="J512" s="3" t="n"/>
      <c r="K512" s="9" t="n"/>
    </row>
    <row r="513">
      <c r="A513" s="4" t="n"/>
      <c r="B513" s="9">
        <f>IF(A513="","",INT((DAY(A513)-1)/7)+1)</f>
        <v/>
      </c>
      <c r="C513" s="9" t="n"/>
      <c r="D513" s="9" t="n"/>
      <c r="E513" s="9" t="n"/>
      <c r="F513" s="9" t="n"/>
      <c r="G513" s="9" t="n"/>
      <c r="H513" s="9" t="n"/>
      <c r="I513" s="9" t="n"/>
      <c r="J513" s="3" t="n"/>
      <c r="K513" s="9" t="n"/>
    </row>
    <row r="514">
      <c r="A514" s="4" t="n"/>
      <c r="B514" s="9">
        <f>IF(A514="","",INT((DAY(A514)-1)/7)+1)</f>
        <v/>
      </c>
      <c r="C514" s="9" t="n"/>
      <c r="D514" s="9" t="n"/>
      <c r="E514" s="9" t="n"/>
      <c r="F514" s="9" t="n"/>
      <c r="G514" s="9" t="n"/>
      <c r="H514" s="9" t="n"/>
      <c r="I514" s="9" t="n"/>
      <c r="J514" s="3" t="n"/>
      <c r="K514" s="9" t="n"/>
    </row>
    <row r="515">
      <c r="A515" s="4" t="n"/>
      <c r="B515" s="9">
        <f>IF(A515="","",INT((DAY(A515)-1)/7)+1)</f>
        <v/>
      </c>
      <c r="C515" s="9" t="n"/>
      <c r="D515" s="9" t="n"/>
      <c r="E515" s="9" t="n"/>
      <c r="F515" s="9" t="n"/>
      <c r="G515" s="9" t="n"/>
      <c r="H515" s="9" t="n"/>
      <c r="I515" s="9" t="n"/>
      <c r="J515" s="3" t="n"/>
      <c r="K515" s="9" t="n"/>
    </row>
    <row r="516">
      <c r="A516" s="4" t="n"/>
      <c r="B516" s="9">
        <f>IF(A516="","",INT((DAY(A516)-1)/7)+1)</f>
        <v/>
      </c>
      <c r="C516" s="9" t="n"/>
      <c r="D516" s="9" t="n"/>
      <c r="E516" s="9" t="n"/>
      <c r="F516" s="9" t="n"/>
      <c r="G516" s="9" t="n"/>
      <c r="H516" s="9" t="n"/>
      <c r="I516" s="9" t="n"/>
      <c r="J516" s="3" t="n"/>
      <c r="K516" s="9" t="n"/>
    </row>
    <row r="517">
      <c r="A517" s="4" t="n"/>
      <c r="B517" s="9">
        <f>IF(A517="","",INT((DAY(A517)-1)/7)+1)</f>
        <v/>
      </c>
      <c r="C517" s="9" t="n"/>
      <c r="D517" s="9" t="n"/>
      <c r="E517" s="9" t="n"/>
      <c r="F517" s="9" t="n"/>
      <c r="G517" s="9" t="n"/>
      <c r="H517" s="9" t="n"/>
      <c r="I517" s="9" t="n"/>
      <c r="J517" s="3" t="n"/>
      <c r="K517" s="9" t="n"/>
    </row>
    <row r="518">
      <c r="A518" s="4" t="n"/>
      <c r="B518" s="9">
        <f>IF(A518="","",INT((DAY(A518)-1)/7)+1)</f>
        <v/>
      </c>
      <c r="C518" s="9" t="n"/>
      <c r="D518" s="9" t="n"/>
      <c r="E518" s="9" t="n"/>
      <c r="F518" s="9" t="n"/>
      <c r="G518" s="9" t="n"/>
      <c r="H518" s="9" t="n"/>
      <c r="I518" s="9" t="n"/>
      <c r="J518" s="3" t="n"/>
      <c r="K518" s="9" t="n"/>
    </row>
    <row r="519">
      <c r="A519" s="4" t="n"/>
      <c r="B519" s="9">
        <f>IF(A519="","",INT((DAY(A519)-1)/7)+1)</f>
        <v/>
      </c>
      <c r="C519" s="9" t="n"/>
      <c r="D519" s="9" t="n"/>
      <c r="E519" s="9" t="n"/>
      <c r="F519" s="9" t="n"/>
      <c r="G519" s="9" t="n"/>
      <c r="H519" s="9" t="n"/>
      <c r="I519" s="9" t="n"/>
      <c r="J519" s="3" t="n"/>
      <c r="K519" s="9" t="n"/>
    </row>
    <row r="520">
      <c r="A520" s="4" t="n"/>
      <c r="B520" s="9">
        <f>IF(A520="","",INT((DAY(A520)-1)/7)+1)</f>
        <v/>
      </c>
      <c r="C520" s="9" t="n"/>
      <c r="D520" s="9" t="n"/>
      <c r="E520" s="9" t="n"/>
      <c r="F520" s="9" t="n"/>
      <c r="G520" s="9" t="n"/>
      <c r="H520" s="9" t="n"/>
      <c r="I520" s="9" t="n"/>
      <c r="J520" s="3" t="n"/>
      <c r="K520" s="9" t="n"/>
    </row>
    <row r="521">
      <c r="A521" s="4" t="n"/>
      <c r="B521" s="9">
        <f>IF(A521="","",INT((DAY(A521)-1)/7)+1)</f>
        <v/>
      </c>
      <c r="C521" s="9" t="n"/>
      <c r="D521" s="9" t="n"/>
      <c r="E521" s="9" t="n"/>
      <c r="F521" s="9" t="n"/>
      <c r="G521" s="9" t="n"/>
      <c r="H521" s="9" t="n"/>
      <c r="I521" s="9" t="n"/>
      <c r="J521" s="3" t="n"/>
      <c r="K521" s="9" t="n"/>
    </row>
    <row r="522">
      <c r="A522" s="4" t="n"/>
      <c r="B522" s="9">
        <f>IF(A522="","",INT((DAY(A522)-1)/7)+1)</f>
        <v/>
      </c>
      <c r="C522" s="9" t="n"/>
      <c r="D522" s="9" t="n"/>
      <c r="E522" s="9" t="n"/>
      <c r="F522" s="9" t="n"/>
      <c r="G522" s="9" t="n"/>
      <c r="H522" s="9" t="n"/>
      <c r="I522" s="9" t="n"/>
      <c r="J522" s="3" t="n"/>
      <c r="K522" s="9" t="n"/>
    </row>
    <row r="523">
      <c r="A523" s="4" t="n"/>
      <c r="B523" s="9">
        <f>IF(A523="","",INT((DAY(A523)-1)/7)+1)</f>
        <v/>
      </c>
      <c r="C523" s="9" t="n"/>
      <c r="D523" s="9" t="n"/>
      <c r="E523" s="9" t="n"/>
      <c r="F523" s="9" t="n"/>
      <c r="G523" s="9" t="n"/>
      <c r="H523" s="9" t="n"/>
      <c r="I523" s="9" t="n"/>
      <c r="J523" s="3" t="n"/>
      <c r="K523" s="9" t="n"/>
    </row>
    <row r="524">
      <c r="A524" s="4" t="n"/>
      <c r="B524" s="9">
        <f>IF(A524="","",INT((DAY(A524)-1)/7)+1)</f>
        <v/>
      </c>
      <c r="C524" s="9" t="n"/>
      <c r="D524" s="9" t="n"/>
      <c r="E524" s="9" t="n"/>
      <c r="F524" s="9" t="n"/>
      <c r="G524" s="9" t="n"/>
      <c r="H524" s="9" t="n"/>
      <c r="I524" s="9" t="n"/>
      <c r="J524" s="3" t="n"/>
      <c r="K524" s="9" t="n"/>
    </row>
    <row r="525">
      <c r="A525" s="4" t="n"/>
      <c r="B525" s="9">
        <f>IF(A525="","",INT((DAY(A525)-1)/7)+1)</f>
        <v/>
      </c>
      <c r="C525" s="9" t="n"/>
      <c r="D525" s="9" t="n"/>
      <c r="E525" s="9" t="n"/>
      <c r="F525" s="9" t="n"/>
      <c r="G525" s="9" t="n"/>
      <c r="H525" s="9" t="n"/>
      <c r="I525" s="9" t="n"/>
      <c r="J525" s="3" t="n"/>
      <c r="K525" s="9" t="n"/>
    </row>
    <row r="526">
      <c r="A526" s="4" t="n"/>
      <c r="B526" s="9">
        <f>IF(A526="","",INT((DAY(A526)-1)/7)+1)</f>
        <v/>
      </c>
      <c r="C526" s="9" t="n"/>
      <c r="D526" s="9" t="n"/>
      <c r="E526" s="9" t="n"/>
      <c r="F526" s="9" t="n"/>
      <c r="G526" s="9" t="n"/>
      <c r="H526" s="9" t="n"/>
      <c r="I526" s="9" t="n"/>
      <c r="J526" s="3" t="n"/>
      <c r="K526" s="9" t="n"/>
    </row>
    <row r="527">
      <c r="A527" s="4" t="n"/>
      <c r="B527" s="9">
        <f>IF(A527="","",INT((DAY(A527)-1)/7)+1)</f>
        <v/>
      </c>
      <c r="C527" s="9" t="n"/>
      <c r="D527" s="9" t="n"/>
      <c r="E527" s="9" t="n"/>
      <c r="F527" s="9" t="n"/>
      <c r="G527" s="9" t="n"/>
      <c r="H527" s="9" t="n"/>
      <c r="I527" s="9" t="n"/>
      <c r="J527" s="3" t="n"/>
      <c r="K527" s="9" t="n"/>
    </row>
    <row r="528">
      <c r="A528" s="4" t="n"/>
      <c r="B528" s="9">
        <f>IF(A528="","",INT((DAY(A528)-1)/7)+1)</f>
        <v/>
      </c>
      <c r="C528" s="9" t="n"/>
      <c r="D528" s="9" t="n"/>
      <c r="E528" s="9" t="n"/>
      <c r="F528" s="9" t="n"/>
      <c r="G528" s="9" t="n"/>
      <c r="H528" s="9" t="n"/>
      <c r="I528" s="9" t="n"/>
      <c r="J528" s="3" t="n"/>
      <c r="K528" s="9" t="n"/>
    </row>
  </sheetData>
  <autoFilter ref="A28:K528"/>
  <dataValidations count="4">
    <dataValidation sqref="E29:E528" showDropDown="0" showInputMessage="0" showErrorMessage="1" allowBlank="1" type="list">
      <formula1>=Lists!$A$2:$A$22</formula1>
    </dataValidation>
    <dataValidation sqref="G29:G528" showDropDown="0" showInputMessage="0" showErrorMessage="1" allowBlank="1" type="list">
      <formula1>=Lists!$D$2:$D$8</formula1>
    </dataValidation>
    <dataValidation sqref="H29:H528" showDropDown="0" showInputMessage="0" showErrorMessage="1" allowBlank="1" type="list">
      <formula1>=Lists!$C$2:$C$9</formula1>
    </dataValidation>
    <dataValidation sqref="I29:I528" showDropDown="0" showInputMessage="0" showErrorMessage="1" allowBlank="1" type="list">
      <formula1>=Lists!$B$2:$B$5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4" customWidth="1" style="10" min="1" max="4"/>
  </cols>
  <sheetData>
    <row r="1">
      <c r="A1" s="2" t="inlineStr">
        <is>
          <t>Categories</t>
        </is>
      </c>
      <c r="B1" s="2" t="inlineStr">
        <is>
          <t>Types</t>
        </is>
      </c>
      <c r="C1" s="2" t="inlineStr">
        <is>
          <t>Payment Methods</t>
        </is>
      </c>
      <c r="D1" s="2" t="inlineStr">
        <is>
          <t>Accounts</t>
        </is>
      </c>
    </row>
    <row r="2">
      <c r="A2" s="9" t="inlineStr">
        <is>
          <t>Housing</t>
        </is>
      </c>
      <c r="B2" s="9" t="inlineStr">
        <is>
          <t>Expense</t>
        </is>
      </c>
      <c r="C2" s="9" t="inlineStr">
        <is>
          <t>Credit Card</t>
        </is>
      </c>
      <c r="D2" s="9" t="inlineStr">
        <is>
          <t>Checking</t>
        </is>
      </c>
    </row>
    <row r="3">
      <c r="A3" s="9" t="inlineStr">
        <is>
          <t>Utilities</t>
        </is>
      </c>
      <c r="B3" s="9" t="inlineStr">
        <is>
          <t>Income</t>
        </is>
      </c>
      <c r="C3" s="9" t="inlineStr">
        <is>
          <t>Debit Card</t>
        </is>
      </c>
      <c r="D3" s="9" t="inlineStr">
        <is>
          <t>Savings</t>
        </is>
      </c>
    </row>
    <row r="4">
      <c r="A4" s="9" t="inlineStr">
        <is>
          <t>Groceries</t>
        </is>
      </c>
      <c r="B4" s="9" t="inlineStr">
        <is>
          <t>Transfer</t>
        </is>
      </c>
      <c r="C4" s="9" t="inlineStr">
        <is>
          <t>Bank Transfer</t>
        </is>
      </c>
      <c r="D4" s="9" t="inlineStr">
        <is>
          <t>Credit Card</t>
        </is>
      </c>
    </row>
    <row r="5">
      <c r="A5" s="9" t="inlineStr">
        <is>
          <t>Dining</t>
        </is>
      </c>
      <c r="B5" s="9" t="inlineStr">
        <is>
          <t>Opening Balance</t>
        </is>
      </c>
      <c r="C5" s="9" t="inlineStr">
        <is>
          <t>ACH</t>
        </is>
      </c>
      <c r="D5" s="9" t="inlineStr">
        <is>
          <t>Cash</t>
        </is>
      </c>
    </row>
    <row r="6">
      <c r="A6" s="9" t="inlineStr">
        <is>
          <t>Transportation</t>
        </is>
      </c>
      <c r="B6" s="9" t="n"/>
      <c r="C6" s="9" t="inlineStr">
        <is>
          <t>Cash</t>
        </is>
      </c>
      <c r="D6" s="9" t="inlineStr">
        <is>
          <t>Investment</t>
        </is>
      </c>
    </row>
    <row r="7">
      <c r="A7" s="9" t="inlineStr">
        <is>
          <t>Health &amp; Medical</t>
        </is>
      </c>
      <c r="B7" s="9" t="n"/>
      <c r="C7" s="9" t="inlineStr">
        <is>
          <t>Check</t>
        </is>
      </c>
      <c r="D7" s="9" t="inlineStr">
        <is>
          <t>Loan</t>
        </is>
      </c>
    </row>
    <row r="8">
      <c r="A8" s="9" t="inlineStr">
        <is>
          <t>Insurance</t>
        </is>
      </c>
      <c r="B8" s="9" t="n"/>
      <c r="C8" s="9" t="inlineStr">
        <is>
          <t>Venmo/Zelle/PayPal</t>
        </is>
      </c>
      <c r="D8" s="9" t="inlineStr">
        <is>
          <t>Other</t>
        </is>
      </c>
    </row>
    <row r="9">
      <c r="A9" s="9" t="inlineStr">
        <is>
          <t>Debt Payments</t>
        </is>
      </c>
      <c r="B9" s="9" t="n"/>
      <c r="C9" s="9" t="inlineStr">
        <is>
          <t>Other</t>
        </is>
      </c>
      <c r="D9" s="9" t="n"/>
    </row>
    <row r="10">
      <c r="A10" s="9" t="inlineStr">
        <is>
          <t>Savings &amp; Investments</t>
        </is>
      </c>
      <c r="B10" s="9" t="n"/>
      <c r="C10" s="9" t="n"/>
      <c r="D10" s="9" t="n"/>
    </row>
    <row r="11">
      <c r="A11" s="9" t="inlineStr">
        <is>
          <t>Personal Care</t>
        </is>
      </c>
      <c r="B11" s="9" t="n"/>
      <c r="C11" s="9" t="n"/>
      <c r="D11" s="9" t="n"/>
    </row>
    <row r="12">
      <c r="A12" s="9" t="inlineStr">
        <is>
          <t>Shopping</t>
        </is>
      </c>
      <c r="B12" s="9" t="n"/>
      <c r="C12" s="9" t="n"/>
      <c r="D12" s="9" t="n"/>
    </row>
    <row r="13">
      <c r="A13" s="9" t="inlineStr">
        <is>
          <t>Entertainment</t>
        </is>
      </c>
      <c r="B13" s="9" t="n"/>
      <c r="C13" s="9" t="n"/>
      <c r="D13" s="9" t="n"/>
    </row>
    <row r="14">
      <c r="A14" s="9" t="inlineStr">
        <is>
          <t>Travel</t>
        </is>
      </c>
      <c r="B14" s="9" t="n"/>
      <c r="C14" s="9" t="n"/>
      <c r="D14" s="9" t="n"/>
    </row>
    <row r="15">
      <c r="A15" s="9" t="inlineStr">
        <is>
          <t>Education</t>
        </is>
      </c>
      <c r="B15" s="9" t="n"/>
      <c r="C15" s="9" t="n"/>
      <c r="D15" s="9" t="n"/>
    </row>
    <row r="16">
      <c r="A16" s="9" t="inlineStr">
        <is>
          <t>Gifts &amp; Donations</t>
        </is>
      </c>
      <c r="B16" s="9" t="n"/>
      <c r="C16" s="9" t="n"/>
      <c r="D16" s="9" t="n"/>
    </row>
    <row r="17">
      <c r="A17" s="9" t="inlineStr">
        <is>
          <t>Taxes</t>
        </is>
      </c>
      <c r="B17" s="9" t="n"/>
      <c r="C17" s="9" t="n"/>
      <c r="D17" s="9" t="n"/>
    </row>
    <row r="18">
      <c r="A18" s="9" t="inlineStr">
        <is>
          <t>Shipping</t>
        </is>
      </c>
      <c r="B18" s="9" t="n"/>
      <c r="C18" s="9" t="n"/>
      <c r="D18" s="9" t="n"/>
    </row>
    <row r="19">
      <c r="A19" s="9" t="inlineStr">
        <is>
          <t>Income</t>
        </is>
      </c>
      <c r="B19" s="9" t="n"/>
      <c r="C19" s="9" t="n"/>
      <c r="D19" s="9" t="n"/>
    </row>
    <row r="20">
      <c r="A20" s="9" t="inlineStr">
        <is>
          <t>Transfers</t>
        </is>
      </c>
      <c r="B20" s="9" t="n"/>
      <c r="C20" s="9" t="n"/>
      <c r="D20" s="9" t="n"/>
    </row>
    <row r="21">
      <c r="A21" s="9" t="inlineStr">
        <is>
          <t>Existing Savings</t>
        </is>
      </c>
      <c r="B21" s="9" t="n"/>
      <c r="C21" s="9" t="n"/>
      <c r="D21" s="9" t="n"/>
    </row>
    <row r="22">
      <c r="A22" s="9" t="inlineStr">
        <is>
          <t>Essentials</t>
        </is>
      </c>
      <c r="B22" s="9" t="n"/>
      <c r="C22" s="9" t="n"/>
      <c r="D22" s="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Youngwoo Ledger Template</dc:creator>
  <dcterms:created xmlns:dcterms="http://purl.org/dc/terms/" xmlns:xsi="http://www.w3.org/2001/XMLSchema-instance" xsi:type="dcterms:W3CDTF">2026-08-16T22:59:43Z</dcterms:created>
  <dcterms:modified xmlns:dcterms="http://purl.org/dc/terms/" xmlns:xsi="http://www.w3.org/2001/XMLSchema-instance" xsi:type="dcterms:W3CDTF">2026-08-22T23:50:35Z</dcterms:modified>
  <cp:lastModifiedBy>Youngwoo Ledger Template</cp:lastModifiedBy>
</cp:coreProperties>
</file>