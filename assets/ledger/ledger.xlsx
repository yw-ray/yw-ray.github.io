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>0</v>
      </c>
      <c r="K6" s="3">
        <f>J6-I6</f>
        <v>-1100</v>
      </c>
    </row>
    <row r="7">
      <c r="A7" s="5" t="inlineStr">
        <is>
          <t>Existing Savings</t>
        </is>
      </c>
      <c r="B7" s="3">
        <f>SUMIFS($J$29:$J$528,$I$29:$I$528,"Opening Balance")</f>
        <v>7300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1700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>0</v>
      </c>
      <c r="K8" s="3">
        <f>J8-I8</f>
        <v>-546.27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>0</v>
      </c>
      <c r="K9" s="3">
        <f>J9-I9</f>
        <v>-305.07</v>
      </c>
    </row>
    <row r="10">
      <c r="D10" s="5" t="inlineStr">
        <is>
          <t>Transportation</t>
        </is>
      </c>
      <c r="E10" s="3">
        <f>SUMIFS($J$29:$J$528,$E$29:$E$528,$D10,$I$29:$I$528,"Expense")</f>
        <v>107.45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>4988</v>
      </c>
      <c r="K10" s="3">
        <f>J10-I10</f>
        <v>4197.78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4988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7300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/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/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/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/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/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/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/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/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/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/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/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/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/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/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/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/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/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/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/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/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/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/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/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/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/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/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/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/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/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/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/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/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/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/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/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/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/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/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/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/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/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/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/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/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/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/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/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/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/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/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/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/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/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/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/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/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/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/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/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/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/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/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/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/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/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/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/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/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/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IF(A98="","",IF(DAY(A98)&lt;=2,1,IF(DAY(A98)&lt;=9,2,IF(DAY(A98)&lt;=16,3,IF(DAY(A98)&lt;=23,4,5)))))</f>
        <v/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IF(A99="","",IF(DAY(A99)&lt;=2,1,IF(DAY(A99)&lt;=9,2,IF(DAY(A99)&lt;=16,3,IF(DAY(A99)&lt;=23,4,5)))))</f>
        <v/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IF(A100="","",IF(DAY(A100)&lt;=2,1,IF(DAY(A100)&lt;=9,2,IF(DAY(A100)&lt;=16,3,IF(DAY(A100)&lt;=23,4,5)))))</f>
        <v/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IF(A101="","",IF(DAY(A101)&lt;=2,1,IF(DAY(A101)&lt;=9,2,IF(DAY(A101)&lt;=16,3,IF(DAY(A101)&lt;=23,4,5)))))</f>
        <v/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IF(A102="","",IF(DAY(A102)&lt;=2,1,IF(DAY(A102)&lt;=9,2,IF(DAY(A102)&lt;=16,3,IF(DAY(A102)&lt;=23,4,5)))))</f>
        <v/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IF(A103="","",IF(DAY(A103)&lt;=2,1,IF(DAY(A103)&lt;=9,2,IF(DAY(A103)&lt;=16,3,IF(DAY(A103)&lt;=23,4,5)))))</f>
        <v/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IF(A104="","",IF(DAY(A104)&lt;=2,1,IF(DAY(A104)&lt;=9,2,IF(DAY(A104)&lt;=16,3,IF(DAY(A104)&lt;=23,4,5)))))</f>
        <v/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IF(A105="","",IF(DAY(A105)&lt;=2,1,IF(DAY(A105)&lt;=9,2,IF(DAY(A105)&lt;=16,3,IF(DAY(A105)&lt;=23,4,5)))))</f>
        <v/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IF(A106="","",IF(DAY(A106)&lt;=2,1,IF(DAY(A106)&lt;=9,2,IF(DAY(A106)&lt;=16,3,IF(DAY(A106)&lt;=23,4,5)))))</f>
        <v/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IF(A107="","",IF(DAY(A107)&lt;=2,1,IF(DAY(A107)&lt;=9,2,IF(DAY(A107)&lt;=16,3,IF(DAY(A107)&lt;=23,4,5)))))</f>
        <v/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IF(A108="","",IF(DAY(A108)&lt;=2,1,IF(DAY(A108)&lt;=9,2,IF(DAY(A108)&lt;=16,3,IF(DAY(A108)&lt;=23,4,5)))))</f>
        <v/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IF(A109="","",IF(DAY(A109)&lt;=2,1,IF(DAY(A109)&lt;=9,2,IF(DAY(A109)&lt;=16,3,IF(DAY(A109)&lt;=23,4,5)))))</f>
        <v/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IF(A110="","",IF(DAY(A110)&lt;=2,1,IF(DAY(A110)&lt;=9,2,IF(DAY(A110)&lt;=16,3,IF(DAY(A110)&lt;=23,4,5)))))</f>
        <v/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IF(A111="","",IF(DAY(A111)&lt;=2,1,IF(DAY(A111)&lt;=9,2,IF(DAY(A111)&lt;=16,3,IF(DAY(A111)&lt;=23,4,5)))))</f>
        <v/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IF(A112="","",IF(DAY(A112)&lt;=2,1,IF(DAY(A112)&lt;=9,2,IF(DAY(A112)&lt;=16,3,IF(DAY(A112)&lt;=23,4,5)))))</f>
        <v/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IF(A113="","",IF(DAY(A113)&lt;=2,1,IF(DAY(A113)&lt;=9,2,IF(DAY(A113)&lt;=16,3,IF(DAY(A113)&lt;=23,4,5)))))</f>
        <v/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IF(A114="","",IF(DAY(A114)&lt;=2,1,IF(DAY(A114)&lt;=9,2,IF(DAY(A114)&lt;=16,3,IF(DAY(A114)&lt;=23,4,5)))))</f>
        <v/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IF(A115="","",IF(DAY(A115)&lt;=2,1,IF(DAY(A115)&lt;=9,2,IF(DAY(A115)&lt;=16,3,IF(DAY(A115)&lt;=23,4,5)))))</f>
        <v/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IF(A116="","",IF(DAY(A116)&lt;=2,1,IF(DAY(A116)&lt;=9,2,IF(DAY(A116)&lt;=16,3,IF(DAY(A116)&lt;=23,4,5)))))</f>
        <v/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IF(A117="","",IF(DAY(A117)&lt;=2,1,IF(DAY(A117)&lt;=9,2,IF(DAY(A117)&lt;=16,3,IF(DAY(A117)&lt;=23,4,5)))))</f>
        <v/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IF(A118="","",IF(DAY(A118)&lt;=2,1,IF(DAY(A118)&lt;=9,2,IF(DAY(A118)&lt;=16,3,IF(DAY(A118)&lt;=23,4,5)))))</f>
        <v/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/>
      <c r="B61" s="9">
        <f>IF(A61="","",INT(DAY(A61)/7)+1)</f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IF(A62="","",INT(DAY(A62)/7)+1)</f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IF(A63="","",INT(DAY(A63)/7)+1)</f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IF(A64="","",INT(DAY(A64)/7)+1)</f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IF(A65="","",INT(DAY(A65)/7)+1)</f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IF(A66="","",INT(DAY(A66)/7)+1)</f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IF(A67="","",INT(DAY(A67)/7)+1)</f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IF(A68="","",INT(DAY(A68)/7)+1)</f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IF(A69="","",INT(DAY(A69)/7)+1)</f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IF(A70="","",INT(DAY(A70)/7)+1)</f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IF(A71="","",INT(DAY(A71)/7)+1)</f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IF(A72="","",INT(DAY(A72)/7)+1)</f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IF(A73="","",INT(DAY(A73)/7)+1)</f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IF(A74="","",INT(DAY(A74)/7)+1)</f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IF(A75="","",INT(DAY(A75)/7)+1)</f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IF(A76="","",INT(DAY(A76)/7)+1)</f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IF(A77="","",INT(DAY(A77)/7)+1)</f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IF(A78="","",INT(DAY(A78)/7)+1)</f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IF(A79="","",INT(DAY(A79)/7)+1)</f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IF(A80="","",INT(DAY(A80)/7)+1)</f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IF(A81="","",INT(DAY(A81)/7)+1)</f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IF(A82="","",INT(DAY(A82)/7)+1)</f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IF(A83="","",INT(DAY(A83)/7)+1)</f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IF(A84="","",INT(DAY(A84)/7)+1)</f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IF(A85="","",INT(DAY(A85)/7)+1)</f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IF(A86="","",INT(DAY(A86)/7)+1)</f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IF(A87="","",INT(DAY(A87)/7)+1)</f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IF(A88="","",INT(DAY(A88)/7)+1)</f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IF(A89="","",INT(DAY(A89)/7)+1)</f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IF(A90="","",INT(DAY(A90)/7)+1)</f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IF(A91="","",INT(DAY(A91)/7)+1)</f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IF(A92="","",INT(DAY(A92)/7)+1)</f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IF(A93="","",INT(DAY(A93)/7)+1)</f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IF(A94="","",INT(DAY(A94)/7)+1)</f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IF(A95="","",INT(DAY(A95)/7)+1)</f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IF(A96="","",INT(DAY(A96)/7)+1)</f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IF(A97="","",INT(DAY(A97)/7)+1)</f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IF(A98="","",INT(DAY(A98)/7)+1)</f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IF(A99="","",INT(DAY(A99)/7)+1)</f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IF(A100="","",INT(DAY(A100)/7)+1)</f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IF(A101="","",INT(DAY(A101)/7)+1)</f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IF(A102="","",INT(DAY(A102)/7)+1)</f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IF(A103="","",INT(DAY(A103)/7)+1)</f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IF(A104="","",INT(DAY(A104)/7)+1)</f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IF(A105="","",INT(DAY(A105)/7)+1)</f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IF(A106="","",INT(DAY(A106)/7)+1)</f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IF(A107="","",INT(DAY(A107)/7)+1)</f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IF(A108="","",INT(DAY(A108)/7)+1)</f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IF(A109="","",INT(DAY(A109)/7)+1)</f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IF(A110="","",INT(DAY(A110)/7)+1)</f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IF(A111="","",INT(DAY(A111)/7)+1)</f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IF(A112="","",INT(DAY(A112)/7)+1)</f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IF(A113="","",INT(DAY(A113)/7)+1)</f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IF(A114="","",INT(DAY(A114)/7)+1)</f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IF(A115="","",INT(DAY(A115)/7)+1)</f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IF(A116="","",INT(DAY(A116)/7)+1)</f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IF(A117="","",INT(DAY(A117)/7)+1)</f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IF(A118="","",INT(DAY(A118)/7)+1)</f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IF(A119="","",INT(DAY(A119)/7)+1)</f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IF(A120="","",INT(DAY(A120)/7)+1)</f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IF(A121="","",INT(DAY(A121)/7)+1)</f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IF(A122="","",INT(DAY(A122)/7)+1)</f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IF(A123="","",INT(DAY(A123)/7)+1)</f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IF(A124="","",INT(DAY(A124)/7)+1)</f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IF(A125="","",INT(DAY(A125)/7)+1)</f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IF(A126="","",INT(DAY(A126)/7)+1)</f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IF(A127="","",INT(DAY(A127)/7)+1)</f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IF(A128="","",INT(DAY(A128)/7)+1)</f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IF(A129="","",INT(DAY(A129)/7)+1)</f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IF(A130="","",INT(DAY(A130)/7)+1)</f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IF(A131="","",INT(DAY(A131)/7)+1)</f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IF(A132="","",INT(DAY(A132)/7)+1)</f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IF(A133="","",INT(DAY(A133)/7)+1)</f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