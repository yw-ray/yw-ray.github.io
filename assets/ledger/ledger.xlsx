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1548.0</v>
      </c>
      <c r="C14" s="3">
        <f>'Sep 2026'!$B$6</f>
        <v>1830.17</v>
      </c>
      <c r="D14" s="3">
        <f>'Sep 2026'!$B$7</f>
        <v>0.0</v>
      </c>
      <c r="E14" s="3">
        <f>'Sep 2026'!$B$8</f>
        <v>106.0</v>
      </c>
      <c r="F14" s="3">
        <f>'Sep 2026'!$B$9</f>
        <v>-282.17</v>
      </c>
      <c r="G14" s="3">
        <f>'Sep 2026'!$B$10</f>
        <v>8560.07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  <c r="G18" s="3">
        <f>LOOKUP(2,1/(G6:G17&lt;&gt;0),G6:G17)</f>
        <v>8560.07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1830.17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280.32</v>
      </c>
      <c r="J7" s="3">
        <f>SUMIFS($J$29:$J$528,$B$29:$B$528,2,$I$29:$I$528,"Income")</f>
        <v>1548.0</v>
      </c>
      <c r="K7" s="3">
        <f>J7-I7</f>
        <v>1267.68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141.63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0.0</v>
      </c>
      <c r="J8" s="3">
        <f>SUMIFS($J$29:$J$528,$B$29:$B$528,3,$I$29:$I$528,"Income")</f>
        <v>0.0</v>
      </c>
      <c r="K8" s="3">
        <f>J8-I8</f>
        <v>0.0</v>
      </c>
    </row>
    <row r="9">
      <c r="A9" s="5" t="inlineStr">
        <is>
          <t>Net Cash Flow</t>
        </is>
      </c>
      <c r="B9" s="3">
        <f>B5-B6</f>
        <v>-282.17</v>
      </c>
      <c r="D9" s="5" t="inlineStr">
        <is>
          <t>Dining</t>
        </is>
      </c>
      <c r="E9" s="3">
        <f>SUMIFS($J$29:$J$528,$E$29:$E$528,$D9,$I$29:$I$528,"Expense")</f>
        <v>41.36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8560.07</v>
      </c>
      <c r="D10" s="5" t="inlineStr">
        <is>
          <t>Transportation</t>
        </is>
      </c>
      <c r="E10" s="3">
        <f>SUMIFS($J$29:$J$528,$E$29:$E$528,$D10,$I$29:$I$528,"Expense")</f>
        <v>47.0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282.1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67.88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1548.0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 t="n"/>
      <c r="B69" s="9">
        <f>IF(A69="","",INT(DAY(A69)/7)+1)</f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IF(A70="","",INT(DAY(A70)/7)+1)</f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IF(A71="","",INT(DAY(A71)/7)+1)</f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IF(A72="","",INT(DAY(A72)/7)+1)</f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IF(A73="","",INT(DAY(A73)/7)+1)</f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IF(A74="","",INT(DAY(A74)/7)+1)</f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IF(A75="","",INT(DAY(A75)/7)+1)</f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