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1536.47</v>
      </c>
      <c r="D15" s="3">
        <f>'Oct 2026'!$B$7</f>
        <v>0</v>
      </c>
      <c r="E15" s="3">
        <f>'Oct 2026'!$B$8</f>
        <v>0.00</v>
      </c>
      <c r="F15" s="3">
        <f>'Oct 2026'!$B$9</f>
        <v>-1536.47</v>
      </c>
      <c r="G15" s="3">
        <f>'Oct 2026'!$B$10</f>
        <v>7590.59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7119.21</v>
      </c>
      <c r="D18" s="3">
        <f>SUM(D6:D17)</f>
        <v>7300.0</v>
      </c>
      <c r="E18" s="3">
        <f>SUM(E6:E17)</f>
        <v>1806.00</v>
      </c>
      <c r="F18" s="3">
        <f>SUM(F6:F17)</f>
        <v>994.79</v>
      </c>
      <c r="G18" s="3">
        <f>LOOKUP(2,1/(G6:G17&lt;&gt;0),G6:G17)</f>
        <v>7590.59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757.58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-757.58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1053.29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-1053.29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298.10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-298.10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521.78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-521.78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218.79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-218.79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1536.47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119.19</v>
      </c>
      <c r="J6" s="3">
        <f>SUMIFS($J$29:$J$528,$B$29:$B$528,1,$I$29:$I$528,"Income")</f>
        <v>0.00</v>
      </c>
      <c r="K6" s="3">
        <f>J6-I6</f>
        <v>-119.19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330.78</v>
      </c>
      <c r="J7" s="3">
        <f>SUMIFS($J$29:$J$528,$B$29:$B$528,2,$I$29:$I$528,"Income")</f>
        <v>0.00</v>
      </c>
      <c r="K7" s="3">
        <f>J7-I7</f>
        <v>-330.78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98.76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0.00</v>
      </c>
      <c r="J8" s="3">
        <f>SUMIFS($J$29:$J$528,$B$29:$B$528,3,$I$29:$I$528,"Income")</f>
        <v>0.00</v>
      </c>
      <c r="K8" s="3">
        <f>J8-I8</f>
        <v>0.00</v>
      </c>
    </row>
    <row r="9">
      <c r="A9" s="5" t="inlineStr">
        <is>
          <t>Net Cash Flow</t>
        </is>
      </c>
      <c r="B9" s="3">
        <f>B5-B6</f>
        <v>-1536.47</v>
      </c>
      <c r="D9" s="5" t="inlineStr">
        <is>
          <t>Dining</t>
        </is>
      </c>
      <c r="E9" s="3">
        <f>SUMIFS($J$29:$J$528,$E$29:$E$528,$D9,$I$29:$I$528,"Expense")</f>
        <v>136.15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0.00</v>
      </c>
      <c r="J9" s="3">
        <f>SUMIFS($J$29:$J$528,$B$29:$B$528,4,$I$29:$I$528,"Income")</f>
        <v>0.00</v>
      </c>
      <c r="K9" s="3">
        <f>J9-I9</f>
        <v>0.00</v>
      </c>
    </row>
    <row r="10">
      <c r="A10" s="5" t="inlineStr">
        <is>
          <t>Current Balance</t>
        </is>
      </c>
      <c r="B10" s="3">
        <v>7577.09</v>
      </c>
      <c r="D10" s="5" t="inlineStr">
        <is>
          <t>Transportation</t>
        </is>
      </c>
      <c r="E10" s="3">
        <f>SUMIFS($J$29:$J$528,$E$29:$E$528,$D10,$I$29:$I$528,"Expense")</f>
        <v>35.00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0.00</v>
      </c>
      <c r="J10" s="3">
        <f>SUMIFS($J$29:$J$528,$B$29:$B$528,5,$I$29:$I$528,"Income")</f>
        <v>0.00</v>
      </c>
      <c r="K10" s="3">
        <f>J10-I10</f>
        <v>0.00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47.78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118.78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IF(A29="","",IF(DAY(A29)&lt;=3,1,INT((DAY(A29)-4)/7)+2))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10월 1주차; Chase Secure (...0119); Posted 2026-10-01; Balance shown: $8,020.85; Rent (user confirmed)</t>
        </is>
      </c>
    </row>
    <row r="30">
      <c r="A30" s="4">
        <v>46296</v>
      </c>
      <c r="B30" s="9">
        <f>IF(A30="","",IF(DAY(A30)&lt;=3,1,INT((DAY(A30)-4)/7)+2))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10월 1주차; Chase Secure (...0119); Posted 2026-10-01; Balance shown: $8,120.85; ATM withdrawal used for rent (user confirmed); counted as Housing/Rent expense</t>
        </is>
      </c>
    </row>
    <row r="31">
      <c r="A31" s="4">
        <v>46296</v>
      </c>
      <c r="B31" s="9">
        <f>IF(A31="","",IF(DAY(A31)&lt;=3,1,INT((DAY(A31)-4)/7)+2))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10월 1주차; Chase Secure (...0119); Posted 2026-10-01; Balance shown: $8,620.85; ATM withdrawal used for rent (user confirmed); counted as Housing/Rent expense</t>
        </is>
      </c>
    </row>
    <row r="32">
      <c r="A32" s="4">
        <v>46296</v>
      </c>
      <c r="B32" s="9">
        <f>IF(A32="","",IF(DAY(A32)&lt;=3,1,INT((DAY(A32)-4)/7)+2))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10월 1주차; Chase Secure (...0119); Posted 2026-10-01; Balance shown: $9,120.85</t>
        </is>
      </c>
    </row>
    <row r="33">
      <c r="A33" s="4">
        <v>46297</v>
      </c>
      <c r="B33" s="9">
        <f>IF(A33="","",IF(DAY(A33)&lt;=3,1,INT((DAY(A33)-4)/7)+2))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10월 1주차; Chase Secure (...0119); Posted 2026-10-02; Balance shown: $7,907.87</t>
        </is>
      </c>
    </row>
    <row r="34">
      <c r="A34" s="4">
        <v>46297</v>
      </c>
      <c r="B34" s="9">
        <f>IF(A34="","",IF(DAY(A34)&lt;=3,1,INT((DAY(A34)-4)/7)+2))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10월 1주차; Chase Secure (...0119); Posted 2026-10-02; Balance shown: $7,953.94</t>
        </is>
      </c>
    </row>
    <row r="35">
      <c r="A35" s="4">
        <v>46297</v>
      </c>
      <c r="B35" s="9">
        <f>IF(A35="","",IF(DAY(A35)&lt;=3,1,INT((DAY(A35)-4)/7)+2))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10월 1주차; Chase Secure (...0119); Posted 2026-10-02; Balance shown: $7,956.94</t>
        </is>
      </c>
    </row>
    <row r="36">
      <c r="A36" s="4">
        <v>46297</v>
      </c>
      <c r="B36" s="9">
        <f>IF(A36="","",IF(DAY(A36)&lt;=3,1,INT((DAY(A36)-4)/7)+2))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10월 1주차; Chase Secure (...0119); Posted 2026-10-02; Balance shown: $7,959.94</t>
        </is>
      </c>
    </row>
    <row r="37">
      <c r="A37" s="4">
        <v>46297</v>
      </c>
      <c r="B37" s="9">
        <f>IF(A37="","",IF(DAY(A37)&lt;=3,1,INT((DAY(A37)-4)/7)+2))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10월 1주차; Chase Secure (...0119); Posted 2026-10-02; Balance shown: $7,980.18</t>
        </is>
      </c>
    </row>
    <row r="38">
      <c r="A38" s="4">
        <v>46297</v>
      </c>
      <c r="B38" s="9">
        <f>IF(A38="","",IF(DAY(A38)&lt;=3,1,INT((DAY(A38)-4)/7)+2))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10월 1주차; Chase Secure (...0119); Posted 2026-10-02; Balance shown: $7,995.20</t>
        </is>
      </c>
    </row>
    <row r="39">
      <c r="A39" s="4">
        <v>46297</v>
      </c>
      <c r="B39" s="9">
        <f>IF(A39="","",IF(DAY(A39)&lt;=3,1,INT((DAY(A39)-4)/7)+2))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10월 1주차; Chase Secure (...0119); Posted 2026-10-02; Balance shown: $7,998.20; Category inferred from merchant; purchase details unconfirmed</t>
        </is>
      </c>
    </row>
    <row r="40">
      <c r="A40" s="4">
        <v>46300</v>
      </c>
      <c r="B40" s="9">
        <f>IF(A40="","",IF(DAY(A40)&lt;=3,1,INT((DAY(A40)-4)/7)+2))</f>
        <v>2</v>
      </c>
      <c r="C40" s="9" t="inlineStr">
        <is>
          <t>Amazon.com*5924406G1 Amzn.com/bill WA 10/05 (...0119)</t>
        </is>
      </c>
      <c r="D40" s="9" t="inlineStr">
        <is>
          <t>Amazon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>
        <v>6.42</v>
      </c>
      <c r="K40" s="9" t="inlineStr">
        <is>
          <t>10월 1주차; Chase Secure (...0119); Posted 2026-10-05; Balance shown: $7,764.09; Category inferred from merchant; purchase details unconfirmed</t>
        </is>
      </c>
    </row>
    <row r="41">
      <c r="A41" s="4">
        <v>46300</v>
      </c>
      <c r="B41" s="9">
        <f>IF(A41="","",IF(DAY(A41)&lt;=3,1,INT((DAY(A41)-4)/7)+2))</f>
        <v>2</v>
      </c>
      <c r="C41" s="9" t="inlineStr">
        <is>
          <t>HANA MART COLUMBIA CORP NEW YORK NY 10/04 (...0119)</t>
        </is>
      </c>
      <c r="D41" s="9" t="inlineStr">
        <is>
          <t>Hana Mart</t>
        </is>
      </c>
      <c r="E41" s="9" t="inlineStr">
        <is>
          <t>Groceries</t>
        </is>
      </c>
      <c r="F41" s="9" t="inlineStr">
        <is>
          <t>Groceries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>
        <v>52.69</v>
      </c>
      <c r="K41" s="9" t="inlineStr">
        <is>
          <t>10월 1주차; Chase Secure (...0119); Posted 2026-10-05; Balance shown: $7,770.51</t>
        </is>
      </c>
    </row>
    <row r="42">
      <c r="A42" s="4">
        <v>46300</v>
      </c>
      <c r="B42" s="9">
        <f>IF(A42="","",IF(DAY(A42)&lt;=3,1,INT((DAY(A42)-4)/7)+2))</f>
        <v>2</v>
      </c>
      <c r="C42" s="9" t="inlineStr">
        <is>
          <t>MTA*NYCT PAYGO NEW YORK NY 10/04 (...0119)</t>
        </is>
      </c>
      <c r="D42" s="9" t="inlineStr">
        <is>
          <t>MTA NYCT Paygo</t>
        </is>
      </c>
      <c r="E42" s="9" t="inlineStr">
        <is>
          <t>Transportation</t>
        </is>
      </c>
      <c r="F42" s="9" t="inlineStr">
        <is>
          <t>Public transit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>
        <v>3.00</v>
      </c>
      <c r="K42" s="9" t="inlineStr">
        <is>
          <t>10월 1주차; Chase Secure (...0119); Posted 2026-10-05; Balance shown: $7,823.20</t>
        </is>
      </c>
    </row>
    <row r="43">
      <c r="A43" s="4">
        <v>46300</v>
      </c>
      <c r="B43" s="9">
        <f>IF(A43="","",IF(DAY(A43)&lt;=3,1,INT((DAY(A43)-4)/7)+2))</f>
        <v>2</v>
      </c>
      <c r="C43" s="9" t="inlineStr">
        <is>
          <t>STARBUCKS STORE 26286 NEW YORK NY 10/04 (...0119)</t>
        </is>
      </c>
      <c r="D43" s="9" t="inlineStr">
        <is>
          <t>Starbucks</t>
        </is>
      </c>
      <c r="E43" s="9" t="inlineStr">
        <is>
          <t>Dining</t>
        </is>
      </c>
      <c r="F43" s="9" t="inlineStr">
        <is>
          <t>Coffee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>
        <v>7.57</v>
      </c>
      <c r="K43" s="9" t="inlineStr">
        <is>
          <t>10월 1주차; Chase Secure (...0119); Posted 2026-10-05; Balance shown: $7,826.20</t>
        </is>
      </c>
    </row>
    <row r="44">
      <c r="A44" s="4">
        <v>46300</v>
      </c>
      <c r="B44" s="9">
        <f>IF(A44="","",IF(DAY(A44)&lt;=3,1,INT((DAY(A44)-4)/7)+2))</f>
        <v>2</v>
      </c>
      <c r="C44" s="9" t="inlineStr">
        <is>
          <t>MTA*NYCT PAYGO NEW YORK NY 10/03 (...0119)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>
        <v>3.00</v>
      </c>
      <c r="K44" s="9" t="inlineStr">
        <is>
          <t>10월 1주차; Chase Secure (...0119); Posted 2026-10-05; Balance shown: $7,833.77</t>
        </is>
      </c>
    </row>
    <row r="45">
      <c r="A45" s="4">
        <v>46300</v>
      </c>
      <c r="B45" s="9">
        <f>IF(A45="","",IF(DAY(A45)&lt;=3,1,INT((DAY(A45)-4)/7)+2))</f>
        <v>2</v>
      </c>
      <c r="C45" s="9" t="inlineStr">
        <is>
          <t>MTA*NYCT PAYGO NEW YORK NY 10/03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>
        <v>3.00</v>
      </c>
      <c r="K45" s="9" t="inlineStr">
        <is>
          <t>10월 1주차; Chase Secure (...0119); Posted 2026-10-05; Balance shown: $7,836.77</t>
        </is>
      </c>
    </row>
    <row r="46">
      <c r="A46" s="4">
        <v>46300</v>
      </c>
      <c r="B46" s="9">
        <f>IF(A46="","",IF(DAY(A46)&lt;=3,1,INT((DAY(A46)-4)/7)+2))</f>
        <v>2</v>
      </c>
      <c r="C46" s="9" t="inlineStr">
        <is>
          <t>TST* SALT AND STRAW - H NEW YORK NY 10/04 (...0119)</t>
        </is>
      </c>
      <c r="D46" s="9" t="inlineStr">
        <is>
          <t>Salt &amp; Straw</t>
        </is>
      </c>
      <c r="E46" s="9" t="inlineStr">
        <is>
          <t>Dining</t>
        </is>
      </c>
      <c r="F46" s="9" t="inlineStr">
        <is>
          <t>Ice cream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>
        <v>8.44</v>
      </c>
      <c r="K46" s="9" t="inlineStr">
        <is>
          <t>10월 1주차; Chase Secure (...0119); Posted 2026-10-05; Balance shown: $7,839.77</t>
        </is>
      </c>
    </row>
    <row r="47">
      <c r="A47" s="4">
        <v>46300</v>
      </c>
      <c r="B47" s="9">
        <f>IF(A47="","",IF(DAY(A47)&lt;=3,1,INT((DAY(A47)-4)/7)+2))</f>
        <v>2</v>
      </c>
      <c r="C47" s="9" t="inlineStr">
        <is>
          <t>MTA*NYCT PAYGO NEW YORK NY 10/03 (...0119)</t>
        </is>
      </c>
      <c r="D47" s="9" t="inlineStr">
        <is>
          <t>MTA NYCT Paygo</t>
        </is>
      </c>
      <c r="E47" s="9" t="inlineStr">
        <is>
          <t>Transportation</t>
        </is>
      </c>
      <c r="F47" s="9" t="inlineStr">
        <is>
          <t>Public transit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3.00</v>
      </c>
      <c r="K47" s="9" t="inlineStr">
        <is>
          <t>10월 1주차; Chase Secure (...0119); Posted 2026-10-05; Balance shown: $7,848.21</t>
        </is>
      </c>
    </row>
    <row r="48">
      <c r="A48" s="4">
        <v>46300</v>
      </c>
      <c r="B48" s="9">
        <f>IF(A48="","",IF(DAY(A48)&lt;=3,1,INT((DAY(A48)-4)/7)+2))</f>
        <v>2</v>
      </c>
      <c r="C48" s="9" t="inlineStr">
        <is>
          <t>MTA*NYCT PAYGO NEW YORK NY 10/02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3.00</v>
      </c>
      <c r="K48" s="9" t="inlineStr">
        <is>
          <t>10월 1주차; Chase Secure (...0119); Posted 2026-10-05; Balance shown: $7,851.21</t>
        </is>
      </c>
    </row>
    <row r="49">
      <c r="A49" s="4">
        <v>46300</v>
      </c>
      <c r="B49" s="9">
        <f>IF(A49="","",IF(DAY(A49)&lt;=3,1,INT((DAY(A49)-4)/7)+2))</f>
        <v>2</v>
      </c>
      <c r="C49" s="9" t="inlineStr">
        <is>
          <t>TOPIA NEWS STAND BROOKLYN NY 10/02 (...0119)</t>
        </is>
      </c>
      <c r="D49" s="9" t="inlineStr">
        <is>
          <t>Topia News Stand</t>
        </is>
      </c>
      <c r="E49" s="9" t="inlineStr">
        <is>
          <t>Shopping</t>
        </is>
      </c>
      <c r="F49" s="9" t="inlineStr">
        <is>
          <t>Newsstand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31.57</v>
      </c>
      <c r="K49" s="9" t="inlineStr">
        <is>
          <t>10월 1주차; Chase Secure (...0119); Posted 2026-10-05; Balance shown: $7,854.21; Category inferred from merchant; purchase details unconfirmed</t>
        </is>
      </c>
    </row>
    <row r="50">
      <c r="A50" s="4">
        <v>46300</v>
      </c>
      <c r="B50" s="9">
        <f>IF(A50="","",IF(DAY(A50)&lt;=3,1,INT((DAY(A50)-4)/7)+2))</f>
        <v>2</v>
      </c>
      <c r="C50" s="9" t="inlineStr">
        <is>
          <t>TST* 7TH STREET BURGER BROOKLYN NY 10/03 (...0119)</t>
        </is>
      </c>
      <c r="D50" s="9" t="inlineStr">
        <is>
          <t>7th Street Burger</t>
        </is>
      </c>
      <c r="E50" s="9" t="inlineStr">
        <is>
          <t>Dining</t>
        </is>
      </c>
      <c r="F50" s="9" t="inlineStr">
        <is>
          <t>Restaurant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10.89</v>
      </c>
      <c r="K50" s="9" t="inlineStr">
        <is>
          <t>10월 1주차; Chase Secure (...0119); Posted 2026-10-05; Balance shown: $7,885.78</t>
        </is>
      </c>
    </row>
    <row r="51">
      <c r="A51" s="4">
        <v>46300</v>
      </c>
      <c r="B51" s="9">
        <f>IF(A51="","",IF(DAY(A51)&lt;=3,1,INT((DAY(A51)-4)/7)+2))</f>
        <v>2</v>
      </c>
      <c r="C51" s="9" t="inlineStr">
        <is>
          <t>99 CENT SUPREME PIZZA BROOKLYN NY 10/02 (...0119)</t>
        </is>
      </c>
      <c r="D51" s="9" t="inlineStr">
        <is>
          <t>99 Cent Supreme Pizza</t>
        </is>
      </c>
      <c r="E51" s="9" t="inlineStr">
        <is>
          <t>Dining</t>
        </is>
      </c>
      <c r="F51" s="9" t="inlineStr">
        <is>
          <t>Restaurant/Pizza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3.39</v>
      </c>
      <c r="K51" s="9" t="inlineStr">
        <is>
          <t>10월 1주차; Chase Secure (...0119); Posted 2026-10-05; Balance shown: $7,896.67</t>
        </is>
      </c>
    </row>
    <row r="52">
      <c r="A52" s="4">
        <v>46300</v>
      </c>
      <c r="B52" s="9">
        <f>IF(A52="","",IF(DAY(A52)&lt;=3,1,INT((DAY(A52)-4)/7)+2))</f>
        <v>2</v>
      </c>
      <c r="C52" s="9" t="inlineStr">
        <is>
          <t>MTA*NYCT PAYGO NEW YORK NY 10/02 (...0119)</t>
        </is>
      </c>
      <c r="D52" s="9" t="inlineStr">
        <is>
          <t>MTA NYCT Paygo</t>
        </is>
      </c>
      <c r="E52" s="9" t="inlineStr">
        <is>
          <t>Transportation</t>
        </is>
      </c>
      <c r="F52" s="9" t="inlineStr">
        <is>
          <t>Public transit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3.00</v>
      </c>
      <c r="K52" s="9" t="inlineStr">
        <is>
          <t>10월 1주차; Chase Secure (...0119); Posted 2026-10-05; Balance shown: $7,900.06</t>
        </is>
      </c>
    </row>
    <row r="53">
      <c r="A53" s="4">
        <v>46300</v>
      </c>
      <c r="B53" s="9">
        <f>IF(A53="","",IF(DAY(A53)&lt;=3,1,INT((DAY(A53)-4)/7)+2))</f>
        <v>2</v>
      </c>
      <c r="C53" s="9" t="inlineStr">
        <is>
          <t>MILANO PIZZA &amp; PASTA NEW YORK NY 10/01 (...0119)</t>
        </is>
      </c>
      <c r="D53" s="9" t="inlineStr">
        <is>
          <t>Milano Pizza &amp; Pasta</t>
        </is>
      </c>
      <c r="E53" s="9" t="inlineStr">
        <is>
          <t>Dining</t>
        </is>
      </c>
      <c r="F53" s="9" t="inlineStr">
        <is>
          <t>Restaurant/Pizza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4.81</v>
      </c>
      <c r="K53" s="9" t="inlineStr">
        <is>
          <t>10월 1주차; Chase Secure (...0119); Posted 2026-10-05; Balance shown: $7,903.06</t>
        </is>
      </c>
    </row>
    <row r="54">
      <c r="A54" s="4">
        <v>46301</v>
      </c>
      <c r="B54" s="9">
        <f>IF(A54="","",IF(DAY(A54)&lt;=3,1,INT((DAY(A54)-4)/7)+2))</f>
        <v>2</v>
      </c>
      <c r="C54" s="9" t="inlineStr">
        <is>
          <t>MTA*NYCT PAYGO NEW YORK NY 10/05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2.00</v>
      </c>
      <c r="K54" s="9" t="inlineStr">
        <is>
          <t>10월 1주차; Chase Secure (...0119); Posted 2026-10-06; Balance shown: $7,762.09</t>
        </is>
      </c>
    </row>
    <row r="55">
      <c r="A55" s="4">
        <v>46302</v>
      </c>
      <c r="B55" s="9">
        <f>IF(A55="","",IF(DAY(A55)&lt;=3,1,INT((DAY(A55)-4)/7)+2))</f>
        <v>2</v>
      </c>
      <c r="C55" s="9" t="inlineStr">
        <is>
          <t>MTA*NYCT PAYGO NEW YORK NY 10/06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3.00</v>
      </c>
      <c r="K55" s="9" t="inlineStr">
        <is>
          <t>10월 1주차; Chase Secure (...0119); Posted 2026-10-07; Balance shown: $7,590.59</t>
        </is>
      </c>
    </row>
    <row r="56">
      <c r="A56" s="4">
        <v>46302</v>
      </c>
      <c r="B56" s="9">
        <f>IF(A56="","",IF(DAY(A56)&lt;=3,1,INT((DAY(A56)-4)/7)+2))</f>
        <v>2</v>
      </c>
      <c r="C56" s="9" t="inlineStr">
        <is>
          <t>TST* 7TH STREET BURGER BROOKLYN NY 10/07 (...0119)</t>
        </is>
      </c>
      <c r="D56" s="9" t="inlineStr">
        <is>
          <t>7th Street Burger</t>
        </is>
      </c>
      <c r="E56" s="9" t="inlineStr">
        <is>
          <t>Dining</t>
        </is>
      </c>
      <c r="F56" s="9" t="inlineStr">
        <is>
          <t>Restaurant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>
        <v>10.89</v>
      </c>
      <c r="K56" s="9" t="inlineStr">
        <is>
          <t>10월 1주차; Chase Secure (...0119); Posted 2026-10-07; Balance shown: $7,593.59</t>
        </is>
      </c>
    </row>
    <row r="57">
      <c r="A57" s="4">
        <v>46302</v>
      </c>
      <c r="B57" s="9">
        <f>IF(A57="","",IF(DAY(A57)&lt;=3,1,INT((DAY(A57)-4)/7)+2))</f>
        <v>2</v>
      </c>
      <c r="C57" s="9" t="inlineStr">
        <is>
          <t>OPENAI *CHATGPT SUBSCR OPENAI.COM CA 10/06 (...0119)</t>
        </is>
      </c>
      <c r="D57" s="9" t="inlineStr">
        <is>
          <t>OpenAI ChatGPT</t>
        </is>
      </c>
      <c r="E57" s="9" t="inlineStr">
        <is>
          <t>Education</t>
        </is>
      </c>
      <c r="F57" s="9" t="inlineStr">
        <is>
          <t>Software subscription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>
        <v>118.78</v>
      </c>
      <c r="K57" s="9" t="inlineStr">
        <is>
          <t>10월 1주차; Chase Secure (...0119); Posted 2026-10-07; Balance shown: $7,604.48</t>
        </is>
      </c>
    </row>
    <row r="58">
      <c r="A58" s="4">
        <v>46302</v>
      </c>
      <c r="B58" s="9">
        <f>IF(A58="","",IF(DAY(A58)&lt;=3,1,INT((DAY(A58)-4)/7)+2))</f>
        <v>2</v>
      </c>
      <c r="C58" s="9" t="inlineStr">
        <is>
          <t>MTA*NYCT PAYGO NEW YORK NY 10/06 (...0119)</t>
        </is>
      </c>
      <c r="D58" s="9" t="inlineStr">
        <is>
          <t>MTA NYCT Paygo</t>
        </is>
      </c>
      <c r="E58" s="9" t="inlineStr">
        <is>
          <t>Transportation</t>
        </is>
      </c>
      <c r="F58" s="9" t="inlineStr">
        <is>
          <t>Public transit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>
        <v>3.00</v>
      </c>
      <c r="K58" s="9" t="inlineStr">
        <is>
          <t>10월 1주차; Chase Secure (...0119); Posted 2026-10-07; Balance shown: $7,723.26</t>
        </is>
      </c>
    </row>
    <row r="59">
      <c r="A59" s="4">
        <v>46302</v>
      </c>
      <c r="B59" s="9">
        <f>IF(A59="","",IF(DAY(A59)&lt;=3,1,INT((DAY(A59)-4)/7)+2))</f>
        <v>2</v>
      </c>
      <c r="C59" s="9" t="inlineStr">
        <is>
          <t>GOLDEN DELI CORP NEW YORK NY 10/06 (...0119)</t>
        </is>
      </c>
      <c r="D59" s="9" t="inlineStr">
        <is>
          <t>Golden Deli</t>
        </is>
      </c>
      <c r="E59" s="9" t="inlineStr">
        <is>
          <t>Dining</t>
        </is>
      </c>
      <c r="F59" s="9" t="inlineStr">
        <is>
          <t>Deli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>
        <v>22.65</v>
      </c>
      <c r="K59" s="9" t="inlineStr">
        <is>
          <t>10월 1주차; Chase Secure (...0119); Posted 2026-10-07; Balance shown: $7,726.26; Category inferred from merchant; purchase details unconfirmed</t>
        </is>
      </c>
    </row>
    <row r="60">
      <c r="A60" s="4">
        <v>46302</v>
      </c>
      <c r="B60" s="9">
        <f>IF(A60="","",IF(DAY(A60)&lt;=3,1,INT((DAY(A60)-4)/7)+2))</f>
        <v>2</v>
      </c>
      <c r="C60" s="9" t="inlineStr">
        <is>
          <t>AMAZON MKTPL*594TT0X Amzn.com/bill WA 10/06 (...0119)</t>
        </is>
      </c>
      <c r="D60" s="9" t="inlineStr">
        <is>
          <t>Amazon</t>
        </is>
      </c>
      <c r="E60" s="9" t="inlineStr">
        <is>
          <t>Shopping</t>
        </is>
      </c>
      <c r="F60" s="9" t="inlineStr">
        <is>
          <t>Retail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>
        <v>9.79</v>
      </c>
      <c r="K60" s="9" t="inlineStr">
        <is>
          <t>10월 1주차; Chase Secure (...0119); Posted 2026-10-07; Balance shown: $7,748.91; Category inferred from merchant; purchase details unconfirmed</t>
        </is>
      </c>
    </row>
    <row r="61">
      <c r="A61" s="4">
        <v>46302</v>
      </c>
      <c r="B61" s="9">
        <f>IF(A61="","",IF(DAY(A61)&lt;=3,1,INT((DAY(A61)-4)/7)+2))</f>
        <v>2</v>
      </c>
      <c r="C61" s="9" t="inlineStr">
        <is>
          <t>99 CENT SUPREME PIZZA BROOKLYN NY 10/05 (...0119)</t>
        </is>
      </c>
      <c r="D61" s="9" t="inlineStr">
        <is>
          <t>99 Cent Supreme Pizza</t>
        </is>
      </c>
      <c r="E61" s="9" t="inlineStr">
        <is>
          <t>Dining</t>
        </is>
      </c>
      <c r="F61" s="9" t="inlineStr">
        <is>
          <t>Restaurant/Pizza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>
        <v>3.39</v>
      </c>
      <c r="K61" s="9" t="inlineStr">
        <is>
          <t>10월 1주차; Chase Secure (...0119); Posted 2026-10-07; Balance shown: $7,758.70</t>
        </is>
      </c>
    </row>
    <row r="62">
      <c r="A62" s="4">
        <v>46304</v>
      </c>
      <c r="B62" s="9">
        <f>IF(A62="","",IF(DAY(A62)&lt;=3,1,INT((DAY(A62)-4)/7)+2))</f>
        <v>2</v>
      </c>
      <c r="C62" s="9" t="inlineStr">
        <is>
          <t>Zelle payment to YI HUANG 31139004829</t>
        </is>
      </c>
      <c r="D62" s="9" t="inlineStr">
        <is>
          <t>YI HUANG</t>
        </is>
      </c>
      <c r="E62" s="9" t="inlineStr">
        <is>
          <t>Dining</t>
        </is>
      </c>
      <c r="F62" s="9" t="inlineStr">
        <is>
          <t>Restaurant</t>
        </is>
      </c>
      <c r="G62" s="9" t="inlineStr">
        <is>
          <t>Checking</t>
        </is>
      </c>
      <c r="H62" s="9" t="inlineStr">
        <is>
          <t>Venmo/Zelle/PayPal</t>
        </is>
      </c>
      <c r="I62" s="9" t="inlineStr">
        <is>
          <t>Expense</t>
        </is>
      </c>
      <c r="J62" s="3">
        <v>2.50</v>
      </c>
      <c r="K62" s="9" t="inlineStr">
        <is>
          <t>10월 2주차; Chase Secure (...0119); Posted 2026-10-08; Balance shown: $7,586.09</t>
        </is>
      </c>
    </row>
    <row r="63">
      <c r="A63" s="4">
        <v>46304</v>
      </c>
      <c r="B63" s="9">
        <f>IF(A63="","",IF(DAY(A63)&lt;=3,1,INT((DAY(A63)-4)/7)+2))</f>
        <v>2</v>
      </c>
      <c r="C63" s="9" t="inlineStr">
        <is>
          <t>Zelle payment to SORA KAKIGI JPM99cz7fxgk</t>
        </is>
      </c>
      <c r="D63" s="9" t="inlineStr">
        <is>
          <t>SORA KAKIGI</t>
        </is>
      </c>
      <c r="E63" s="9" t="inlineStr">
        <is>
          <t>Dining</t>
        </is>
      </c>
      <c r="F63" s="9" t="inlineStr">
        <is>
          <t>Restaurant</t>
        </is>
      </c>
      <c r="G63" s="9" t="inlineStr">
        <is>
          <t>Checking</t>
        </is>
      </c>
      <c r="H63" s="9" t="inlineStr">
        <is>
          <t>Venmo/Zelle/PayPal</t>
        </is>
      </c>
      <c r="I63" s="9" t="inlineStr">
        <is>
          <t>Expense</t>
        </is>
      </c>
      <c r="J63" s="3">
        <v>2.00</v>
      </c>
      <c r="K63" s="9" t="inlineStr">
        <is>
          <t>10월 2주차; Chase Secure (...0119); Posted 2026-10-08; Balance shown: $7,588.59</t>
        </is>
      </c>
    </row>
    <row r="64">
      <c r="A64" s="4">
        <v>46305</v>
      </c>
      <c r="B64" s="9">
        <f>IF(A64="","",IF(DAY(A64)&lt;=3,1,INT((DAY(A64)-4)/7)+2))</f>
        <v>2</v>
      </c>
      <c r="C64" s="9" t="inlineStr">
        <is>
          <t>MTA*NYCT PAYGO NEW YORK NY 10/08 (...0119)</t>
        </is>
      </c>
      <c r="D64" s="9" t="inlineStr">
        <is>
          <t>MTA NYCT Paygo</t>
        </is>
      </c>
      <c r="E64" s="9" t="inlineStr">
        <is>
          <t>Transportation</t>
        </is>
      </c>
      <c r="F64" s="9" t="inlineStr">
        <is>
          <t>Public transit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>
        <v>3.00</v>
      </c>
      <c r="K64" s="9" t="inlineStr">
        <is>
          <t>10월 2주차; Chase Secure (...0119); Posted 2026-10-09; Balance shown: $7,580.09</t>
        </is>
      </c>
    </row>
    <row r="65">
      <c r="A65" s="4">
        <v>46305</v>
      </c>
      <c r="B65" s="9">
        <f>IF(A65="","",IF(DAY(A65)&lt;=3,1,INT((DAY(A65)-4)/7)+2))</f>
        <v>2</v>
      </c>
      <c r="C65" s="9" t="inlineStr">
        <is>
          <t>MTA*NYCT PAYGO NEW YORK NY 10/08 (...0119)</t>
        </is>
      </c>
      <c r="D65" s="9" t="inlineStr">
        <is>
          <t>MTA NYCT Paygo</t>
        </is>
      </c>
      <c r="E65" s="9" t="inlineStr">
        <is>
          <t>Transportation</t>
        </is>
      </c>
      <c r="F65" s="9" t="inlineStr">
        <is>
          <t>Public transit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>
        <v>3.00</v>
      </c>
      <c r="K65" s="9" t="inlineStr">
        <is>
          <t>10월 2주차; Chase Secure (...0119); Posted 2026-10-09; Balance shown: $7,583.09</t>
        </is>
      </c>
    </row>
    <row r="66">
      <c r="A66" s="4">
        <v>46305</v>
      </c>
      <c r="B66" s="9">
        <f>IF(A66="","",IF(DAY(A66)&lt;=3,1,INT((DAY(A66)-4)/7)+2))</f>
        <v>2</v>
      </c>
      <c r="C66" s="9" t="inlineStr">
        <is>
          <t>MTA*NYCT PAYGO NEW YORK NY 10/08 (...0119)</t>
        </is>
      </c>
      <c r="D66" s="9" t="inlineStr">
        <is>
          <t>MTA NYCT Paygo</t>
        </is>
      </c>
      <c r="E66" s="9" t="inlineStr">
        <is>
          <t>Transportation</t>
        </is>
      </c>
      <c r="F66" s="9" t="inlineStr">
        <is>
          <t>Public transit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>
        <v>3.00</v>
      </c>
      <c r="K66" s="9" t="inlineStr">
        <is>
          <t>10월 2주차; Chase Secure (...0119); Posted 2026-10-09; Balance shown: $7,577.09</t>
        </is>
      </c>
    </row>
    <row r="67">
      <c r="A67" s="4">
        <v>46304</v>
      </c>
      <c r="B67" s="9">
        <f>IF(A67="","",IF(DAY(A67)&lt;=3,1,INT((DAY(A67)-4)/7)+2))</f>
        <v>2</v>
      </c>
      <c r="C67" s="9" t="inlineStr">
        <is>
          <t>MTA*NYCT PAYGO NEW YORK NY 10/08 (...0119)</t>
        </is>
      </c>
      <c r="D67" s="9" t="inlineStr">
        <is>
          <t>MTA NYCT Paygo</t>
        </is>
      </c>
      <c r="E67" s="9" t="inlineStr">
        <is>
          <t>Transportation</t>
        </is>
      </c>
      <c r="F67" s="9" t="inlineStr">
        <is>
          <t>Public transit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>
        <v>3.00</v>
      </c>
      <c r="K67" s="9" t="inlineStr">
        <is>
          <t>Chase (...0119); Posted 2026-10-09; Balance shown: $7,577.09</t>
        </is>
      </c>
    </row>
    <row r="68">
      <c r="A68" s="4">
        <v>46304</v>
      </c>
      <c r="B68" s="9">
        <f>IF(A68="","",IF(DAY(A68)&lt;=3,1,INT((DAY(A68)-4)/7)+2))</f>
        <v>2</v>
      </c>
      <c r="C68" s="9" t="inlineStr">
        <is>
          <t>MTA*NYCT PAYGO NEW YORK NY 10/08 (...0119)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>
        <v>3.00</v>
      </c>
      <c r="K68" s="9" t="inlineStr">
        <is>
          <t>Chase (...0119); Posted 2026-10-09; Balance shown: $7,580.09</t>
        </is>
      </c>
    </row>
    <row r="69">
      <c r="A69" s="4">
        <v>46304</v>
      </c>
      <c r="B69" s="9">
        <f>IF(A69="","",IF(DAY(A69)&lt;=3,1,INT((DAY(A69)-4)/7)+2))</f>
        <v>2</v>
      </c>
      <c r="C69" s="9" t="inlineStr">
        <is>
          <t>MTA*NYCT PAYGO NEW YORK NY 10/08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Chase (...0119); Posted 2026-10-09; Balance shown: $7,583.09</t>
        </is>
      </c>
    </row>
    <row r="70">
      <c r="A70" s="4">
        <v>46303</v>
      </c>
      <c r="B70" s="9">
        <f>IF(A70="","",IF(DAY(A70)&lt;=3,1,INT((DAY(A70)-4)/7)+2))</f>
        <v>2</v>
      </c>
      <c r="C70" s="9" t="inlineStr">
        <is>
          <t>Zelle payment to YI HUANG 31139004829</t>
        </is>
      </c>
      <c r="D70" s="9" t="inlineStr">
        <is>
          <t>YI HUANG</t>
        </is>
      </c>
      <c r="E70" s="9" t="inlineStr">
        <is>
          <t>Dining</t>
        </is>
      </c>
      <c r="F70" s="9" t="inlineStr">
        <is>
          <t>Restaurant</t>
        </is>
      </c>
      <c r="G70" s="9" t="inlineStr">
        <is>
          <t>Checking</t>
        </is>
      </c>
      <c r="H70" s="9" t="inlineStr">
        <is>
          <t>Venmo/Zelle/PayPal</t>
        </is>
      </c>
      <c r="I70" s="9" t="inlineStr">
        <is>
          <t>Expense</t>
        </is>
      </c>
      <c r="J70" s="3">
        <v>2.50</v>
      </c>
      <c r="K70" s="9" t="inlineStr">
        <is>
          <t>Chase (...0119); Posted 2026-10-08; Balance shown: $7,586.09</t>
        </is>
      </c>
    </row>
    <row r="71">
      <c r="A71" s="4">
        <v>46303</v>
      </c>
      <c r="B71" s="9">
        <f>IF(A71="","",IF(DAY(A71)&lt;=3,1,INT((DAY(A71)-4)/7)+2))</f>
        <v>2</v>
      </c>
      <c r="C71" s="9" t="inlineStr">
        <is>
          <t>Zelle payment to SORA KAKIGI JPM99cz7fxgk</t>
        </is>
      </c>
      <c r="D71" s="9" t="inlineStr">
        <is>
          <t>SORA KAKIGI</t>
        </is>
      </c>
      <c r="E71" s="9" t="inlineStr">
        <is>
          <t>Dining</t>
        </is>
      </c>
      <c r="F71" s="9" t="inlineStr">
        <is>
          <t>Restaurant</t>
        </is>
      </c>
      <c r="G71" s="9" t="inlineStr">
        <is>
          <t>Checking</t>
        </is>
      </c>
      <c r="H71" s="9" t="inlineStr">
        <is>
          <t>Venmo/Zelle/PayPal</t>
        </is>
      </c>
      <c r="I71" s="9" t="inlineStr">
        <is>
          <t>Expense</t>
        </is>
      </c>
      <c r="J71" s="3">
        <v>2.00</v>
      </c>
      <c r="K71" s="9" t="inlineStr">
        <is>
          <t>Chase (...0119); Posted 2026-10-08; Balance shown: $7,588.59</t>
        </is>
      </c>
    </row>
    <row r="72">
      <c r="A72" s="4">
        <v>46302</v>
      </c>
      <c r="B72" s="9">
        <f>IF(A72="","",IF(DAY(A72)&lt;=3,1,INT((DAY(A72)-4)/7)+2))</f>
        <v>2</v>
      </c>
      <c r="C72" s="9" t="inlineStr">
        <is>
          <t>MTA*NYCT PAYGO NEW YORK NY 10/06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Chase (...0119); Posted 2026-10-07; Balance shown: $7,590.59</t>
        </is>
      </c>
    </row>
    <row r="73">
      <c r="A73" s="4">
        <v>46302</v>
      </c>
      <c r="B73" s="9">
        <f>IF(A73="","",IF(DAY(A73)&lt;=3,1,INT((DAY(A73)-4)/7)+2))</f>
        <v>2</v>
      </c>
      <c r="C73" s="9" t="inlineStr">
        <is>
          <t>TST* 7TH STREET BURGER BROOKLYN NY 10/07 (...0119)</t>
        </is>
      </c>
      <c r="D73" s="9" t="inlineStr">
        <is>
          <t>7th Street Burger</t>
        </is>
      </c>
      <c r="E73" s="9" t="inlineStr">
        <is>
          <t>Dining</t>
        </is>
      </c>
      <c r="F73" s="9" t="inlineStr">
        <is>
          <t>Restaurant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10.89</v>
      </c>
      <c r="K73" s="9" t="inlineStr">
        <is>
          <t>Chase (...0119); Posted 2026-10-07; Balance shown: $7,593.59</t>
        </is>
      </c>
    </row>
    <row r="74">
      <c r="A74" s="4">
        <v>46302</v>
      </c>
      <c r="B74" s="9">
        <f>IF(A74="","",IF(DAY(A74)&lt;=3,1,INT((DAY(A74)-4)/7)+2))</f>
        <v>2</v>
      </c>
      <c r="C74" s="9" t="inlineStr">
        <is>
          <t>OPENAI *CHATGPT SUBSCR OPENAI.COM CA 10/06 (...0119)</t>
        </is>
      </c>
      <c r="D74" s="9" t="inlineStr">
        <is>
          <t>OpenAI ChatGPT</t>
        </is>
      </c>
      <c r="E74" s="9" t="inlineStr">
        <is>
          <t>Education</t>
        </is>
      </c>
      <c r="F74" s="9" t="inlineStr">
        <is>
          <t>Software subscription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118.78</v>
      </c>
      <c r="K74" s="9" t="inlineStr">
        <is>
          <t>Chase (...0119); Posted 2026-10-07; Balance shown: $7,604.48</t>
        </is>
      </c>
    </row>
    <row r="75">
      <c r="A75" s="4">
        <v>46302</v>
      </c>
      <c r="B75" s="9">
        <f>IF(A75="","",IF(DAY(A75)&lt;=3,1,INT((DAY(A75)-4)/7)+2))</f>
        <v>2</v>
      </c>
      <c r="C75" s="9" t="inlineStr">
        <is>
          <t>MTA*NYCT PAYGO NEW YORK NY 10/06 (...0119)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3.00</v>
      </c>
      <c r="K75" s="9" t="inlineStr">
        <is>
          <t>Chase (...0119); Posted 2026-10-07; Balance shown: $7,723.26</t>
        </is>
      </c>
    </row>
    <row r="76">
      <c r="A76" s="4">
        <v>46302</v>
      </c>
      <c r="B76" s="9">
        <f>IF(A76="","",IF(DAY(A76)&lt;=3,1,INT((DAY(A76)-4)/7)+2))</f>
        <v>2</v>
      </c>
      <c r="C76" s="9" t="inlineStr">
        <is>
          <t>GOLDEN DELI CORP NEW YORK NY 10/06 (...0119)</t>
        </is>
      </c>
      <c r="D76" s="9" t="inlineStr">
        <is>
          <t>Golden Deli</t>
        </is>
      </c>
      <c r="E76" s="9" t="inlineStr">
        <is>
          <t>Dining</t>
        </is>
      </c>
      <c r="F76" s="9" t="inlineStr">
        <is>
          <t>Deli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22.65</v>
      </c>
      <c r="K76" s="9" t="inlineStr">
        <is>
          <t>Chase (...0119); Posted 2026-10-07; Balance shown: $7,726.26</t>
        </is>
      </c>
    </row>
    <row r="77">
      <c r="A77" s="4">
        <v>46302</v>
      </c>
      <c r="B77" s="9">
        <f>IF(A77="","",IF(DAY(A77)&lt;=3,1,INT((DAY(A77)-4)/7)+2))</f>
        <v>2</v>
      </c>
      <c r="C77" s="9" t="inlineStr">
        <is>
          <t>AMAZON MKTPL*594TT0X Amzn.com/bill WA 10/06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9.79</v>
      </c>
      <c r="K77" s="9" t="inlineStr">
        <is>
          <t>Chase (...0119); Posted 2026-10-07; Balance shown: $7,748.91</t>
        </is>
      </c>
    </row>
    <row r="78">
      <c r="A78" s="4">
        <v>46302</v>
      </c>
      <c r="B78" s="9">
        <f>IF(A78="","",IF(DAY(A78)&lt;=3,1,INT((DAY(A78)-4)/7)+2))</f>
        <v>2</v>
      </c>
      <c r="C78" s="9" t="inlineStr">
        <is>
          <t>99 CENT SUPREME PIZZA BROOKLYN NY 10/05 (...0119)</t>
        </is>
      </c>
      <c r="D78" s="9" t="inlineStr">
        <is>
          <t>99 Cent Supreme Pizza</t>
        </is>
      </c>
      <c r="E78" s="9" t="inlineStr">
        <is>
          <t>Dining</t>
        </is>
      </c>
      <c r="F78" s="9" t="inlineStr">
        <is>
          <t>Restaurant/Pizza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3.39</v>
      </c>
      <c r="K78" s="9" t="inlineStr">
        <is>
          <t>Chase (...0119); Posted 2026-10-07; Balance shown: $7,758.70</t>
        </is>
      </c>
    </row>
    <row r="79">
      <c r="A79" s="4">
        <v>46301</v>
      </c>
      <c r="B79" s="9">
        <f>IF(A79="","",IF(DAY(A79)&lt;=3,1,INT((DAY(A79)-4)/7)+2))</f>
        <v>2</v>
      </c>
      <c r="C79" s="9" t="inlineStr">
        <is>
          <t>MTA*NYCT PAYGO NEW YORK NY 10/05 (...0119)</t>
        </is>
      </c>
      <c r="D79" s="9" t="inlineStr">
        <is>
          <t>MTA NYCT Paygo</t>
        </is>
      </c>
      <c r="E79" s="9" t="inlineStr">
        <is>
          <t>Transportation</t>
        </is>
      </c>
      <c r="F79" s="9" t="inlineStr">
        <is>
          <t>Public transit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2.00</v>
      </c>
      <c r="K79" s="9" t="inlineStr">
        <is>
          <t>Chase (...0119); Posted 2026-10-06; Balance shown: $7,762.09</t>
        </is>
      </c>
    </row>
    <row r="80">
      <c r="A80" s="4">
        <v>46300</v>
      </c>
      <c r="B80" s="9">
        <f>IF(A80="","",IF(DAY(A80)&lt;=3,1,INT((DAY(A80)-4)/7)+2))</f>
        <v>2</v>
      </c>
      <c r="C80" s="9" t="inlineStr">
        <is>
          <t>Amazon.com*5924406G1 Amzn.com/bill WA 10/05 (...0119)</t>
        </is>
      </c>
      <c r="D80" s="9" t="inlineStr">
        <is>
          <t>Amazon</t>
        </is>
      </c>
      <c r="E80" s="9" t="inlineStr">
        <is>
          <t>Shopping</t>
        </is>
      </c>
      <c r="F80" s="9" t="inlineStr">
        <is>
          <t>Retail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6.42</v>
      </c>
      <c r="K80" s="9" t="inlineStr">
        <is>
          <t>Chase (...0119); Posted 2026-10-05; Balance shown: $7,764.09</t>
        </is>
      </c>
    </row>
    <row r="81">
      <c r="A81" s="4">
        <v>46300</v>
      </c>
      <c r="B81" s="9">
        <f>IF(A81="","",IF(DAY(A81)&lt;=3,1,INT((DAY(A81)-4)/7)+2))</f>
        <v>2</v>
      </c>
      <c r="C81" s="9" t="inlineStr">
        <is>
          <t>HANA MART COLUMBIA CORP NEW YORK NY 10/04 (...0119)</t>
        </is>
      </c>
      <c r="D81" s="9" t="inlineStr">
        <is>
          <t>Hana Mart</t>
        </is>
      </c>
      <c r="E81" s="9" t="inlineStr">
        <is>
          <t>Groceries</t>
        </is>
      </c>
      <c r="F81" s="9" t="inlineStr">
        <is>
          <t>Groceries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>
        <v>52.69</v>
      </c>
      <c r="K81" s="9" t="inlineStr">
        <is>
          <t>Chase (...0119); Posted 2026-10-05; Balance shown: $7,770.51</t>
        </is>
      </c>
    </row>
    <row r="82">
      <c r="A82" s="4">
        <v>46300</v>
      </c>
      <c r="B82" s="9">
        <f>IF(A82="","",IF(DAY(A82)&lt;=3,1,INT((DAY(A82)-4)/7)+2))</f>
        <v>2</v>
      </c>
      <c r="C82" s="9" t="inlineStr">
        <is>
          <t>MTA*NYCT PAYGO NEW YORK NY 10/04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>
        <v>3.00</v>
      </c>
      <c r="K82" s="9" t="inlineStr">
        <is>
          <t>Chase (...0119); Posted 2026-10-05; Balance shown: $7,823.20</t>
        </is>
      </c>
    </row>
    <row r="83">
      <c r="A83" s="4">
        <v>46300</v>
      </c>
      <c r="B83" s="9">
        <f>IF(A83="","",IF(DAY(A83)&lt;=3,1,INT((DAY(A83)-4)/7)+2))</f>
        <v>2</v>
      </c>
      <c r="C83" s="9" t="inlineStr">
        <is>
          <t>STARBUCKS STORE 26286 NEW YORK NY 10/04 (...0119)</t>
        </is>
      </c>
      <c r="D83" s="9" t="inlineStr">
        <is>
          <t>Starbucks</t>
        </is>
      </c>
      <c r="E83" s="9" t="inlineStr">
        <is>
          <t>Dining</t>
        </is>
      </c>
      <c r="F83" s="9" t="inlineStr">
        <is>
          <t>Coffee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>
        <v>7.57</v>
      </c>
      <c r="K83" s="9" t="inlineStr">
        <is>
          <t>Chase (...0119); Posted 2026-10-05; Balance shown: $7,826.20</t>
        </is>
      </c>
    </row>
    <row r="84">
      <c r="A84" s="4">
        <v>46300</v>
      </c>
      <c r="B84" s="9">
        <f>IF(A84="","",IF(DAY(A84)&lt;=3,1,INT((DAY(A84)-4)/7)+2))</f>
        <v>2</v>
      </c>
      <c r="C84" s="9" t="inlineStr">
        <is>
          <t>MTA*NYCT PAYGO NEW YORK NY 10/03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>
        <v>3.00</v>
      </c>
      <c r="K84" s="9" t="inlineStr">
        <is>
          <t>Chase (...0119); Posted 2026-10-05; Balance shown: $7,833.77</t>
        </is>
      </c>
    </row>
    <row r="85">
      <c r="A85" s="4">
        <v>46300</v>
      </c>
      <c r="B85" s="9">
        <f>IF(A85="","",IF(DAY(A85)&lt;=3,1,INT((DAY(A85)-4)/7)+2))</f>
        <v>2</v>
      </c>
      <c r="C85" s="9" t="inlineStr">
        <is>
          <t>MTA*NYCT PAYGO NEW YORK NY 10/03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>
        <v>3.00</v>
      </c>
      <c r="K85" s="9" t="inlineStr">
        <is>
          <t>Chase (...0119); Posted 2026-10-05; Balance shown: $7,836.77</t>
        </is>
      </c>
    </row>
    <row r="86">
      <c r="A86" s="4">
        <v>46300</v>
      </c>
      <c r="B86" s="9">
        <f>IF(A86="","",IF(DAY(A86)&lt;=3,1,INT((DAY(A86)-4)/7)+2))</f>
        <v>2</v>
      </c>
      <c r="C86" s="9" t="inlineStr">
        <is>
          <t>TST* SALT AND STRAW - H NEW YORK NY 10/04 (...0119)</t>
        </is>
      </c>
      <c r="D86" s="9" t="inlineStr">
        <is>
          <t>Salt &amp; Straw</t>
        </is>
      </c>
      <c r="E86" s="9" t="inlineStr">
        <is>
          <t>Dining</t>
        </is>
      </c>
      <c r="F86" s="9" t="inlineStr">
        <is>
          <t>Ice cream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>
        <v>8.44</v>
      </c>
      <c r="K86" s="9" t="inlineStr">
        <is>
          <t>Chase (...0119); Posted 2026-10-05; Balance shown: $7,839.77</t>
        </is>
      </c>
    </row>
    <row r="87">
      <c r="A87" s="4">
        <v>46300</v>
      </c>
      <c r="B87" s="9">
        <f>IF(A87="","",IF(DAY(A87)&lt;=3,1,INT((DAY(A87)-4)/7)+2))</f>
        <v>2</v>
      </c>
      <c r="C87" s="9" t="inlineStr">
        <is>
          <t>MTA*NYCT PAYGO NEW YORK NY 10/03 (...0119)</t>
        </is>
      </c>
      <c r="D87" s="9" t="inlineStr">
        <is>
          <t>MTA NYCT Paygo</t>
        </is>
      </c>
      <c r="E87" s="9" t="inlineStr">
        <is>
          <t>Transportation</t>
        </is>
      </c>
      <c r="F87" s="9" t="inlineStr">
        <is>
          <t>Public transit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>
        <v>3.00</v>
      </c>
      <c r="K87" s="9" t="inlineStr">
        <is>
          <t>Chase (...0119); Posted 2026-10-05; Balance shown: $7,848.21</t>
        </is>
      </c>
    </row>
    <row r="88">
      <c r="A88" s="4">
        <v>46308</v>
      </c>
      <c r="B88" s="9">
        <f>IF(A88="","",IF(DAY(A88)&lt;=3,1,INT((DAY(A88)-4)/7)+2))</f>
        <v>3</v>
      </c>
      <c r="C88" s="9" t="inlineStr">
        <is>
          <t>TRADER JOE S #54 445 G NEW YORK NY 174119 10/13 (...0119)</t>
        </is>
      </c>
      <c r="D88" s="9" t="inlineStr">
        <is>
          <t>Trader Joe's</t>
        </is>
      </c>
      <c r="E88" s="9" t="inlineStr">
        <is>
          <t>Groceries</t>
        </is>
      </c>
      <c r="F88" s="9" t="inlineStr">
        <is>
          <t>Groceries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>
        <v>26.83</v>
      </c>
      <c r="K88" s="9" t="inlineStr">
        <is>
          <t>Chase (...0119); Posted 2026-10-13; Balance shown: $8,932.04</t>
        </is>
      </c>
    </row>
    <row r="89">
      <c r="A89" s="4">
        <v>46308</v>
      </c>
      <c r="B89" s="9">
        <f>IF(A89="","",IF(DAY(A89)&lt;=3,1,INT((DAY(A89)-4)/7)+2))</f>
        <v>3</v>
      </c>
      <c r="C89" s="9" t="inlineStr">
        <is>
          <t>MTA*NYCT PAYGO NEW YORK NY 10/12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Chase (...0119); Posted 2026-10-13; Balance shown: $8,958.87</t>
        </is>
      </c>
    </row>
    <row r="90">
      <c r="A90" s="4">
        <v>46308</v>
      </c>
      <c r="B90" s="9">
        <f>IF(A90="","",IF(DAY(A90)&lt;=3,1,INT((DAY(A90)-4)/7)+2))</f>
        <v>3</v>
      </c>
      <c r="C90" s="9" t="inlineStr">
        <is>
          <t>HANA MART COLUMBIA CORP NEW YORK NY 10/12 (...0119)</t>
        </is>
      </c>
      <c r="D90" s="9" t="inlineStr">
        <is>
          <t>Hana Mart</t>
        </is>
      </c>
      <c r="E90" s="9" t="inlineStr">
        <is>
          <t>Groceries</t>
        </is>
      </c>
      <c r="F90" s="9" t="inlineStr">
        <is>
          <t>Groceries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31.11</v>
      </c>
      <c r="K90" s="9" t="inlineStr">
        <is>
          <t>Chase (...0119); Posted 2026-10-13; Balance shown: $8,961.87</t>
        </is>
      </c>
    </row>
    <row r="91">
      <c r="A91" s="4">
        <v>46308</v>
      </c>
      <c r="B91" s="9">
        <f>IF(A91="","",IF(DAY(A91)&lt;=3,1,INT((DAY(A91)-4)/7)+2))</f>
        <v>3</v>
      </c>
      <c r="C91" s="9" t="inlineStr">
        <is>
          <t>MTA*NYCT PAYGO NEW YORK NY 10/12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Chase (...0119); Posted 2026-10-13; Balance shown: $8,992.98</t>
        </is>
      </c>
    </row>
    <row r="92">
      <c r="A92" s="4">
        <v>46308</v>
      </c>
      <c r="B92" s="9">
        <f>IF(A92="","",IF(DAY(A92)&lt;=3,1,INT((DAY(A92)-4)/7)+2))</f>
        <v>3</v>
      </c>
      <c r="C92" s="9" t="inlineStr">
        <is>
          <t>FOOD UNIVERSE # 1908 NEW YORK NY 10/12 (...0119)</t>
        </is>
      </c>
      <c r="D92" s="9" t="inlineStr">
        <is>
          <t>Food Universe</t>
        </is>
      </c>
      <c r="E92" s="9" t="inlineStr">
        <is>
          <t>Groceries</t>
        </is>
      </c>
      <c r="F92" s="9" t="inlineStr">
        <is>
          <t>Groceries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6.51</v>
      </c>
      <c r="K92" s="9" t="inlineStr">
        <is>
          <t>Chase (...0119); Posted 2026-10-13; Balance shown: $8,995.98</t>
        </is>
      </c>
    </row>
    <row r="93">
      <c r="A93" s="4">
        <v>46308</v>
      </c>
      <c r="B93" s="9">
        <f>IF(A93="","",IF(DAY(A93)&lt;=3,1,INT((DAY(A93)-4)/7)+2))</f>
        <v>3</v>
      </c>
      <c r="C93" s="9" t="inlineStr">
        <is>
          <t>APPLE.COM/BILL 866-712-7753 CA 10/12 (...0119)</t>
        </is>
      </c>
      <c r="D93" s="9" t="inlineStr">
        <is>
          <t>Apple</t>
        </is>
      </c>
      <c r="E93" s="9" t="inlineStr">
        <is>
          <t>Entertainment</t>
        </is>
      </c>
      <c r="F93" s="9" t="inlineStr">
        <is>
          <t>Digital services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2.99</v>
      </c>
      <c r="K93" s="9" t="inlineStr">
        <is>
          <t>Chase (...0119); Posted 2026-10-13; Balance shown: $9,002.49</t>
        </is>
      </c>
    </row>
    <row r="94">
      <c r="A94" s="4">
        <v>46308</v>
      </c>
      <c r="B94" s="9">
        <f>IF(A94="","",IF(DAY(A94)&lt;=3,1,INT((DAY(A94)-4)/7)+2))</f>
        <v>3</v>
      </c>
      <c r="C94" s="9" t="inlineStr">
        <is>
          <t>UBER EATS SAN FRANCISCO CA 706605 10/11 (...0119)</t>
        </is>
      </c>
      <c r="D94" s="9" t="inlineStr">
        <is>
          <t>Uber Eats</t>
        </is>
      </c>
      <c r="E94" s="9" t="inlineStr">
        <is>
          <t>Dining</t>
        </is>
      </c>
      <c r="F94" s="9" t="inlineStr">
        <is>
          <t>Food delivery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>
        <v>25.42</v>
      </c>
      <c r="K94" s="9" t="inlineStr">
        <is>
          <t>Chase (...0119); Posted 2026-10-13; Balance shown: $9,005.48</t>
        </is>
      </c>
    </row>
    <row r="95">
      <c r="A95" s="4">
        <v>46308</v>
      </c>
      <c r="B95" s="9">
        <f>IF(A95="","",IF(DAY(A95)&lt;=3,1,INT((DAY(A95)-4)/7)+2))</f>
        <v>3</v>
      </c>
      <c r="C95" s="9" t="inlineStr">
        <is>
          <t>AMAZON MKTPL*5E29B6S Amzn.com/bill WA 10/10 (...0119)</t>
        </is>
      </c>
      <c r="D95" s="9" t="inlineStr">
        <is>
          <t>Amazon</t>
        </is>
      </c>
      <c r="E95" s="9" t="inlineStr">
        <is>
          <t>Shopping</t>
        </is>
      </c>
      <c r="F95" s="9" t="inlineStr">
        <is>
          <t>Retail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13.05</v>
      </c>
      <c r="K95" s="9" t="inlineStr">
        <is>
          <t>Chase (...0119); Posted 2026-10-13; Balance shown: $9,030.90</t>
        </is>
      </c>
    </row>
    <row r="96">
      <c r="A96" s="4">
        <v>46308</v>
      </c>
      <c r="B96" s="9">
        <f>IF(A96="","",IF(DAY(A96)&lt;=3,1,INT((DAY(A96)-4)/7)+2))</f>
        <v>3</v>
      </c>
      <c r="C96" s="9" t="inlineStr">
        <is>
          <t>MTA*NYCT PAYGO NEW YORK NY 10/09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>
        <v>3.00</v>
      </c>
      <c r="K96" s="9" t="inlineStr">
        <is>
          <t>Chase (...0119); Posted 2026-10-13; Balance shown: $9,043.95</t>
        </is>
      </c>
    </row>
    <row r="97">
      <c r="A97" s="4">
        <v>46308</v>
      </c>
      <c r="B97" s="9">
        <f>IF(A97="","",IF(DAY(A97)&lt;=3,1,INT((DAY(A97)-4)/7)+2))</f>
        <v>3</v>
      </c>
      <c r="C97" s="9" t="inlineStr">
        <is>
          <t>TST*COSPA RAMEN New York NY 10/09 (...0119)</t>
        </is>
      </c>
      <c r="D97" s="9" t="inlineStr">
        <is>
          <t>Cospa Ramen</t>
        </is>
      </c>
      <c r="E97" s="9" t="inlineStr">
        <is>
          <t>Dining</t>
        </is>
      </c>
      <c r="F97" s="9" t="inlineStr">
        <is>
          <t>Restaurant</t>
        </is>
      </c>
      <c r="G97" s="9" t="inlineStr">
        <is>
          <t>Checking</t>
        </is>
      </c>
      <c r="H97" s="9" t="inlineStr">
        <is>
          <t>Debit Card</t>
        </is>
      </c>
      <c r="I97" s="9" t="inlineStr">
        <is>
          <t>Expense</t>
        </is>
      </c>
      <c r="J97" s="3">
        <v>17.79</v>
      </c>
      <c r="K97" s="9" t="inlineStr">
        <is>
          <t>Chase (...0119); Posted 2026-10-13; Balance shown: $9,046.95</t>
        </is>
      </c>
    </row>
    <row r="98">
      <c r="A98" s="4">
        <v>46308</v>
      </c>
      <c r="B98" s="9">
        <f>IF(A98="","",IF(DAY(A98)&lt;=3,1,INT((DAY(A98)-4)/7)+2))</f>
        <v>3</v>
      </c>
      <c r="C98" s="9" t="inlineStr">
        <is>
          <t>MTA*NYCT PAYGO NEW YORK NY 10/09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3.00</v>
      </c>
      <c r="K98" s="9" t="inlineStr">
        <is>
          <t>Chase (...0119); Posted 2026-10-13; Balance shown: $9,064.74</t>
        </is>
      </c>
    </row>
    <row r="99">
      <c r="A99" s="4">
        <v>46308</v>
      </c>
      <c r="B99" s="9">
        <f>IF(A99="","",IF(DAY(A99)&lt;=3,1,INT((DAY(A99)-4)/7)+2))</f>
        <v>3</v>
      </c>
      <c r="C99" s="9" t="inlineStr">
        <is>
          <t>MTA*NYCT PAYGO NEW YORK NY 10/09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3.00</v>
      </c>
      <c r="K99" s="9" t="inlineStr">
        <is>
          <t>Chase (...0119); Posted 2026-10-13; Balance shown: $9,067.74</t>
        </is>
      </c>
    </row>
    <row r="100">
      <c r="A100" s="4">
        <v>46308</v>
      </c>
      <c r="B100" s="9">
        <f>IF(A100="","",IF(DAY(A100)&lt;=3,1,INT((DAY(A100)-4)/7)+2))</f>
        <v>3</v>
      </c>
      <c r="C100" s="9" t="inlineStr">
        <is>
          <t>TMOBILE*PREPD AUTOPY 877-778-2106 WA 10/10 (...0119)</t>
        </is>
      </c>
      <c r="D100" s="9" t="inlineStr">
        <is>
          <t>T-Mobile</t>
        </is>
      </c>
      <c r="E100" s="9" t="inlineStr">
        <is>
          <t>Utilities</t>
        </is>
      </c>
      <c r="F100" s="9" t="inlineStr">
        <is>
          <t>Mobile phone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50.19</v>
      </c>
      <c r="K100" s="9" t="inlineStr">
        <is>
          <t>Chase (...0119); Posted 2026-10-13; Balance shown: $9,070.74</t>
        </is>
      </c>
    </row>
    <row r="101">
      <c r="A101" s="4">
        <v>46308</v>
      </c>
      <c r="B101" s="9">
        <f>IF(A101="","",IF(DAY(A101)&lt;=3,1,INT((DAY(A101)-4)/7)+2))</f>
        <v>3</v>
      </c>
      <c r="C101" s="9" t="inlineStr">
        <is>
          <t>CITY LINE CONVENIENCE C NEW YORK NY 10/08 (...0119)</t>
        </is>
      </c>
      <c r="D101" s="9" t="inlineStr">
        <is>
          <t>City Line Convenience</t>
        </is>
      </c>
      <c r="E101" s="9" t="inlineStr">
        <is>
          <t>Groceries</t>
        </is>
      </c>
      <c r="F101" s="9" t="inlineStr">
        <is>
          <t>Convenience store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4.16</v>
      </c>
      <c r="K101" s="9" t="inlineStr">
        <is>
          <t>Chase (...0119); Posted 2026-10-13; Balance shown: $9,120.93</t>
        </is>
      </c>
    </row>
    <row r="102">
      <c r="A102" s="4">
        <v>46308</v>
      </c>
      <c r="B102" s="9">
        <f>IF(A102="","",IF(DAY(A102)&lt;=3,1,INT((DAY(A102)-4)/7)+2))</f>
        <v>3</v>
      </c>
      <c r="C102" s="9" t="inlineStr">
        <is>
          <t>NEW YORK UNIVERS DIRECT DEP PPD ID: 5135562308</t>
        </is>
      </c>
      <c r="D102" s="9" t="inlineStr">
        <is>
          <t>New York University</t>
        </is>
      </c>
      <c r="E102" s="9" t="inlineStr">
        <is>
          <t>Income</t>
        </is>
      </c>
      <c r="F102" s="9" t="inlineStr">
        <is>
          <t>Salary/Direct deposit</t>
        </is>
      </c>
      <c r="G102" s="9" t="inlineStr">
        <is>
          <t>Checking</t>
        </is>
      </c>
      <c r="H102" s="9" t="inlineStr">
        <is>
          <t>ACH</t>
        </is>
      </c>
      <c r="I102" s="9" t="inlineStr">
        <is>
          <t>Income</t>
        </is>
      </c>
      <c r="J102" s="3">
        <v>1548.00</v>
      </c>
      <c r="K102" s="9" t="inlineStr">
        <is>
          <t>Chase (...0119); Posted 2026-10-13; Balance shown: $9,125.09</t>
        </is>
      </c>
    </row>
    <row r="103">
      <c r="A103" s="4">
        <v>46309</v>
      </c>
      <c r="B103" s="9">
        <f>IF(A103="","",IF(DAY(A103)&lt;=3,1,INT((DAY(A103)-4)/7)+2))</f>
        <v>3</v>
      </c>
      <c r="C103" s="9" t="inlineStr">
        <is>
          <t>MTA*NYCT PAYGO NEW YORK NY 10/13 (...0119)</t>
        </is>
      </c>
      <c r="D103" s="9" t="inlineStr">
        <is>
          <t>MTA NYCT Paygo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3.00</v>
      </c>
      <c r="K103" s="9" t="inlineStr">
        <is>
          <t>Chase (...0119); Posted 2026-10-14; Balance shown: $8,826.15</t>
        </is>
      </c>
    </row>
    <row r="104">
      <c r="A104" s="4">
        <v>46309</v>
      </c>
      <c r="B104" s="9">
        <f>IF(A104="","",IF(DAY(A104)&lt;=3,1,INT((DAY(A104)-4)/7)+2))</f>
        <v>3</v>
      </c>
      <c r="C104" s="9" t="inlineStr">
        <is>
          <t>BROADWAY TOBACCO HOUSE NEW YORK NY 10/13 (...0119)</t>
        </is>
      </c>
      <c r="D104" s="9" t="inlineStr">
        <is>
          <t>Broadway Tobacco House</t>
        </is>
      </c>
      <c r="E104" s="9" t="inlineStr">
        <is>
          <t>Shopping</t>
        </is>
      </c>
      <c r="F104" s="9" t="inlineStr">
        <is>
          <t>Tobacco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78.00</v>
      </c>
      <c r="K104" s="9" t="inlineStr">
        <is>
          <t>Chase (...0119); Posted 2026-10-14; Balance shown: $8,829.15</t>
        </is>
      </c>
    </row>
    <row r="105">
      <c r="A105" s="4">
        <v>46309</v>
      </c>
      <c r="B105" s="9">
        <f>IF(A105="","",IF(DAY(A105)&lt;=3,1,INT((DAY(A105)-4)/7)+2))</f>
        <v>3</v>
      </c>
      <c r="C105" s="9" t="inlineStr">
        <is>
          <t>HANA MART COLUMBIA CORP NEW YORK NY 10/13 (...0119)</t>
        </is>
      </c>
      <c r="D105" s="9" t="inlineStr">
        <is>
          <t>Hana Mart</t>
        </is>
      </c>
      <c r="E105" s="9" t="inlineStr">
        <is>
          <t>Groceries</t>
        </is>
      </c>
      <c r="F105" s="9" t="inlineStr">
        <is>
          <t>Groceries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18.89</v>
      </c>
      <c r="K105" s="9" t="inlineStr">
        <is>
          <t>Chase (...0119); Posted 2026-10-14; Balance shown: $8,907.15</t>
        </is>
      </c>
    </row>
    <row r="106">
      <c r="A106" s="4">
        <v>46309</v>
      </c>
      <c r="B106" s="9">
        <f>IF(A106="","",IF(DAY(A106)&lt;=3,1,INT((DAY(A106)-4)/7)+2))</f>
        <v>3</v>
      </c>
      <c r="C106" s="9" t="inlineStr">
        <is>
          <t>MTA*NYCT PAYGO NEW YORK NY 10/13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3.00</v>
      </c>
      <c r="K106" s="9" t="inlineStr">
        <is>
          <t>Chase (...0119); Posted 2026-10-14; Balance shown: $8,926.04</t>
        </is>
      </c>
    </row>
    <row r="107">
      <c r="A107" s="4">
        <v>46309</v>
      </c>
      <c r="B107" s="9">
        <f>IF(A107="","",IF(DAY(A107)&lt;=3,1,INT((DAY(A107)-4)/7)+2))</f>
        <v>3</v>
      </c>
      <c r="C107" s="9" t="inlineStr">
        <is>
          <t>MTA*NYCT PAYGO NEW YORK NY 10/13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Chase (...0119); Posted 2026-10-14; Balance shown: $8,929.04</t>
        </is>
      </c>
    </row>
    <row r="108">
      <c r="A108" s="4">
        <v>46310</v>
      </c>
      <c r="B108" s="9">
        <f>IF(A108="","",IF(DAY(A108)&lt;=3,1,INT((DAY(A108)-4)/7)+2))</f>
        <v>3</v>
      </c>
      <c r="C108" s="9" t="inlineStr">
        <is>
          <t>99 CENT SUPREME PIZZA BROOKLYN NY 10/13 (...0119)</t>
        </is>
      </c>
      <c r="D108" s="9" t="inlineStr">
        <is>
          <t>99 Cent Supreme Pizza</t>
        </is>
      </c>
      <c r="E108" s="9" t="inlineStr">
        <is>
          <t>Dining</t>
        </is>
      </c>
      <c r="F108" s="9" t="inlineStr">
        <is>
          <t>Restaurant/Pizza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3.27</v>
      </c>
      <c r="K108" s="9" t="inlineStr">
        <is>
          <t>Chase (...0119); Posted 2026-10-15; Balance shown: $8,822.88</t>
        </is>
      </c>
    </row>
    <row r="109">
      <c r="A109" s="4">
        <v>46311</v>
      </c>
      <c r="B109" s="9">
        <f>IF(A109="","",IF(DAY(A109)&lt;=3,1,INT((DAY(A109)-4)/7)+2))</f>
        <v>3</v>
      </c>
      <c r="C109" s="9" t="inlineStr">
        <is>
          <t>TARGET T-2850 445 ALBE BROOKLYN NY 735160 10/16 (...0119)</t>
        </is>
      </c>
      <c r="D109" s="9" t="inlineStr">
        <is>
          <t>Target</t>
        </is>
      </c>
      <c r="E109" s="9" t="inlineStr">
        <is>
          <t>Shopping</t>
        </is>
      </c>
      <c r="F109" s="9" t="inlineStr">
        <is>
          <t>Retail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12.27</v>
      </c>
      <c r="K109" s="9" t="inlineStr">
        <is>
          <t>Chase (...0119); Posted 2026-10-16; Balance shown: $8,793.18</t>
        </is>
      </c>
    </row>
    <row r="110">
      <c r="A110" s="4">
        <v>46311</v>
      </c>
      <c r="B110" s="9">
        <f>IF(A110="","",IF(DAY(A110)&lt;=3,1,INT((DAY(A110)-4)/7)+2))</f>
        <v>3</v>
      </c>
      <c r="C110" s="9" t="inlineStr">
        <is>
          <t>MTA*NYCT PAYGO NEW YORK NY 10/15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Chase (...0119); Posted 2026-10-16; Balance shown: $8,805.45</t>
        </is>
      </c>
    </row>
    <row r="111">
      <c r="A111" s="4">
        <v>46311</v>
      </c>
      <c r="B111" s="9">
        <f>IF(A111="","",IF(DAY(A111)&lt;=3,1,INT((DAY(A111)-4)/7)+2))</f>
        <v>3</v>
      </c>
      <c r="C111" s="9" t="inlineStr">
        <is>
          <t>TST* 7TH STREET BURGER BROOKLYN NY 10/16 (...0119)</t>
        </is>
      </c>
      <c r="D111" s="9" t="inlineStr">
        <is>
          <t>7th Street Burger</t>
        </is>
      </c>
      <c r="E111" s="9" t="inlineStr">
        <is>
          <t>Dining</t>
        </is>
      </c>
      <c r="F111" s="9" t="inlineStr">
        <is>
          <t>Restaurant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11.43</v>
      </c>
      <c r="K111" s="9" t="inlineStr">
        <is>
          <t>Chase (...0119); Posted 2026-10-16; Balance shown: $8,808.45</t>
        </is>
      </c>
    </row>
    <row r="112">
      <c r="A112" s="4">
        <v>46311</v>
      </c>
      <c r="B112" s="9">
        <f>IF(A112="","",IF(DAY(A112)&lt;=3,1,INT((DAY(A112)-4)/7)+2))</f>
        <v>3</v>
      </c>
      <c r="C112" s="9" t="inlineStr">
        <is>
          <t>MTA*NYCT PAYGO NEW YORK NY 10/15 (...0119)</t>
        </is>
      </c>
      <c r="D112" s="9" t="inlineStr">
        <is>
          <t>MTA NYCT Paygo</t>
        </is>
      </c>
      <c r="E112" s="9" t="inlineStr">
        <is>
          <t>Transportation</t>
        </is>
      </c>
      <c r="F112" s="9" t="inlineStr">
        <is>
          <t>Public transit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3.00</v>
      </c>
      <c r="K112" s="9" t="inlineStr">
        <is>
          <t>Chase (...0119); Posted 2026-10-16; Balance shown: $8,819.88</t>
        </is>
      </c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