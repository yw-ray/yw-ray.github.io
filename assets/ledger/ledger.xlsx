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1548.0</v>
      </c>
      <c r="C14" s="3">
        <f>'Sep 2026'!$B$6</f>
        <v>1830.17</v>
      </c>
      <c r="D14" s="3">
        <f>'Sep 2026'!$B$7</f>
        <v>0.0</v>
      </c>
      <c r="E14" s="3">
        <f>'Sep 2026'!$B$8</f>
        <v>106.0</v>
      </c>
      <c r="F14" s="3">
        <f>'Sep 2026'!$B$9</f>
        <v>-282.17</v>
      </c>
      <c r="G14" s="3">
        <f>'Sep 2026'!$B$10</f>
        <v>8560.07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  <c r="G18" s="3">
        <f>LOOKUP(2,1/(G6:G17&lt;&gt;0),G6:G17)</f>
        <v>8560.07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1548.0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1830.17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0.0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0.0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280.32</v>
      </c>
      <c r="J7" s="3">
        <f>SUMIFS($J$29:$J$528,$B$29:$B$528,2,$I$29:$I$528,"Income")</f>
        <v>1548.0</v>
      </c>
      <c r="K7" s="3">
        <f>J7-I7</f>
        <v>1267.68</v>
      </c>
    </row>
    <row r="8">
      <c r="A8" s="5" t="inlineStr">
        <is>
          <t>Transfers</t>
        </is>
      </c>
      <c r="B8" s="3">
        <f>SUMIFS($J$29:$J$528,$I$29:$I$528,"Transfer")</f>
        <v>106.0</v>
      </c>
      <c r="D8" s="5" t="inlineStr">
        <is>
          <t>Groceries</t>
        </is>
      </c>
      <c r="E8" s="3">
        <f>SUMIFS($J$29:$J$528,$E$29:$E$528,$D8,$I$29:$I$528,"Expense")</f>
        <v>141.63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0.0</v>
      </c>
      <c r="J8" s="3">
        <f>SUMIFS($J$29:$J$528,$B$29:$B$528,3,$I$29:$I$528,"Income")</f>
        <v>0.0</v>
      </c>
      <c r="K8" s="3">
        <f>J8-I8</f>
        <v>0.0</v>
      </c>
    </row>
    <row r="9">
      <c r="A9" s="5" t="inlineStr">
        <is>
          <t>Net Cash Flow</t>
        </is>
      </c>
      <c r="B9" s="3">
        <f>B5-B6</f>
        <v>-282.17</v>
      </c>
      <c r="D9" s="5" t="inlineStr">
        <is>
          <t>Dining</t>
        </is>
      </c>
      <c r="E9" s="3">
        <f>SUMIFS($J$29:$J$528,$E$29:$E$528,$D9,$I$29:$I$528,"Expense")</f>
        <v>41.36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0.0</v>
      </c>
      <c r="J9" s="3">
        <f>SUMIFS($J$29:$J$528,$B$29:$B$528,4,$I$29:$I$528,"Income")</f>
        <v>0.0</v>
      </c>
      <c r="K9" s="3">
        <f>J9-I9</f>
        <v>0.0</v>
      </c>
    </row>
    <row r="10">
      <c r="A10" s="5" t="inlineStr">
        <is>
          <t>Current Balance</t>
        </is>
      </c>
      <c r="B10" s="3" t="n">
        <v>8560.07</v>
      </c>
      <c r="D10" s="5" t="inlineStr">
        <is>
          <t>Transportation</t>
        </is>
      </c>
      <c r="E10" s="3">
        <f>SUMIFS($J$29:$J$528,$E$29:$E$528,$D10,$I$29:$I$528,"Expense")</f>
        <v>47.0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0.0</v>
      </c>
      <c r="J10" s="3">
        <f>SUMIFS($J$29:$J$528,$B$29:$B$528,5,$I$29:$I$528,"Income")</f>
        <v>0.0</v>
      </c>
      <c r="K10" s="3">
        <f>J10-I10</f>
        <v>0.0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282.1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67.88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0.0</v>
      </c>
      <c r="G19" s="3">
        <f>SUMIFS($J$29:$J$528,$E$29:$E$528,$D19,$I$29:$I$528,"Opening Balance")</f>
        <v>0.0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1548.0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0.0</v>
      </c>
      <c r="F24" s="3">
        <f>SUMIFS($J$29:$J$528,$E$29:$E$528,$D24,$I$29:$I$528,"Income")</f>
        <v>0.0</v>
      </c>
      <c r="G24" s="3">
        <f>SUMIFS($J$29:$J$528,$E$29:$E$528,$D24,$I$29:$I$528,"Opening Balance")</f>
        <v>0.0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 t="n"/>
      <c r="B69" s="9">
        <f>IF(A69="","",INT(DAY(A69)/7)+1)</f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IF(A70="","",INT(DAY(A70)/7)+1)</f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IF(A71="","",INT(DAY(A71)/7)+1)</f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IF(A72="","",INT(DAY(A72)/7)+1)</f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IF(A73="","",INT(DAY(A73)/7)+1)</f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IF(A74="","",INT(DAY(A74)/7)+1)</f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IF(A75="","",INT(DAY(A75)/7)+1)</f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IF(A76="","",INT(DAY(A76)/7)+1)</f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IF(A77="","",INT(DAY(A77)/7)+1)</f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IF(A78="","",INT(DAY(A78)/7)+1)</f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IF(A79="","",INT(DAY(A79)/7)+1)</f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IF(A80="","",INT(DAY(A80)/7)+1)</f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IF(A81="","",INT(DAY(A81)/7)+1)</f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IF(A82="","",INT(DAY(A82)/7)+1)</f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IF(A83="","",INT(DAY(A83)/7)+1)</f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IF(A84="","",INT(DAY(A84)/7)+1)</f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IF(A85="","",INT(DAY(A85)/7)+1)</f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IF(A86="","",INT(DAY(A86)/7)+1)</f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IF(A87="","",INT(DAY(A87)/7)+1)</f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IF(A88="","",INT(DAY(A88)/7)+1)</f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