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2529.36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SUMIFS($J$29:$J$528,$B$29:$B$528,1,$I$29:$I$528,"Expense")</f>
        <v>1100</v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61.08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290.45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SUMIFS($J$29:$J$528,$B$29:$B$528,3,$I$29:$I$528,"Expense")</f>
        <v>546.27</v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2458.64</v>
      </c>
      <c r="D9" s="5" t="inlineStr">
        <is>
          <t>Dining</t>
        </is>
      </c>
      <c r="E9" s="3">
        <f>SUMIFS($J$29:$J$528,$E$29:$E$528,$D9,$I$29:$I$528,"Expense")</f>
        <v>263.3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SUMIFS($J$29:$J$528,$B$29:$B$528,4,$I$29:$I$528,"Expense")</f>
        <v>305.07</v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97.65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SUMIFS($J$29:$J$528,$B$29:$B$528,5,$I$29:$I$528,"Expense")</f>
        <v>578.02</v>
      </c>
      <c r="J10" s="3">
        <f>SUMIFS($J$29:$J$528,$B$29:$B$528,5,$I$29:$I$528,"Income")</f>
        <v>4988</v>
      </c>
      <c r="K10" s="3">
        <f>J10-I10</f>
        <v>4409.98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72.89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>5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>5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>5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>5</v>
      </c>
      <c r="C101" s="9" t="inlineStr">
        <is>
          <t>NJTRANSIT GEORGE WSH B NEW YORK NY 807827 08/27 (...0119)</t>
        </is>
      </c>
      <c r="D101" s="9" t="inlineStr">
        <is>
          <t>NJ Transit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4.2</v>
      </c>
      <c r="K101" s="9" t="inlineStr">
        <is>
          <t>8월 5주차; Chase Secure (...0119); Balance shown: $3,501.29</t>
        </is>
      </c>
    </row>
    <row r="102">
      <c r="A102" s="4" t="n">
        <v>46263</v>
      </c>
      <c r="B102" s="9">
        <f>IF(A102="","",IF(DAY(A102)&lt;=2,1,IF(DAY(A102)&lt;=9,2,IF(DAY(A102)&lt;=16,3,IF(DAY(A102)&lt;=23,4,5)))))</f>
        <v>5</v>
      </c>
      <c r="C102" s="9" t="inlineStr">
        <is>
          <t>NEW YORK UNIVERS DIRECT DEP PPD ID: 5135562308</t>
        </is>
      </c>
      <c r="D102" s="9" t="inlineStr">
        <is>
          <t>New York University</t>
        </is>
      </c>
      <c r="E102" s="9" t="inlineStr">
        <is>
          <t>Income</t>
        </is>
      </c>
      <c r="F102" s="9" t="inlineStr">
        <is>
          <t>Salary</t>
        </is>
      </c>
      <c r="G102" s="9" t="inlineStr">
        <is>
          <t>Checking</t>
        </is>
      </c>
      <c r="H102" s="9" t="inlineStr">
        <is>
          <t>ACH</t>
        </is>
      </c>
      <c r="I102" s="9" t="inlineStr">
        <is>
          <t>Income</t>
        </is>
      </c>
      <c r="J102" s="3" t="n">
        <v>4988</v>
      </c>
      <c r="K102" s="9" t="inlineStr">
        <is>
          <t>8월 5주차; Chase Secure (...0119); Balance shown: $8,489.29</t>
        </is>
      </c>
    </row>
    <row r="103">
      <c r="A103" s="4" t="n">
        <v>46263</v>
      </c>
      <c r="B103" s="9">
        <f>IF(A103="","",IF(DAY(A103)&lt;=2,1,IF(DAY(A103)&lt;=9,2,IF(DAY(A103)&lt;=16,3,IF(DAY(A103)&lt;=23,4,5)))))</f>
        <v>5</v>
      </c>
      <c r="C103" s="9" t="inlineStr">
        <is>
          <t>MTA*NYCT PAYGO NEW YORK NY 08/27 (...0119)</t>
        </is>
      </c>
      <c r="D103" s="9" t="inlineStr">
        <is>
          <t>MTA NYCT Paygo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3</v>
      </c>
      <c r="K103" s="9" t="inlineStr">
        <is>
          <t>8월 5주차; Chase Secure (...0119); Balance shown: $8,486.29</t>
        </is>
      </c>
    </row>
    <row r="104">
      <c r="A104" s="4" t="n">
        <v>46263</v>
      </c>
      <c r="B104" s="9">
        <f>IF(A104="","",IF(DAY(A104)&lt;=2,1,IF(DAY(A104)&lt;=9,2,IF(DAY(A104)&lt;=16,3,IF(DAY(A104)&lt;=23,4,5)))))</f>
        <v>5</v>
      </c>
      <c r="C104" s="9" t="inlineStr">
        <is>
          <t>MTA*NYCT PAYGO NEW YORK NY 08/27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</v>
      </c>
      <c r="K104" s="9" t="inlineStr">
        <is>
          <t>8월 5주차; Chase Secure (...0119); Balance shown: $8,483.29</t>
        </is>
      </c>
    </row>
    <row r="105">
      <c r="A105" s="4" t="n">
        <v>46263</v>
      </c>
      <c r="B105" s="9">
        <f>IF(A105="","",IF(DAY(A105)&lt;=2,1,IF(DAY(A105)&lt;=9,2,IF(DAY(A105)&lt;=16,3,IF(DAY(A105)&lt;=23,4,5)))))</f>
        <v>5</v>
      </c>
      <c r="C105" s="9" t="inlineStr">
        <is>
          <t>HAN MI SUPERMARKET PALISADES PAR NJ 08/27 (...0119)</t>
        </is>
      </c>
      <c r="D105" s="9" t="inlineStr">
        <is>
          <t>Han Mi Supermarket</t>
        </is>
      </c>
      <c r="E105" s="9" t="inlineStr">
        <is>
          <t>Groceries</t>
        </is>
      </c>
      <c r="F105" s="9" t="inlineStr">
        <is>
          <t>Groceries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3.2</v>
      </c>
      <c r="K105" s="9" t="inlineStr">
        <is>
          <t>8월 5주차; Chase Secure (...0119); Balance shown: $8,480.09</t>
        </is>
      </c>
    </row>
    <row r="106">
      <c r="A106" s="4" t="n">
        <v>46263</v>
      </c>
      <c r="B106" s="9">
        <f>IF(A106="","",IF(DAY(A106)&lt;=2,1,IF(DAY(A106)&lt;=9,2,IF(DAY(A106)&lt;=16,3,IF(DAY(A106)&lt;=23,4,5)))))</f>
        <v>5</v>
      </c>
      <c r="C106" s="9" t="inlineStr">
        <is>
          <t>NJT BUS MY-TIX JWAITE@NJTRAN NJ 08/27 (...0119)</t>
        </is>
      </c>
      <c r="D106" s="9" t="inlineStr">
        <is>
          <t>NJ Transit MyTix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5.45</v>
      </c>
      <c r="K106" s="9" t="inlineStr">
        <is>
          <t>8월 5주차; Chase Secure (...0119); Balance shown: $8,474.64</t>
        </is>
      </c>
    </row>
    <row r="107">
      <c r="A107" s="4" t="n">
        <v>46263</v>
      </c>
      <c r="B107" s="9">
        <f>IF(A107="","",IF(DAY(A107)&lt;=2,1,IF(DAY(A107)&lt;=9,2,IF(DAY(A107)&lt;=16,3,IF(DAY(A107)&lt;=23,4,5)))))</f>
        <v>5</v>
      </c>
      <c r="C107" s="9" t="inlineStr">
        <is>
          <t>MTA*NYCT PAYGO NEW YORK NY 08/27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 t="n">
        <v>3</v>
      </c>
      <c r="K107" s="9" t="inlineStr">
        <is>
          <t>8월 5주차; Chase Secure (...0119); Balance shown: $8,471.64</t>
        </is>
      </c>
    </row>
    <row r="108">
      <c r="A108" s="4" t="n">
        <v>46263</v>
      </c>
      <c r="B108" s="9">
        <f>IF(A108="","",IF(DAY(A108)&lt;=2,1,IF(DAY(A108)&lt;=9,2,IF(DAY(A108)&lt;=16,3,IF(DAY(A108)&lt;=23,4,5)))))</f>
        <v>5</v>
      </c>
      <c r="C108" s="9" t="inlineStr">
        <is>
          <t>TRADER JOE S #54 445 G NEW YORK NY 905886 08/28 (...0119)</t>
        </is>
      </c>
      <c r="D108" s="9" t="inlineStr">
        <is>
          <t>Trader Joe's</t>
        </is>
      </c>
      <c r="E108" s="9" t="inlineStr">
        <is>
          <t>Groceries</t>
        </is>
      </c>
      <c r="F108" s="9" t="inlineStr">
        <is>
          <t>Groceries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13</v>
      </c>
      <c r="K108" s="9" t="inlineStr">
        <is>
          <t>8월 5주차; Chase Secure (...0119); Balance shown: $8,458.64</t>
        </is>
      </c>
    </row>
    <row r="109">
      <c r="A109" s="4" t="n"/>
      <c r="B109" s="9">
        <f>IF(A109="","",IF(DAY(A109)&lt;=2,1,IF(DAY(A109)&lt;=9,2,IF(DAY(A109)&lt;=16,3,IF(DAY(A109)&lt;=23,4,5)))))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IF(A110="","",IF(DAY(A110)&lt;=2,1,IF(DAY(A110)&lt;=9,2,IF(DAY(A110)&lt;=16,3,IF(DAY(A110)&lt;=23,4,5)))))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IF(A111="","",IF(DAY(A111)&lt;=2,1,IF(DAY(A111)&lt;=9,2,IF(DAY(A111)&lt;=16,3,IF(DAY(A111)&lt;=23,4,5)))))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IF(A112="","",IF(DAY(A112)&lt;=2,1,IF(DAY(A112)&lt;=9,2,IF(DAY(A112)&lt;=16,3,IF(DAY(A112)&lt;=23,4,5)))))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IF(A113="","",IF(DAY(A113)&lt;=2,1,IF(DAY(A113)&lt;=9,2,IF(DAY(A113)&lt;=16,3,IF(DAY(A113)&lt;=23,4,5)))))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IF(A114="","",IF(DAY(A114)&lt;=2,1,IF(DAY(A114)&lt;=9,2,IF(DAY(A114)&lt;=16,3,IF(DAY(A114)&lt;=23,4,5)))))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IF(A115="","",IF(DAY(A115)&lt;=2,1,IF(DAY(A115)&lt;=9,2,IF(DAY(A115)&lt;=16,3,IF(DAY(A115)&lt;=23,4,5)))))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IF(A116="","",IF(DAY(A116)&lt;=2,1,IF(DAY(A116)&lt;=9,2,IF(DAY(A116)&lt;=16,3,IF(DAY(A116)&lt;=23,4,5)))))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IF(A117="","",IF(DAY(A117)&lt;=2,1,IF(DAY(A117)&lt;=9,2,IF(DAY(A117)&lt;=16,3,IF(DAY(A117)&lt;=23,4,5)))))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IF(A118="","",IF(DAY(A118)&lt;=2,1,IF(DAY(A118)&lt;=9,2,IF(DAY(A118)&lt;=16,3,IF(DAY(A118)&lt;=23,4,5)))))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IF(A119="","",IF(DAY(A119)&lt;=2,1,IF(DAY(A119)&lt;=9,2,IF(DAY(A119)&lt;=16,3,IF(DAY(A119)&lt;=23,4,5)))))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IF(A120="","",IF(DAY(A120)&lt;=2,1,IF(DAY(A120)&lt;=9,2,IF(DAY(A120)&lt;=16,3,IF(DAY(A120)&lt;=23,4,5)))))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