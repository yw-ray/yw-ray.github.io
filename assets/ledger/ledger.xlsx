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1578.00</v>
      </c>
      <c r="C14" s="3">
        <f>'Sep 2026'!$B$6</f>
        <v>2554.21</v>
      </c>
      <c r="D14" s="3">
        <f>'Sep 2026'!$B$7</f>
        <v>0</v>
      </c>
      <c r="E14" s="3">
        <f>'Sep 2026'!$B$8</f>
        <v>128.00</v>
      </c>
      <c r="F14" s="3">
        <f>'Sep 2026'!$B$9</f>
        <v>-976.21</v>
      </c>
      <c r="G14" s="3">
        <f>'Sep 2026'!$B$10</f>
        <v>7888.03</v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  <c r="G15" s="3">
        <f>'Oct 2026'!$B$10</f>
        <v>0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6566.00</v>
      </c>
      <c r="C18" s="3">
        <f>SUM(C6:C17)</f>
        <v>5295.77</v>
      </c>
      <c r="D18" s="3">
        <f>SUM(D6:D17)</f>
        <v>7300.0</v>
      </c>
      <c r="E18" s="3">
        <f>SUM(E6:E17)</f>
        <v>1828.00</v>
      </c>
      <c r="F18" s="3">
        <f>SUM(F6:F17)</f>
        <v>1270.23</v>
      </c>
      <c r="G18" s="3">
        <f>LOOKUP(2,1/(G6:G17&lt;&gt;0),G6:G17)</f>
        <v>7888.03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2200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-2200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117.91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-117.91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642.35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-642.35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705.47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-705.47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237.45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-237.45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440.82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-440.82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515.59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-515.59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100.01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-100.01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6566.00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6566.00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28.00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-28.00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7300</v>
      </c>
      <c r="E41" s="3">
        <f>C41+D41-B41</f>
        <v>7300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0.00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0.00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amounts; expense reimbursements use negative amounts to reduce the original category.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1578.00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2554.21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128.00</v>
      </c>
      <c r="D8" s="5" t="inlineStr">
        <is>
          <t>Groceries</t>
        </is>
      </c>
      <c r="E8" s="3">
        <f>SUMIFS($J$29:$J$528,$E$29:$E$528,$D8,$I$29:$I$528,"Expense")</f>
        <v>248.28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122.99</v>
      </c>
      <c r="J8" s="3">
        <f>SUMIFS($J$29:$J$528,$B$29:$B$528,3,$I$29:$I$528,"Income")</f>
        <v>30.00</v>
      </c>
      <c r="K8" s="3">
        <f>J8-I8</f>
        <v>-92.99</v>
      </c>
    </row>
    <row r="9">
      <c r="A9" s="5" t="inlineStr">
        <is>
          <t>Net Cash Flow</t>
        </is>
      </c>
      <c r="B9" s="3">
        <f>B5-B6</f>
        <v>-976.21</v>
      </c>
      <c r="D9" s="5" t="inlineStr">
        <is>
          <t>Dining</t>
        </is>
      </c>
      <c r="E9" s="3">
        <f>SUMIFS($J$29:$J$528,$E$29:$E$528,$D9,$I$29:$I$528,"Expense")</f>
        <v>355.46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418.47</v>
      </c>
      <c r="J9" s="3">
        <f>SUMIFS($J$29:$J$528,$B$29:$B$528,4,$I$29:$I$528,"Income")</f>
        <v>0</v>
      </c>
      <c r="K9" s="3">
        <f>J9-I9</f>
        <v>-418.47</v>
      </c>
    </row>
    <row r="10">
      <c r="A10" s="5" t="inlineStr">
        <is>
          <t>Current Balance</t>
        </is>
      </c>
      <c r="B10" s="3" t="n">
        <v>7888.03</v>
      </c>
      <c r="D10" s="5" t="inlineStr">
        <is>
          <t>Transportation</t>
        </is>
      </c>
      <c r="E10" s="3">
        <f>SUMIFS($J$29:$J$528,$E$29:$E$528,$D10,$I$29:$I$528,"Expense")</f>
        <v>127.00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0</v>
      </c>
      <c r="J10" s="3">
        <f>SUMIFS($J$29:$J$528,$B$29:$B$528,5,$I$29:$I$528,"Income")</f>
        <v>0</v>
      </c>
      <c r="K10" s="3">
        <f>J10-I10</f>
        <v>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  <c r="H11" s="5" t="inlineStr">
        <is>
          <t>Monthly Net</t>
        </is>
      </c>
      <c r="I11" s="3">
        <f>B6</f>
        <v>2554.21</v>
      </c>
      <c r="J11" s="3">
        <f>B5</f>
        <v>1578.00</v>
      </c>
      <c r="K11" s="3">
        <f>J11-I11</f>
        <v>-976.21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  <c r="H12" s="5" t="inlineStr">
        <is>
          <t>Includes rent</t>
        </is>
      </c>
    </row>
    <row r="13">
      <c r="A13" t="inlineStr" s="1">
        <is>
          <t>Zelle Alcohol Settlement</t>
        </is>
      </c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A14" t="inlineStr">
        <is>
          <t>Paid (+ expense)</t>
        </is>
      </c>
      <c r="B14" s="3">
        <f>SUMIFS($J$29:$J$528,$F$29:$F$528,"Alcohol settlement",$I$29:$I$528,"Expense",$J$29:$J$528,"&gt;0")</f>
        <v>46.36</v>
      </c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A15" t="inlineStr">
        <is>
          <t>Received (- expense)</t>
        </is>
      </c>
      <c r="B15" s="3">
        <f>SUMIFS($J$29:$J$528,$F$29:$F$528,"Alcohol settlement",$I$29:$I$528,"Expense",$J$29:$J$528,"&lt;0")</f>
        <v>-22</v>
      </c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A16" t="inlineStr">
        <is>
          <t>Net Alcohol Expense</t>
        </is>
      </c>
      <c r="B16" s="3">
        <f>SUM(B14:B15)</f>
        <v>24.36</v>
      </c>
      <c r="D16" s="5" t="inlineStr">
        <is>
          <t>Shopping</t>
        </is>
      </c>
      <c r="E16" s="3">
        <f>SUMIFS($J$29:$J$528,$E$29:$E$528,$D16,$I$29:$I$528,"Expense")</f>
        <v>362.50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182.77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1578.00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28.00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>
        <v>46281</v>
      </c>
      <c r="B82" s="9">
        <f>IF(A82="","",INT(DAY(A82)/7)+1)</f>
        <v>3</v>
      </c>
      <c r="C82" s="9" t="inlineStr">
        <is>
          <t>TRADER JOE S #54 445 G NEW YORK NY 401072 09/16 (...0119)</t>
        </is>
      </c>
      <c r="D82" s="9" t="inlineStr">
        <is>
          <t>Trader Joe's</t>
        </is>
      </c>
      <c r="E82" s="9" t="inlineStr">
        <is>
          <t>Groceries</t>
        </is>
      </c>
      <c r="F82" s="9" t="inlineStr">
        <is>
          <t>Groceries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42.36</v>
      </c>
      <c r="K82" s="9" t="inlineStr">
        <is>
          <t>9월 3주차; Chase Secure (...0119); Posted 2026-09-16; Balance shown: $8,302.71</t>
        </is>
      </c>
    </row>
    <row r="83">
      <c r="A83" s="4" t="n">
        <v>46281</v>
      </c>
      <c r="B83" s="9">
        <f>IF(A83="","",INT(DAY(A83)/7)+1)</f>
        <v>3</v>
      </c>
      <c r="C83" s="9" t="inlineStr">
        <is>
          <t>JACKPOT DEALS BROOKLYN NY 523449 09/16 (...0119)</t>
        </is>
      </c>
      <c r="D83" s="9" t="inlineStr">
        <is>
          <t>Jackpot Deals</t>
        </is>
      </c>
      <c r="E83" s="9" t="inlineStr">
        <is>
          <t>Shopping</t>
        </is>
      </c>
      <c r="F83" s="9" t="inlineStr">
        <is>
          <t>Retail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5.43</v>
      </c>
      <c r="K83" s="9" t="inlineStr">
        <is>
          <t>9월 3주차; Chase Secure (...0119); Posted 2026-09-16; Balance shown: $8,345.07</t>
        </is>
      </c>
    </row>
    <row r="84">
      <c r="A84" s="4" t="n">
        <v>46281</v>
      </c>
      <c r="B84" s="9">
        <f>IF(A84="","",INT(DAY(A84)/7)+1)</f>
        <v>3</v>
      </c>
      <c r="C84" s="9" t="inlineStr">
        <is>
          <t>H MART NEW YORK NY 09/15 (...0119)</t>
        </is>
      </c>
      <c r="D84" s="9" t="inlineStr">
        <is>
          <t>H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12.95</v>
      </c>
      <c r="K84" s="9" t="inlineStr">
        <is>
          <t>9월 3주차; Chase Secure (...0119); Posted 2026-09-16; Balance shown: $8,350.50</t>
        </is>
      </c>
    </row>
    <row r="85">
      <c r="A85" s="4" t="n">
        <v>46281</v>
      </c>
      <c r="B85" s="9">
        <f>IF(A85="","",INT(DAY(A85)/7)+1)</f>
        <v>3</v>
      </c>
      <c r="C85" s="9" t="inlineStr">
        <is>
          <t>MTA*NYCT PAYGO NEW YORK NY 09/15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3.00</v>
      </c>
      <c r="K85" s="9" t="inlineStr">
        <is>
          <t>9월 3주차; Chase Secure (...0119); Posted 2026-09-16; Balance shown: $8,363.45</t>
        </is>
      </c>
    </row>
    <row r="86">
      <c r="A86" s="4" t="n">
        <v>46281</v>
      </c>
      <c r="B86" s="9">
        <f>IF(A86="","",INT(DAY(A86)/7)+1)</f>
        <v>3</v>
      </c>
      <c r="C86" s="9" t="inlineStr">
        <is>
          <t>TOPIA NEWS STAND BROOKLYN NY 09/15 (...0119)</t>
        </is>
      </c>
      <c r="D86" s="9" t="inlineStr">
        <is>
          <t>Topia News Stand</t>
        </is>
      </c>
      <c r="E86" s="9" t="inlineStr">
        <is>
          <t>Shopping</t>
        </is>
      </c>
      <c r="F86" s="9" t="inlineStr">
        <is>
          <t>Newsstand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22.86</v>
      </c>
      <c r="K86" s="9" t="inlineStr">
        <is>
          <t>9월 3주차; Chase Secure (...0119); Posted 2026-09-16; Balance shown: $8,366.45; Category inferred from merchant</t>
        </is>
      </c>
    </row>
    <row r="87">
      <c r="A87" s="4" t="n">
        <v>46281</v>
      </c>
      <c r="B87" s="9">
        <f>IF(A87="","",INT(DAY(A87)/7)+1)</f>
        <v>3</v>
      </c>
      <c r="C87" s="9" t="inlineStr">
        <is>
          <t>FIVE GUYS NY 1258 QSR BROOKLYN NY 09/15 (...0119)</t>
        </is>
      </c>
      <c r="D87" s="9" t="inlineStr">
        <is>
          <t>Five Guys</t>
        </is>
      </c>
      <c r="E87" s="9" t="inlineStr">
        <is>
          <t>Dining</t>
        </is>
      </c>
      <c r="F87" s="9" t="inlineStr">
        <is>
          <t>Fast food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15.18</v>
      </c>
      <c r="K87" s="9" t="inlineStr">
        <is>
          <t>9월 3주차; Chase Secure (...0119); Posted 2026-09-16; Balance shown: $8,389.31</t>
        </is>
      </c>
    </row>
    <row r="88">
      <c r="A88" s="4" t="n">
        <v>46281</v>
      </c>
      <c r="B88" s="9">
        <f>IF(A88="","",INT(DAY(A88)/7)+1)</f>
        <v>3</v>
      </c>
      <c r="C88" s="9" t="inlineStr">
        <is>
          <t>MTA*NYCT PAYGO NEW YORK NY 09/15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3.00</v>
      </c>
      <c r="K88" s="9" t="inlineStr">
        <is>
          <t>9월 3주차; Chase Secure (...0119); Posted 2026-09-16; Balance shown: $8,404.49</t>
        </is>
      </c>
    </row>
    <row r="89">
      <c r="A89" s="4">
        <v>46282</v>
      </c>
      <c r="B89" s="9">
        <f>IF(A89="","",INT(DAY(A89)/7)+1)</f>
        <v>3</v>
      </c>
      <c r="C89" s="9" t="inlineStr">
        <is>
          <t>MTA*NYCT PAYGO NEW YORK NY 09/16 (...0119)</t>
        </is>
      </c>
      <c r="D89" s="9" t="inlineStr">
        <is>
          <t>MTA NYCT Paygo</t>
        </is>
      </c>
      <c r="E89" s="9" t="inlineStr">
        <is>
          <t>Transportation</t>
        </is>
      </c>
      <c r="F89" s="9" t="inlineStr">
        <is>
          <t>Public transit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3.00</v>
      </c>
      <c r="K89" s="9" t="inlineStr">
        <is>
          <t>9월 3주차; Chase Secure (...0119); Posted 2026-09-17; Balance shown: $8,296.71</t>
        </is>
      </c>
    </row>
    <row r="90">
      <c r="A90" s="4">
        <v>46282</v>
      </c>
      <c r="B90" s="9">
        <f>IF(A90="","",INT(DAY(A90)/7)+1)</f>
        <v>3</v>
      </c>
      <c r="C90" s="9" t="inlineStr">
        <is>
          <t>MTA*NYCT PAYGO NEW YORK NY 09/16 (...0119)</t>
        </is>
      </c>
      <c r="D90" s="9" t="inlineStr">
        <is>
          <t>MTA NYCT Paygo</t>
        </is>
      </c>
      <c r="E90" s="9" t="inlineStr">
        <is>
          <t>Transportation</t>
        </is>
      </c>
      <c r="F90" s="9" t="inlineStr">
        <is>
          <t>Public transit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3.00</v>
      </c>
      <c r="K90" s="9" t="inlineStr">
        <is>
          <t>9월 3주차; Chase Secure (...0119); Posted 2026-09-17; Balance shown: $8,299.71</t>
        </is>
      </c>
    </row>
    <row r="91">
      <c r="A91" s="4">
        <v>46283</v>
      </c>
      <c r="B91" s="9">
        <f>IF(A91="","",INT(DAY(A91)/7)+1)</f>
        <v>3</v>
      </c>
      <c r="C91" s="9" t="inlineStr">
        <is>
          <t>MTA*NYCT PAYGO NEW YORK NY 09/17 (...0119)</t>
        </is>
      </c>
      <c r="D91" s="9" t="inlineStr">
        <is>
          <t>MTA NYCT Paygo</t>
        </is>
      </c>
      <c r="E91" s="9" t="inlineStr">
        <is>
          <t>Transportation</t>
        </is>
      </c>
      <c r="F91" s="9" t="inlineStr">
        <is>
          <t>Public transit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3.00</v>
      </c>
      <c r="K91" s="9" t="inlineStr">
        <is>
          <t>9월 3주차; Chase Secure (...0119); Posted 2026-09-18; Balance shown: $8,284.50</t>
        </is>
      </c>
    </row>
    <row r="92">
      <c r="A92" s="4">
        <v>46283</v>
      </c>
      <c r="B92" s="9">
        <f>IF(A92="","",INT(DAY(A92)/7)+1)</f>
        <v>3</v>
      </c>
      <c r="C92" s="9" t="inlineStr">
        <is>
          <t>MTA*NYCT PAYGO NEW YORK NY 09/17 (...0119)</t>
        </is>
      </c>
      <c r="D92" s="9" t="inlineStr">
        <is>
          <t>MTA NYCT Paygo</t>
        </is>
      </c>
      <c r="E92" s="9" t="inlineStr">
        <is>
          <t>Transportation</t>
        </is>
      </c>
      <c r="F92" s="9" t="inlineStr">
        <is>
          <t>Public transit</t>
        </is>
      </c>
      <c r="G92" s="9" t="inlineStr">
        <is>
          <t>Checking</t>
        </is>
      </c>
      <c r="H92" s="9" t="inlineStr">
        <is>
          <t>Debit Card</t>
        </is>
      </c>
      <c r="I92" s="9" t="inlineStr">
        <is>
          <t>Expense</t>
        </is>
      </c>
      <c r="J92" s="3">
        <v>3.00</v>
      </c>
      <c r="K92" s="9" t="inlineStr">
        <is>
          <t>9월 3주차; Chase Secure (...0119); Posted 2026-09-18; Balance shown: $8,287.50</t>
        </is>
      </c>
    </row>
    <row r="93">
      <c r="A93" s="4">
        <v>46283</v>
      </c>
      <c r="B93" s="9">
        <f>IF(A93="","",INT(DAY(A93)/7)+1)</f>
        <v>3</v>
      </c>
      <c r="C93" s="9" t="inlineStr">
        <is>
          <t>99 CENT SUPREME PIZZA BROOKLYN NY 09/16 (...0119)</t>
        </is>
      </c>
      <c r="D93" s="9" t="inlineStr">
        <is>
          <t>99 Cent Supreme Pizza</t>
        </is>
      </c>
      <c r="E93" s="9" t="inlineStr">
        <is>
          <t>Dining</t>
        </is>
      </c>
      <c r="F93" s="9" t="inlineStr">
        <is>
          <t>Restaurant/Pizza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>
        <v>6.21</v>
      </c>
      <c r="K93" s="9" t="inlineStr">
        <is>
          <t>9월 3주차; Chase Secure (...0119); Posted 2026-09-18; Balance shown: $8,290.50</t>
        </is>
      </c>
    </row>
    <row r="94">
      <c r="A94" s="4">
        <v>46286</v>
      </c>
      <c r="B94" s="9">
        <f>IF(A94="","",INT(DAY(A94)/7)+1)</f>
        <v>4</v>
      </c>
      <c r="C94" s="9" t="inlineStr">
        <is>
          <t>Zelle payment to chefp095 30897691612</t>
        </is>
      </c>
      <c r="D94" s="9" t="inlineStr">
        <is>
          <t>chefp095</t>
        </is>
      </c>
      <c r="E94" s="9" t="inlineStr">
        <is>
          <t>Dining</t>
        </is>
      </c>
      <c r="F94" s="9" t="inlineStr">
        <is>
          <t>Alcohol settlement</t>
        </is>
      </c>
      <c r="G94" s="9" t="inlineStr">
        <is>
          <t>Checking</t>
        </is>
      </c>
      <c r="H94" s="9" t="inlineStr">
        <is>
          <t>Venmo/Zelle/PayPal</t>
        </is>
      </c>
      <c r="I94" s="9" t="inlineStr">
        <is>
          <t>Expense</t>
        </is>
      </c>
      <c r="J94" s="3">
        <v>18.68</v>
      </c>
      <c r="K94" s="9" t="inlineStr">
        <is>
          <t>9월 4주차; Chase Secure (...0119); Posted 2026-09-21; Balance shown: $8,039.59; 술값 정산; Alcohol expense</t>
        </is>
      </c>
    </row>
    <row r="95">
      <c r="A95" s="4">
        <v>46286</v>
      </c>
      <c r="B95" s="9">
        <f>IF(A95="","",INT(DAY(A95)/7)+1)</f>
        <v>4</v>
      </c>
      <c r="C95" s="9" t="inlineStr">
        <is>
          <t>KENKA RESTAURANT 212-2546363 NY 09/20 (...0119)</t>
        </is>
      </c>
      <c r="D95" s="9" t="inlineStr">
        <is>
          <t>KENKA RESTAURANT 212-2546363 NY 09/20 (...0119)</t>
        </is>
      </c>
      <c r="E95" s="9" t="inlineStr">
        <is>
          <t>Dining</t>
        </is>
      </c>
      <c r="F95" s="9" t="inlineStr">
        <is>
          <t>Restaurant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>
        <v>50.00</v>
      </c>
      <c r="K95" s="9" t="inlineStr">
        <is>
          <t>9월 4주차; Chase Secure (...0119); Posted 2026-09-21; Balance shown: $8,058.27</t>
        </is>
      </c>
    </row>
    <row r="96">
      <c r="A96" s="4">
        <v>46286</v>
      </c>
      <c r="B96" s="9">
        <f>IF(A96="","",INT(DAY(A96)/7)+1)</f>
        <v>4</v>
      </c>
      <c r="C96" s="9" t="inlineStr">
        <is>
          <t>Zelle payment to ROCKWON SEO JPM99cx86i2u</t>
        </is>
      </c>
      <c r="D96" s="9" t="inlineStr">
        <is>
          <t>ROCKWON SEO</t>
        </is>
      </c>
      <c r="E96" s="9" t="inlineStr">
        <is>
          <t>Dining</t>
        </is>
      </c>
      <c r="F96" s="9" t="inlineStr">
        <is>
          <t>Alcohol settlement</t>
        </is>
      </c>
      <c r="G96" s="9" t="inlineStr">
        <is>
          <t>Checking</t>
        </is>
      </c>
      <c r="H96" s="9" t="inlineStr">
        <is>
          <t>Venmo/Zelle/PayPal</t>
        </is>
      </c>
      <c r="I96" s="9" t="inlineStr">
        <is>
          <t>Expense</t>
        </is>
      </c>
      <c r="J96" s="3">
        <v>23.22</v>
      </c>
      <c r="K96" s="9" t="inlineStr">
        <is>
          <t>9월 4주차; Chase Secure (...0119); Posted 2026-09-21; Balance shown: $8,108.27; 술값 정산; Alcohol expense</t>
        </is>
      </c>
    </row>
    <row r="97">
      <c r="A97" s="4">
        <v>46286</v>
      </c>
      <c r="B97" s="9">
        <f>IF(A97="","",INT(DAY(A97)/7)+1)</f>
        <v>4</v>
      </c>
      <c r="C97" s="9" t="inlineStr">
        <is>
          <t>Zelle payment to JI HOON PARK JPM99cx86a98</t>
        </is>
      </c>
      <c r="D97" s="9" t="inlineStr">
        <is>
          <t>JI HOON PARK</t>
        </is>
      </c>
      <c r="E97" s="9" t="inlineStr">
        <is>
          <t>Dining</t>
        </is>
      </c>
      <c r="F97" s="9" t="inlineStr">
        <is>
          <t>Alcohol settlement</t>
        </is>
      </c>
      <c r="G97" s="9" t="inlineStr">
        <is>
          <t>Checking</t>
        </is>
      </c>
      <c r="H97" s="9" t="inlineStr">
        <is>
          <t>Venmo/Zelle/PayPal</t>
        </is>
      </c>
      <c r="I97" s="9" t="inlineStr">
        <is>
          <t>Expense</t>
        </is>
      </c>
      <c r="J97" s="3">
        <v>4.46</v>
      </c>
      <c r="K97" s="9" t="inlineStr">
        <is>
          <t>9월 4주차; Chase Secure (...0119); Posted 2026-09-21; Balance shown: $8,131.49; 술값 정산; Alcohol expense</t>
        </is>
      </c>
    </row>
    <row r="98">
      <c r="A98" s="4">
        <v>46286</v>
      </c>
      <c r="B98" s="9">
        <f>IF(A98="","",INT(DAY(A98)/7)+1)</f>
        <v>4</v>
      </c>
      <c r="C98" s="9" t="inlineStr">
        <is>
          <t>ON THE RUN FOOD TRUCK NORTH BERGEN NJ 09/20 (...0119)</t>
        </is>
      </c>
      <c r="D98" s="9" t="inlineStr">
        <is>
          <t>ON THE RUN FOOD TRUCK NORTH BERGEN NJ 09/20 (...0119)</t>
        </is>
      </c>
      <c r="E98" s="9" t="inlineStr">
        <is>
          <t>Dining</t>
        </is>
      </c>
      <c r="F98" s="9" t="inlineStr">
        <is>
          <t>Restaurant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>
        <v>3.27</v>
      </c>
      <c r="K98" s="9" t="inlineStr">
        <is>
          <t>9월 4주차; Chase Secure (...0119); Posted 2026-09-21; Balance shown: $8,135.95</t>
        </is>
      </c>
    </row>
    <row r="99">
      <c r="A99" s="4">
        <v>46286</v>
      </c>
      <c r="B99" s="9">
        <f>IF(A99="","",INT(DAY(A99)/7)+1)</f>
        <v>4</v>
      </c>
      <c r="C99" s="9" t="inlineStr">
        <is>
          <t>TST* 7TH STREET BURGER NEW YORK NY 09/21 (...0119)</t>
        </is>
      </c>
      <c r="D99" s="9" t="inlineStr">
        <is>
          <t>TST* 7TH STREET BURGER</t>
        </is>
      </c>
      <c r="E99" s="9" t="inlineStr">
        <is>
          <t>Dining</t>
        </is>
      </c>
      <c r="F99" s="9" t="inlineStr">
        <is>
          <t>Restaurant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>
        <v>28.86</v>
      </c>
      <c r="K99" s="9" t="inlineStr">
        <is>
          <t>9월 4주차; Chase Secure (...0119); Posted 2026-09-21; Balance shown: $8,139.22</t>
        </is>
      </c>
    </row>
    <row r="100">
      <c r="A100" s="4">
        <v>46286</v>
      </c>
      <c r="B100" s="9">
        <f>IF(A100="","",INT(DAY(A100)/7)+1)</f>
        <v>4</v>
      </c>
      <c r="C100" s="9" t="inlineStr">
        <is>
          <t>MTA*NYCT PAYGO NEW YORK NY 09/20 (...0119)</t>
        </is>
      </c>
      <c r="D100" s="9" t="inlineStr">
        <is>
          <t>MTA NYCT Paygo</t>
        </is>
      </c>
      <c r="E100" s="9" t="inlineStr">
        <is>
          <t>Transportation</t>
        </is>
      </c>
      <c r="F100" s="9" t="inlineStr">
        <is>
          <t>Public transit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>
        <v>2.00</v>
      </c>
      <c r="K100" s="9" t="inlineStr">
        <is>
          <t>9월 4주차; Chase Secure (...0119); Posted 2026-09-21; Balance shown: $8,168.08</t>
        </is>
      </c>
    </row>
    <row r="101">
      <c r="A101" s="4">
        <v>46286</v>
      </c>
      <c r="B101" s="9">
        <f>IF(A101="","",INT(DAY(A101)/7)+1)</f>
        <v>4</v>
      </c>
      <c r="C101" s="9" t="inlineStr">
        <is>
          <t>MTA*NYCT PAYGO NEW YORK NY 09/19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>
        <v>3.00</v>
      </c>
      <c r="K101" s="9" t="inlineStr">
        <is>
          <t>9월 4주차; Chase Secure (...0119); Posted 2026-09-21; Balance shown: $8,170.08</t>
        </is>
      </c>
    </row>
    <row r="102">
      <c r="A102" s="4">
        <v>46286</v>
      </c>
      <c r="B102" s="9">
        <f>IF(A102="","",INT(DAY(A102)/7)+1)</f>
        <v>4</v>
      </c>
      <c r="C102" s="9" t="inlineStr">
        <is>
          <t>MTA*NYCT PAYGO NEW YORK NY 09/19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>
        <v>3.00</v>
      </c>
      <c r="K102" s="9" t="inlineStr">
        <is>
          <t>9월 4주차; Chase Secure (...0119); Posted 2026-09-21; Balance shown: $8,173.08</t>
        </is>
      </c>
    </row>
    <row r="103">
      <c r="A103" s="4">
        <v>46286</v>
      </c>
      <c r="B103" s="9">
        <f>IF(A103="","",INT(DAY(A103)/7)+1)</f>
        <v>4</v>
      </c>
      <c r="C103" s="9" t="inlineStr">
        <is>
          <t>CUTE GIFTS &amp; CONVENIENC NEW YORK NY 09/19 (...0119)</t>
        </is>
      </c>
      <c r="D103" s="9" t="inlineStr">
        <is>
          <t>CUTE GIFTS &amp; CONVENIENC</t>
        </is>
      </c>
      <c r="E103" s="9" t="inlineStr">
        <is>
          <t>Shopping</t>
        </is>
      </c>
      <c r="F103" s="9" t="inlineStr">
        <is>
          <t>Convenience store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>
        <v>5.20</v>
      </c>
      <c r="K103" s="9" t="inlineStr">
        <is>
          <t>9월 4주차; Chase Secure (...0119); Posted 2026-09-21; Balance shown: $8,176.08; Category inferred from merchant</t>
        </is>
      </c>
    </row>
    <row r="104">
      <c r="A104" s="4">
        <v>46286</v>
      </c>
      <c r="B104" s="9">
        <f>IF(A104="","",INT(DAY(A104)/7)+1)</f>
        <v>4</v>
      </c>
      <c r="C104" s="9" t="inlineStr">
        <is>
          <t>MTA*NYCT PAYGO NEW YORK NY 09/19 (...0119)</t>
        </is>
      </c>
      <c r="D104" s="9" t="inlineStr">
        <is>
          <t>MTA NYCT Paygo</t>
        </is>
      </c>
      <c r="E104" s="9" t="inlineStr">
        <is>
          <t>Transportation</t>
        </is>
      </c>
      <c r="F104" s="9" t="inlineStr">
        <is>
          <t>Public transit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>
        <v>3.00</v>
      </c>
      <c r="K104" s="9" t="inlineStr">
        <is>
          <t>9월 4주차; Chase Secure (...0119); Posted 2026-09-21; Balance shown: $8,181.28</t>
        </is>
      </c>
    </row>
    <row r="105">
      <c r="A105" s="4">
        <v>46286</v>
      </c>
      <c r="B105" s="9">
        <f>IF(A105="","",INT(DAY(A105)/7)+1)</f>
        <v>4</v>
      </c>
      <c r="C105" s="9" t="inlineStr">
        <is>
          <t>KODACHAYA 1ST FLOOR 131-27305592 NY 09/19 (...0119)</t>
        </is>
      </c>
      <c r="D105" s="9" t="inlineStr">
        <is>
          <t>KODACHAYA 1ST FLOOR 131-27305592 NY 09/19 (...0119)</t>
        </is>
      </c>
      <c r="E105" s="9" t="inlineStr">
        <is>
          <t>Dining</t>
        </is>
      </c>
      <c r="F105" s="9" t="inlineStr">
        <is>
          <t>Restaurant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>
        <v>42.47</v>
      </c>
      <c r="K105" s="9" t="inlineStr">
        <is>
          <t>9월 4주차; Chase Secure (...0119); Posted 2026-09-21; Balance shown: $8,184.28</t>
        </is>
      </c>
    </row>
    <row r="106">
      <c r="A106" s="4">
        <v>46286</v>
      </c>
      <c r="B106" s="9">
        <f>IF(A106="","",INT(DAY(A106)/7)+1)</f>
        <v>4</v>
      </c>
      <c r="C106" s="9" t="inlineStr">
        <is>
          <t>KODACHAYA 1ST FLOOR POS.CHOWBUS.C NY 09/19 (...0119)</t>
        </is>
      </c>
      <c r="D106" s="9" t="inlineStr">
        <is>
          <t>KODACHAYA 1ST FLOOR POS.CHOWBUS.C NY 09/19 (...0119)</t>
        </is>
      </c>
      <c r="E106" s="9" t="inlineStr">
        <is>
          <t>Dining</t>
        </is>
      </c>
      <c r="F106" s="9" t="inlineStr">
        <is>
          <t>Restaurant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>
        <v>26.20</v>
      </c>
      <c r="K106" s="9" t="inlineStr">
        <is>
          <t>9월 4주차; Chase Secure (...0119); Posted 2026-09-21; Balance shown: $8,226.75</t>
        </is>
      </c>
    </row>
    <row r="107">
      <c r="A107" s="4">
        <v>46286</v>
      </c>
      <c r="B107" s="9">
        <f>IF(A107="","",INT(DAY(A107)/7)+1)</f>
        <v>4</v>
      </c>
      <c r="C107" s="9" t="inlineStr">
        <is>
          <t>MTA*NYCT PAYGO NEW YORK NY 09/18 (...0119)</t>
        </is>
      </c>
      <c r="D107" s="9" t="inlineStr">
        <is>
          <t>MTA NYCT Paygo</t>
        </is>
      </c>
      <c r="E107" s="9" t="inlineStr">
        <is>
          <t>Transportation</t>
        </is>
      </c>
      <c r="F107" s="9" t="inlineStr">
        <is>
          <t>Public transit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>
        <v>3.00</v>
      </c>
      <c r="K107" s="9" t="inlineStr">
        <is>
          <t>9월 4주차; Chase Secure (...0119); Posted 2026-09-21; Balance shown: $8,252.95</t>
        </is>
      </c>
    </row>
    <row r="108">
      <c r="A108" s="4">
        <v>46286</v>
      </c>
      <c r="B108" s="9">
        <f>IF(A108="","",INT(DAY(A108)/7)+1)</f>
        <v>4</v>
      </c>
      <c r="C108" s="9" t="inlineStr">
        <is>
          <t>TOPIA NEWS STAND BROOKLYN NY 09/18 (...0119)</t>
        </is>
      </c>
      <c r="D108" s="9" t="inlineStr">
        <is>
          <t>Topia News Stand</t>
        </is>
      </c>
      <c r="E108" s="9" t="inlineStr">
        <is>
          <t>Shopping</t>
        </is>
      </c>
      <c r="F108" s="9" t="inlineStr">
        <is>
          <t>Newsstand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>
        <v>30.49</v>
      </c>
      <c r="K108" s="9" t="inlineStr">
        <is>
          <t>9월 4주차; Chase Secure (...0119); Posted 2026-09-21; Balance shown: $8,255.95; Category inferred from merchant</t>
        </is>
      </c>
    </row>
    <row r="109">
      <c r="A109" s="4">
        <v>46286</v>
      </c>
      <c r="B109" s="9">
        <f>IF(A109="","",INT(DAY(A109)/7)+1)</f>
        <v>4</v>
      </c>
      <c r="C109" s="9" t="inlineStr">
        <is>
          <t>99 CENT SUPREME PIZZA BROOKLYN NY 09/18 (...0119)</t>
        </is>
      </c>
      <c r="D109" s="9" t="inlineStr">
        <is>
          <t>99 Cent Supreme Pizza</t>
        </is>
      </c>
      <c r="E109" s="9" t="inlineStr">
        <is>
          <t>Dining</t>
        </is>
      </c>
      <c r="F109" s="9" t="inlineStr">
        <is>
          <t>Restaurant/Pizza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>
        <v>3.67</v>
      </c>
      <c r="K109" s="9" t="inlineStr">
        <is>
          <t>9월 4주차; Chase Secure (...0119); Posted 2026-09-21; Balance shown: $8,286.44</t>
        </is>
      </c>
    </row>
    <row r="110">
      <c r="A110" s="4">
        <v>46286</v>
      </c>
      <c r="B110" s="9">
        <f>IF(A110="","",INT(DAY(A110)/7)+1)</f>
        <v>4</v>
      </c>
      <c r="C110" s="9" t="inlineStr">
        <is>
          <t>MTA*NYCT PAYGO NEW YORK NY 09/18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>
        <v>3.00</v>
      </c>
      <c r="K110" s="9" t="inlineStr">
        <is>
          <t>9월 4주차; Chase Secure (...0119); Posted 2026-09-21; Balance shown: $8,290.11</t>
        </is>
      </c>
    </row>
    <row r="111">
      <c r="A111" s="4">
        <v>46286</v>
      </c>
      <c r="B111" s="9">
        <f>IF(A111="","",INT(DAY(A111)/7)+1)</f>
        <v>4</v>
      </c>
      <c r="C111" s="9" t="inlineStr">
        <is>
          <t>KAMSA KAMSAUS.ORG NY 09/18 (...0119)</t>
        </is>
      </c>
      <c r="D111" s="9" t="inlineStr">
        <is>
          <t>KAMSA</t>
        </is>
      </c>
      <c r="E111" s="9" t="inlineStr">
        <is>
          <t>Entertainment</t>
        </is>
      </c>
      <c r="F111" s="9" t="inlineStr">
        <is>
          <t>Social event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>
        <v>10.00</v>
      </c>
      <c r="K111" s="9" t="inlineStr">
        <is>
          <t>9월 4주차; Chase Secure (...0119); Posted 2026-09-21; Balance shown: $8,293.11; Social event attendance (user confirmed)</t>
        </is>
      </c>
    </row>
    <row r="112">
      <c r="A112" s="4">
        <v>46286</v>
      </c>
      <c r="B112" s="9">
        <f>IF(A112="","",INT(DAY(A112)/7)+1)</f>
        <v>4</v>
      </c>
      <c r="C112" s="9" t="inlineStr">
        <is>
          <t>99 CENT SUPREME PIZZA BROOKLYN NY 09/17 (...0119)</t>
        </is>
      </c>
      <c r="D112" s="9" t="inlineStr">
        <is>
          <t>99 Cent Supreme Pizza</t>
        </is>
      </c>
      <c r="E112" s="9" t="inlineStr">
        <is>
          <t>Dining</t>
        </is>
      </c>
      <c r="F112" s="9" t="inlineStr">
        <is>
          <t>Restaurant/Pizza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>
        <v>3.39</v>
      </c>
      <c r="K112" s="9" t="inlineStr">
        <is>
          <t>9월 4주차; Chase Secure (...0119); Posted 2026-09-21; Balance shown: $8,303.11</t>
        </is>
      </c>
    </row>
    <row r="113">
      <c r="A113" s="4">
        <v>46286</v>
      </c>
      <c r="B113" s="9">
        <f>IF(A113="","",INT(DAY(A113)/7)+1)</f>
        <v>4</v>
      </c>
      <c r="C113" s="9" t="inlineStr">
        <is>
          <t>Zelle payment from EUN YEOB YEO 30882320902</t>
        </is>
      </c>
      <c r="D113" s="9" t="inlineStr">
        <is>
          <t>EUN YEOB YEO</t>
        </is>
      </c>
      <c r="E113" s="9" t="inlineStr">
        <is>
          <t>Dining</t>
        </is>
      </c>
      <c r="F113" s="9" t="inlineStr">
        <is>
          <t>Alcohol settlement</t>
        </is>
      </c>
      <c r="G113" s="9" t="inlineStr">
        <is>
          <t>Checking</t>
        </is>
      </c>
      <c r="H113" s="9" t="inlineStr">
        <is>
          <t>Venmo/Zelle/PayPal</t>
        </is>
      </c>
      <c r="I113" s="9" t="inlineStr">
        <is>
          <t>Expense</t>
        </is>
      </c>
      <c r="J113" s="3">
        <v>-22.00</v>
      </c>
      <c r="K113" s="9" t="inlineStr">
        <is>
          <t>9월 4주차; Chase Secure (...0119); Posted 2026-09-21; Balance shown: $8,306.50; 술값 정산; Reimbursement reduces alcohol expenses; not income</t>
        </is>
      </c>
    </row>
    <row r="114">
      <c r="A114" s="4" t="n">
        <v>46287</v>
      </c>
      <c r="B114" s="9">
        <f>IF(A114="","",INT(DAY(A114)/7)+1)</f>
        <v>4</v>
      </c>
      <c r="C114" s="9" t="inlineStr">
        <is>
          <t>SQ *ADAM79ST NEW YORK NY 09/21 (...0119)</t>
        </is>
      </c>
      <c r="D114" s="9" t="inlineStr">
        <is>
          <t>ADAM79ST</t>
        </is>
      </c>
      <c r="E114" s="9" t="inlineStr">
        <is>
          <t>Dining</t>
        </is>
      </c>
      <c r="F114" s="9" t="inlineStr">
        <is>
          <t>Unspecified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4.60</v>
      </c>
      <c r="K114" s="9" t="inlineStr">
        <is>
          <t>9월 4주차; Chase Secure (...0119); Posted 2026-09-22; Balance shown: $8,056.99; Category inferred from merchant; purpose unconfirmed</t>
        </is>
      </c>
    </row>
    <row r="115">
      <c r="A115" s="4" t="n">
        <v>46287</v>
      </c>
      <c r="B115" s="9">
        <f>IF(A115="","",INT(DAY(A115)/7)+1)</f>
        <v>4</v>
      </c>
      <c r="C115" s="9" t="inlineStr">
        <is>
          <t>VENMO CASHOUT PPD ID: 5264681992</t>
        </is>
      </c>
      <c r="D115" s="9" t="inlineStr">
        <is>
          <t>Venmo</t>
        </is>
      </c>
      <c r="E115" s="9" t="inlineStr">
        <is>
          <t>Transfers</t>
        </is>
      </c>
      <c r="F115" s="9" t="inlineStr">
        <is>
          <t>Cashout</t>
        </is>
      </c>
      <c r="G115" s="9" t="inlineStr">
        <is>
          <t>Checking</t>
        </is>
      </c>
      <c r="H115" s="9" t="inlineStr">
        <is>
          <t>ACH</t>
        </is>
      </c>
      <c r="I115" s="9" t="inlineStr">
        <is>
          <t>Transfer</t>
        </is>
      </c>
      <c r="J115" s="3" t="n">
        <v>22.00</v>
      </c>
      <c r="K115" s="9" t="inlineStr">
        <is>
          <t>9월 4주차; Chase Secure (...0119); Posted 2026-09-22; Balance shown: $8,061.59; Venmo cashout to Checking; treated as account transfer, not income; underlying purpose unconfirmed.</t>
        </is>
      </c>
    </row>
    <row r="116">
      <c r="A116" s="4" t="n">
        <v>46288</v>
      </c>
      <c r="B116" s="9">
        <f>IF(A116="","",INT(DAY(A116)/7)+1)</f>
        <v>4</v>
      </c>
      <c r="C116" s="9" t="inlineStr">
        <is>
          <t>MTA*NYCT PAYGO NEW YORK NY 09/22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3.00</v>
      </c>
      <c r="K116" s="9" t="inlineStr">
        <is>
          <t>9월 4주차; Chase Secure (...0119); Posted 2026-09-23; Balance shown: $7,979.02</t>
        </is>
      </c>
    </row>
    <row r="117">
      <c r="A117" s="4" t="n">
        <v>46288</v>
      </c>
      <c r="B117" s="9">
        <f>IF(A117="","",INT(DAY(A117)/7)+1)</f>
        <v>4</v>
      </c>
      <c r="C117" s="9" t="inlineStr">
        <is>
          <t>TST*SAPERAVI - SMB POS New York NY 09/22 (...0119)</t>
        </is>
      </c>
      <c r="D117" s="9" t="inlineStr">
        <is>
          <t>Saperavi</t>
        </is>
      </c>
      <c r="E117" s="9" t="inlineStr">
        <is>
          <t>Dining</t>
        </is>
      </c>
      <c r="F117" s="9" t="inlineStr">
        <is>
          <t>Shared meal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108.44</v>
      </c>
      <c r="K117" s="9" t="inlineStr">
        <is>
          <t>9월 4주차; Chase Secure (...0119); Posted 2026-09-23; Balance shown: $7,982.02; Paid $108.44 for 2 people on 2026-09-22; $46.00 reimbursed by SUNG HEE JUNG via Zelle BACo2fokowb5 on 2026-09-23; own share $62.44. Reimbursement recorded separately as negative Dining expense.</t>
        </is>
      </c>
    </row>
    <row r="118">
      <c r="A118" s="4" t="n">
        <v>46288</v>
      </c>
      <c r="B118" s="9">
        <f>IF(A118="","",INT(DAY(A118)/7)+1)</f>
        <v>4</v>
      </c>
      <c r="C118" s="9" t="inlineStr">
        <is>
          <t>MTA*NYCT PAYGO NEW YORK NY 09/22 (...0119)</t>
        </is>
      </c>
      <c r="D118" s="9" t="inlineStr">
        <is>
          <t>MTA NYCT Paygo</t>
        </is>
      </c>
      <c r="E118" s="9" t="inlineStr">
        <is>
          <t>Transportation</t>
        </is>
      </c>
      <c r="F118" s="9" t="inlineStr">
        <is>
          <t>Public transit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3.00</v>
      </c>
      <c r="K118" s="9" t="inlineStr">
        <is>
          <t>9월 4주차; Chase Secure (...0119); Posted 2026-09-23; Balance shown: $8,090.46</t>
        </is>
      </c>
    </row>
    <row r="119">
      <c r="A119" s="4" t="n">
        <v>46288</v>
      </c>
      <c r="B119" s="9">
        <f>IF(A119="","",INT(DAY(A119)/7)+1)</f>
        <v>4</v>
      </c>
      <c r="C119" s="9" t="inlineStr">
        <is>
          <t>TEA MAKERS BROOKLYN BROOKLYN NY 09/22 (...0119)</t>
        </is>
      </c>
      <c r="D119" s="9" t="inlineStr">
        <is>
          <t>Tea Makers Brooklyn</t>
        </is>
      </c>
      <c r="E119" s="9" t="inlineStr">
        <is>
          <t>Dining</t>
        </is>
      </c>
      <c r="F119" s="9" t="inlineStr">
        <is>
          <t>Cafe</t>
        </is>
      </c>
      <c r="G119" s="9" t="inlineStr">
        <is>
          <t>Checking</t>
        </is>
      </c>
      <c r="H119" s="9" t="inlineStr">
        <is>
          <t>Debit Card</t>
        </is>
      </c>
      <c r="I119" s="9" t="inlineStr">
        <is>
          <t>Expense</t>
        </is>
      </c>
      <c r="J119" s="3" t="n">
        <v>6.53</v>
      </c>
      <c r="K119" s="9" t="inlineStr">
        <is>
          <t>9월 4주차; Chase Secure (...0119); Posted 2026-09-23; Balance shown: $8,093.46</t>
        </is>
      </c>
    </row>
    <row r="120">
      <c r="A120" s="4" t="n">
        <v>46288</v>
      </c>
      <c r="B120" s="9">
        <f>IF(A120="","",INT(DAY(A120)/7)+1)</f>
        <v>4</v>
      </c>
      <c r="C120" s="9" t="inlineStr">
        <is>
          <t>MTA*NYCT PAYGO NEW YORK NY 09/22 (...0119)</t>
        </is>
      </c>
      <c r="D120" s="9" t="inlineStr">
        <is>
          <t>MTA NYCT Paygo</t>
        </is>
      </c>
      <c r="E120" s="9" t="inlineStr">
        <is>
          <t>Transportation</t>
        </is>
      </c>
      <c r="F120" s="9" t="inlineStr">
        <is>
          <t>Public transit</t>
        </is>
      </c>
      <c r="G120" s="9" t="inlineStr">
        <is>
          <t>Checking</t>
        </is>
      </c>
      <c r="H120" s="9" t="inlineStr">
        <is>
          <t>Debit Card</t>
        </is>
      </c>
      <c r="I120" s="9" t="inlineStr">
        <is>
          <t>Expense</t>
        </is>
      </c>
      <c r="J120" s="3" t="n">
        <v>3.00</v>
      </c>
      <c r="K120" s="9" t="inlineStr">
        <is>
          <t>9월 4주차; Chase Secure (...0119); Posted 2026-09-23; Balance shown: $8,099.99</t>
        </is>
      </c>
    </row>
    <row r="121">
      <c r="A121" s="4" t="n">
        <v>46288</v>
      </c>
      <c r="B121" s="9">
        <f>IF(A121="","",INT(DAY(A121)/7)+1)</f>
        <v>4</v>
      </c>
      <c r="C121" s="9" t="inlineStr">
        <is>
          <t>Zelle payment from SUNG HEE JUNG BACo2fokowb5</t>
        </is>
      </c>
      <c r="D121" s="9" t="inlineStr">
        <is>
          <t>SUNG HEE JUNG</t>
        </is>
      </c>
      <c r="E121" s="9" t="inlineStr">
        <is>
          <t>Dining</t>
        </is>
      </c>
      <c r="F121" s="9" t="inlineStr">
        <is>
          <t>Shared meal reimbursement</t>
        </is>
      </c>
      <c r="G121" s="9" t="inlineStr">
        <is>
          <t>Checking</t>
        </is>
      </c>
      <c r="H121" s="9" t="inlineStr">
        <is>
          <t>Venmo/Zelle/PayPal</t>
        </is>
      </c>
      <c r="I121" s="9" t="inlineStr">
        <is>
          <t>Expense</t>
        </is>
      </c>
      <c r="J121" s="3" t="n">
        <v>-46.00</v>
      </c>
      <c r="K121" s="9" t="inlineStr">
        <is>
          <t>9월 4주차; Chase Secure (...0119); Posted 2026-09-23; Balance shown: $8,102.99; Reimbursement for TST*SAPERAVI meal on 2026-09-22 (posted 2026-09-23): paid $108.44 for 2 people, received $46.00, own share $62.44; reduces Dining expenses, not income.</t>
        </is>
      </c>
    </row>
    <row r="122">
      <c r="A122" s="4" t="n">
        <v>46289</v>
      </c>
      <c r="B122" s="9">
        <f>IF(A122="","",INT(DAY(A122)/7)+1)</f>
        <v>4</v>
      </c>
      <c r="C122" s="9" t="inlineStr">
        <is>
          <t>TRADER JOE S #54 445 G NEW YORK NY 262586 09/24 (...0119)</t>
        </is>
      </c>
      <c r="D122" s="9" t="inlineStr">
        <is>
          <t>Trader Joe's</t>
        </is>
      </c>
      <c r="E122" s="9" t="inlineStr">
        <is>
          <t>Groceries</t>
        </is>
      </c>
      <c r="F122" s="9" t="inlineStr">
        <is>
          <t>Groceries</t>
        </is>
      </c>
      <c r="G122" s="9" t="inlineStr">
        <is>
          <t>Checking</t>
        </is>
      </c>
      <c r="H122" s="9" t="inlineStr">
        <is>
          <t>Debit Card</t>
        </is>
      </c>
      <c r="I122" s="9" t="inlineStr">
        <is>
          <t>Expense</t>
        </is>
      </c>
      <c r="J122" s="3" t="n">
        <v>25.64</v>
      </c>
      <c r="K122" s="9" t="inlineStr">
        <is>
          <t>9월 4주차; Chase Secure (...0119); Posted 2026-09-24; Balance shown: $7,927.11</t>
        </is>
      </c>
    </row>
    <row r="123">
      <c r="A123" s="4" t="n">
        <v>46289</v>
      </c>
      <c r="B123" s="9">
        <f>IF(A123="","",INT(DAY(A123)/7)+1)</f>
        <v>4</v>
      </c>
      <c r="C123" s="9" t="inlineStr">
        <is>
          <t>MTA*NYCT PAYGO NEW YORK NY 09/23 (...0119)</t>
        </is>
      </c>
      <c r="D123" s="9" t="inlineStr">
        <is>
          <t>MTA NYCT Paygo</t>
        </is>
      </c>
      <c r="E123" s="9" t="inlineStr">
        <is>
          <t>Transportation</t>
        </is>
      </c>
      <c r="F123" s="9" t="inlineStr">
        <is>
          <t>Public transit</t>
        </is>
      </c>
      <c r="G123" s="9" t="inlineStr">
        <is>
          <t>Checking</t>
        </is>
      </c>
      <c r="H123" s="9" t="inlineStr">
        <is>
          <t>Debit Card</t>
        </is>
      </c>
      <c r="I123" s="9" t="inlineStr">
        <is>
          <t>Expense</t>
        </is>
      </c>
      <c r="J123" s="3" t="n">
        <v>3.00</v>
      </c>
      <c r="K123" s="9" t="inlineStr">
        <is>
          <t>9월 4주차; Chase Secure (...0119); Posted 2026-09-24; Balance shown: $7,952.75</t>
        </is>
      </c>
    </row>
    <row r="124">
      <c r="A124" s="4" t="n">
        <v>46289</v>
      </c>
      <c r="B124" s="9">
        <f>IF(A124="","",INT(DAY(A124)/7)+1)</f>
        <v>4</v>
      </c>
      <c r="C124" s="9" t="inlineStr">
        <is>
          <t>LEGENDS@YANKEE STDM-RE BRONX NY 09/23 (...0119)</t>
        </is>
      </c>
      <c r="D124" s="9" t="inlineStr">
        <is>
          <t>Legends at Yankee Stadium</t>
        </is>
      </c>
      <c r="E124" s="9" t="inlineStr">
        <is>
          <t>Dining</t>
        </is>
      </c>
      <c r="F124" s="9" t="inlineStr">
        <is>
          <t>Stadium concessions</t>
        </is>
      </c>
      <c r="G124" s="9" t="inlineStr">
        <is>
          <t>Checking</t>
        </is>
      </c>
      <c r="H124" s="9" t="inlineStr">
        <is>
          <t>Debit Card</t>
        </is>
      </c>
      <c r="I124" s="9" t="inlineStr">
        <is>
          <t>Expense</t>
        </is>
      </c>
      <c r="J124" s="3" t="n">
        <v>10.88</v>
      </c>
      <c r="K124" s="9" t="inlineStr">
        <is>
          <t>9월 4주차; Chase Secure (...0119); Posted 2026-09-24; Balance shown: $7,955.75; Category inferred from merchant</t>
        </is>
      </c>
    </row>
    <row r="125">
      <c r="A125" s="4" t="n">
        <v>46289</v>
      </c>
      <c r="B125" s="9">
        <f>IF(A125="","",INT(DAY(A125)/7)+1)</f>
        <v>4</v>
      </c>
      <c r="C125" s="9" t="inlineStr">
        <is>
          <t>MTA*NYCT PAYGO NEW YORK NY 09/23 (...0119)</t>
        </is>
      </c>
      <c r="D125" s="9" t="inlineStr">
        <is>
          <t>MTA NYCT Paygo</t>
        </is>
      </c>
      <c r="E125" s="9" t="inlineStr">
        <is>
          <t>Transportation</t>
        </is>
      </c>
      <c r="F125" s="9" t="inlineStr">
        <is>
          <t>Public transit</t>
        </is>
      </c>
      <c r="G125" s="9" t="inlineStr">
        <is>
          <t>Checking</t>
        </is>
      </c>
      <c r="H125" s="9" t="inlineStr">
        <is>
          <t>Debit Card</t>
        </is>
      </c>
      <c r="I125" s="9" t="inlineStr">
        <is>
          <t>Expense</t>
        </is>
      </c>
      <c r="J125" s="3" t="n">
        <v>3.00</v>
      </c>
      <c r="K125" s="9" t="inlineStr">
        <is>
          <t>9월 4주차; Chase Secure (...0119); Posted 2026-09-24; Balance shown: $7,966.63</t>
        </is>
      </c>
    </row>
    <row r="126">
      <c r="A126" s="4" t="n">
        <v>46289</v>
      </c>
      <c r="B126" s="9">
        <f>IF(A126="","",INT(DAY(A126)/7)+1)</f>
        <v>4</v>
      </c>
      <c r="C126" s="9" t="inlineStr">
        <is>
          <t>MTA*NYCT PAYGO NEW YORK NY 09/23 (...0119)</t>
        </is>
      </c>
      <c r="D126" s="9" t="inlineStr">
        <is>
          <t>MTA NYCT Paygo</t>
        </is>
      </c>
      <c r="E126" s="9" t="inlineStr">
        <is>
          <t>Transportation</t>
        </is>
      </c>
      <c r="F126" s="9" t="inlineStr">
        <is>
          <t>Public transit</t>
        </is>
      </c>
      <c r="G126" s="9" t="inlineStr">
        <is>
          <t>Checking</t>
        </is>
      </c>
      <c r="H126" s="9" t="inlineStr">
        <is>
          <t>Debit Card</t>
        </is>
      </c>
      <c r="I126" s="9" t="inlineStr">
        <is>
          <t>Expense</t>
        </is>
      </c>
      <c r="J126" s="3" t="n">
        <v>3.00</v>
      </c>
      <c r="K126" s="9" t="inlineStr">
        <is>
          <t>9월 4주차; Chase Secure (...0119); Posted 2026-09-24; Balance shown: $7,969.63</t>
        </is>
      </c>
    </row>
    <row r="127">
      <c r="A127" s="4" t="n">
        <v>46289</v>
      </c>
      <c r="B127" s="9">
        <f>IF(A127="","",INT(DAY(A127)/7)+1)</f>
        <v>4</v>
      </c>
      <c r="C127" s="9" t="inlineStr">
        <is>
          <t>MTA*NYCT PAYGO NEW YORK NY 09/23 (...0119)</t>
        </is>
      </c>
      <c r="D127" s="9" t="inlineStr">
        <is>
          <t>MTA NYCT Paygo</t>
        </is>
      </c>
      <c r="E127" s="9" t="inlineStr">
        <is>
          <t>Transportation</t>
        </is>
      </c>
      <c r="F127" s="9" t="inlineStr">
        <is>
          <t>Public transit</t>
        </is>
      </c>
      <c r="G127" s="9" t="inlineStr">
        <is>
          <t>Checking</t>
        </is>
      </c>
      <c r="H127" s="9" t="inlineStr">
        <is>
          <t>Debit Card</t>
        </is>
      </c>
      <c r="I127" s="9" t="inlineStr">
        <is>
          <t>Expense</t>
        </is>
      </c>
      <c r="J127" s="3" t="n">
        <v>3.00</v>
      </c>
      <c r="K127" s="9" t="inlineStr">
        <is>
          <t>9월 4주차; Chase Secure (...0119); Posted 2026-09-24; Balance shown: $7,972.63</t>
        </is>
      </c>
    </row>
    <row r="128">
      <c r="A128" s="4" t="n">
        <v>46289</v>
      </c>
      <c r="B128" s="9">
        <f>IF(A128="","",INT(DAY(A128)/7)+1)</f>
        <v>4</v>
      </c>
      <c r="C128" s="9" t="inlineStr">
        <is>
          <t>99 CENT SUPREME PIZZA BROOKLYN NY 09/22 (...0119)</t>
        </is>
      </c>
      <c r="D128" s="9" t="inlineStr">
        <is>
          <t>99 Cent Supreme Pizza</t>
        </is>
      </c>
      <c r="E128" s="9" t="inlineStr">
        <is>
          <t>Dining</t>
        </is>
      </c>
      <c r="F128" s="9" t="inlineStr">
        <is>
          <t>Restaurant/Pizza</t>
        </is>
      </c>
      <c r="G128" s="9" t="inlineStr">
        <is>
          <t>Checking</t>
        </is>
      </c>
      <c r="H128" s="9" t="inlineStr">
        <is>
          <t>Debit Card</t>
        </is>
      </c>
      <c r="I128" s="9" t="inlineStr">
        <is>
          <t>Expense</t>
        </is>
      </c>
      <c r="J128" s="3" t="n">
        <v>3.39</v>
      </c>
      <c r="K128" s="9" t="inlineStr">
        <is>
          <t>9월 4주차; Chase Secure (...0119); Posted 2026-09-24; Balance shown: $7,975.63</t>
        </is>
      </c>
    </row>
    <row r="129">
      <c r="A129" s="4" t="n">
        <v>46290</v>
      </c>
      <c r="B129" s="9">
        <f>IF(A129="","",INT(DAY(A129)/7)+1)</f>
        <v>4</v>
      </c>
      <c r="C129" s="9" t="inlineStr">
        <is>
          <t>VENMO PAYMENT 1053282556410 WEB ID: 3264681992</t>
        </is>
      </c>
      <c r="D129" s="9" t="inlineStr">
        <is>
          <t>Venmo</t>
        </is>
      </c>
      <c r="E129" s="9" t="inlineStr">
        <is>
          <t>Transfers</t>
        </is>
      </c>
      <c r="F129" s="9" t="inlineStr">
        <is>
          <t>Payment (unconfirmed purpose)</t>
        </is>
      </c>
      <c r="G129" s="9" t="inlineStr">
        <is>
          <t>Checking</t>
        </is>
      </c>
      <c r="H129" s="9" t="inlineStr">
        <is>
          <t>ACH</t>
        </is>
      </c>
      <c r="I129" s="9" t="inlineStr">
        <is>
          <t>Expense</t>
        </is>
      </c>
      <c r="J129" s="3" t="n">
        <v>28.00</v>
      </c>
      <c r="K129" s="9" t="inlineStr">
        <is>
          <t>9월 4주차; Chase Secure (...0119); Posted 2026-09-25; Balance shown: $7,888.03; Outgoing Venmo payment; provisionally treated as expense; purpose/category unconfirmed.</t>
        </is>
      </c>
    </row>
    <row r="130">
      <c r="A130" s="4" t="n">
        <v>46290</v>
      </c>
      <c r="B130" s="9">
        <f>IF(A130="","",INT(DAY(A130)/7)+1)</f>
        <v>4</v>
      </c>
      <c r="C130" s="9" t="inlineStr">
        <is>
          <t>MTA*NYCT PAYGO NEW YORK NY 09/24 (...0119)</t>
        </is>
      </c>
      <c r="D130" s="9" t="inlineStr">
        <is>
          <t>MTA NYCT Paygo</t>
        </is>
      </c>
      <c r="E130" s="9" t="inlineStr">
        <is>
          <t>Transportation</t>
        </is>
      </c>
      <c r="F130" s="9" t="inlineStr">
        <is>
          <t>Public transit</t>
        </is>
      </c>
      <c r="G130" s="9" t="inlineStr">
        <is>
          <t>Checking</t>
        </is>
      </c>
      <c r="H130" s="9" t="inlineStr">
        <is>
          <t>Debit Card</t>
        </is>
      </c>
      <c r="I130" s="9" t="inlineStr">
        <is>
          <t>Expense</t>
        </is>
      </c>
      <c r="J130" s="3" t="n">
        <v>3.00</v>
      </c>
      <c r="K130" s="9" t="inlineStr">
        <is>
          <t>9월 4주차; Chase Secure (...0119); Posted 2026-09-25; Balance shown: $7,916.03</t>
        </is>
      </c>
    </row>
    <row r="131">
      <c r="A131" s="4" t="n">
        <v>46290</v>
      </c>
      <c r="B131" s="9">
        <f>IF(A131="","",INT(DAY(A131)/7)+1)</f>
        <v>4</v>
      </c>
      <c r="C131" s="9" t="inlineStr">
        <is>
          <t>MTA*NYCT PAYGO NEW YORK NY 09/24 (...0119)</t>
        </is>
      </c>
      <c r="D131" s="9" t="inlineStr">
        <is>
          <t>MTA NYCT Paygo</t>
        </is>
      </c>
      <c r="E131" s="9" t="inlineStr">
        <is>
          <t>Transportation</t>
        </is>
      </c>
      <c r="F131" s="9" t="inlineStr">
        <is>
          <t>Public transit</t>
        </is>
      </c>
      <c r="G131" s="9" t="inlineStr">
        <is>
          <t>Checking</t>
        </is>
      </c>
      <c r="H131" s="9" t="inlineStr">
        <is>
          <t>Debit Card</t>
        </is>
      </c>
      <c r="I131" s="9" t="inlineStr">
        <is>
          <t>Expense</t>
        </is>
      </c>
      <c r="J131" s="3" t="n">
        <v>3.00</v>
      </c>
      <c r="K131" s="9" t="inlineStr">
        <is>
          <t>9월 4주차; Chase Secure (...0119); Posted 2026-09-25; Balance shown: $7,919.03</t>
        </is>
      </c>
    </row>
    <row r="132">
      <c r="A132" s="4" t="n">
        <v>46290</v>
      </c>
      <c r="B132" s="9">
        <f>IF(A132="","",INT(DAY(A132)/7)+1)</f>
        <v>4</v>
      </c>
      <c r="C132" s="9" t="inlineStr">
        <is>
          <t>MTA*NYCT PAYGO NEW YORK NY 09/24 (...0119)</t>
        </is>
      </c>
      <c r="D132" s="9" t="inlineStr">
        <is>
          <t>MTA NYCT Paygo</t>
        </is>
      </c>
      <c r="E132" s="9" t="inlineStr">
        <is>
          <t>Transportation</t>
        </is>
      </c>
      <c r="F132" s="9" t="inlineStr">
        <is>
          <t>Public transit</t>
        </is>
      </c>
      <c r="G132" s="9" t="inlineStr">
        <is>
          <t>Checking</t>
        </is>
      </c>
      <c r="H132" s="9" t="inlineStr">
        <is>
          <t>Debit Card</t>
        </is>
      </c>
      <c r="I132" s="9" t="inlineStr">
        <is>
          <t>Expense</t>
        </is>
      </c>
      <c r="J132" s="3" t="n">
        <v>3.00</v>
      </c>
      <c r="K132" s="9" t="inlineStr">
        <is>
          <t>9월 4주차; Chase Secure (...0119); Posted 2026-09-25; Balance shown: $7,922.03</t>
        </is>
      </c>
    </row>
    <row r="133">
      <c r="A133" s="4" t="n">
        <v>46290</v>
      </c>
      <c r="B133" s="9">
        <f>IF(A133="","",INT(DAY(A133)/7)+1)</f>
        <v>4</v>
      </c>
      <c r="C133" s="9" t="inlineStr">
        <is>
          <t>CUTE GIFTS &amp; CONVENIENC NEW YORK NY 09/23 (...0119)</t>
        </is>
      </c>
      <c r="D133" s="9" t="inlineStr">
        <is>
          <t>CUTE GIFTS &amp; CONVENIENC</t>
        </is>
      </c>
      <c r="E133" s="9" t="inlineStr">
        <is>
          <t>Shopping</t>
        </is>
      </c>
      <c r="F133" s="9" t="inlineStr">
        <is>
          <t>Convenience store</t>
        </is>
      </c>
      <c r="G133" s="9" t="inlineStr">
        <is>
          <t>Checking</t>
        </is>
      </c>
      <c r="H133" s="9" t="inlineStr">
        <is>
          <t>Debit Card</t>
        </is>
      </c>
      <c r="I133" s="9" t="inlineStr">
        <is>
          <t>Expense</t>
        </is>
      </c>
      <c r="J133" s="3" t="n">
        <v>2.08</v>
      </c>
      <c r="K133" s="9" t="inlineStr">
        <is>
          <t>9월 4주차; Chase Secure (...0119); Posted 2026-09-25; Balance shown: $7,925.03; Category inferred from merchant</t>
        </is>
      </c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