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name="Summary" sheetId="1" state="visible" ns1:id="rId1"/>
    <sheet name="Jan 2026" sheetId="2" state="visible" ns1:id="rId2"/>
    <sheet name="Feb 2026" sheetId="3" state="visible" ns1:id="rId3"/>
    <sheet name="Mar 2026" sheetId="4" state="visible" ns1:id="rId4"/>
    <sheet name="Apr 2026" sheetId="5" state="visible" ns1:id="rId5"/>
    <sheet name="May 2026" sheetId="6" state="visible" ns1:id="rId6"/>
    <sheet name="Jun 2026" sheetId="7" state="visible" ns1:id="rId7"/>
    <sheet name="Jul 2026" sheetId="8" state="visible" ns1:id="rId8"/>
    <sheet name="Aug 2026" sheetId="9" state="visible" ns1:id="rId9"/>
    <sheet name="Sep 2026" sheetId="10" state="visible" ns1:id="rId10"/>
    <sheet name="Oct 2026" sheetId="11" state="visible" ns1:id="rId11"/>
    <sheet name="Nov 2026" sheetId="12" state="visible" ns1:id="rId12"/>
    <sheet name="Dec 2026" sheetId="13" state="visible" ns1:id="rId13"/>
    <sheet name="Lists" sheetId="14" state="hidden" ns1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</row>
    <row r="13">
      <c r="A13" s="5" t="inlineStr">
        <is>
          <t>Aug 2026</t>
        </is>
      </c>
      <c r="B13" s="3">
        <f>'Aug 2026'!$B$5</f>
        <v/>
      </c>
      <c r="C13" s="3">
        <f>'Aug 2026'!$B$6</f>
        <v/>
      </c>
      <c r="D13" s="3">
        <f>'Aug 2026'!$B$7</f>
        <v/>
      </c>
      <c r="E13" s="3">
        <f>'Aug 2026'!$B$8</f>
        <v/>
      </c>
      <c r="F13" s="3">
        <f>'Aug 2026'!$B$9</f>
        <v/>
      </c>
    </row>
    <row r="14">
      <c r="A14" s="5" t="inlineStr">
        <is>
          <t>Sep 2026</t>
        </is>
      </c>
      <c r="B14" s="3">
        <f>'Sep 2026'!$B$5</f>
        <v/>
      </c>
      <c r="C14" s="3">
        <f>'Sep 2026'!$B$6</f>
        <v/>
      </c>
      <c r="D14" s="3">
        <f>'Sep 2026'!$B$7</f>
        <v/>
      </c>
      <c r="E14" s="3">
        <f>'Sep 2026'!$B$8</f>
        <v/>
      </c>
      <c r="F14" s="3">
        <f>'Sep 2026'!$B$9</f>
        <v/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SUMIFS($J$29:$J$528,$B$29:$B$528,1,$I$29:$I$528,"Expense")</f>
        <v>1100</v>
      </c>
      <c r="J6" s="3">
        <f>SUMIFS($J$29:$J$528,$B$29:$B$528,1,$I$29:$I$528,"Income")</f>
        <v>0</v>
      </c>
      <c r="K6" s="3">
        <f>J6-I6</f>
        <v>-1100</v>
      </c>
    </row>
    <row r="7">
      <c r="A7" s="5" t="inlineStr">
        <is>
          <t>Existing Savings</t>
        </is>
      </c>
      <c r="B7" s="3">
        <f>SUMIFS($J$29:$J$528,$I$29:$I$528,"Opening Balance")</f>
        <v>7300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SUMIFS($J$29:$J$528,$B$29:$B$528,2,$I$29:$I$528,"Expense")</f>
        <v>0</v>
      </c>
      <c r="J7" s="3">
        <f>SUMIFS($J$29:$J$528,$B$29:$B$528,2,$I$29:$I$528,"Income")</f>
        <v>0</v>
      </c>
      <c r="K7" s="3">
        <f>J7-I7</f>
        <v>0</v>
      </c>
    </row>
    <row r="8">
      <c r="A8" s="5" t="inlineStr">
        <is>
          <t>Transfers</t>
        </is>
      </c>
      <c r="B8" s="3">
        <f>SUMIFS($J$29:$J$528,$I$29:$I$528,"Transfer")</f>
        <v>1700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SUMIFS($J$29:$J$528,$B$29:$B$528,3,$I$29:$I$528,"Expense")</f>
        <v>546.27</v>
      </c>
      <c r="J8" s="3">
        <f>SUMIFS($J$29:$J$528,$B$29:$B$528,3,$I$29:$I$528,"Income")</f>
        <v>0</v>
      </c>
      <c r="K8" s="3">
        <f>J8-I8</f>
        <v>-546.27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SUMIFS($J$29:$J$528,$B$29:$B$528,4,$I$29:$I$528,"Expense")</f>
        <v>305.07</v>
      </c>
      <c r="J9" s="3">
        <f>SUMIFS($J$29:$J$528,$B$29:$B$528,4,$I$29:$I$528,"Income")</f>
        <v>0</v>
      </c>
      <c r="K9" s="3">
        <f>J9-I9</f>
        <v>-305.07</v>
      </c>
    </row>
    <row r="10">
      <c r="D10" s="5" t="inlineStr">
        <is>
          <t>Transportation</t>
        </is>
      </c>
      <c r="E10" s="3">
        <f>SUMIFS($J$29:$J$528,$E$29:$E$528,$D10,$I$29:$I$528,"Expense")</f>
        <v>107.45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SUMIFS($J$29:$J$528,$B$29:$B$528,5,$I$29:$I$528,"Expense")</f>
        <v>790.22</v>
      </c>
      <c r="J10" s="3">
        <f>SUMIFS($J$29:$J$528,$B$29:$B$528,5,$I$29:$I$528,"Income")</f>
        <v>4988</v>
      </c>
      <c r="K10" s="3">
        <f>J10-I10</f>
        <v>4197.78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4988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7300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IF(A29="","",IF(DAY(A29)&lt;=2,1,IF(DAY(A29)&lt;=9,2,IF(DAY(A29)&lt;=16,3,IF(DAY(A29)&lt;=23,4,5)))))</f>
        <v>3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IF(A30="","",IF(DAY(A30)&lt;=2,1,IF(DAY(A30)&lt;=9,2,IF(DAY(A30)&lt;=16,3,IF(DAY(A30)&lt;=23,4,5)))))</f>
        <v>3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IF(A31="","",IF(DAY(A31)&lt;=2,1,IF(DAY(A31)&lt;=9,2,IF(DAY(A31)&lt;=16,3,IF(DAY(A31)&lt;=23,4,5)))))</f>
        <v>3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IF(A32="","",IF(DAY(A32)&lt;=2,1,IF(DAY(A32)&lt;=9,2,IF(DAY(A32)&lt;=16,3,IF(DAY(A32)&lt;=23,4,5)))))</f>
        <v>3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IF(A33="","",IF(DAY(A33)&lt;=2,1,IF(DAY(A33)&lt;=9,2,IF(DAY(A33)&lt;=16,3,IF(DAY(A33)&lt;=23,4,5)))))</f>
        <v>3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IF(A34="","",IF(DAY(A34)&lt;=2,1,IF(DAY(A34)&lt;=9,2,IF(DAY(A34)&lt;=16,3,IF(DAY(A34)&lt;=23,4,5)))))</f>
        <v>3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IF(A35="","",IF(DAY(A35)&lt;=2,1,IF(DAY(A35)&lt;=9,2,IF(DAY(A35)&lt;=16,3,IF(DAY(A35)&lt;=23,4,5)))))</f>
        <v>3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IF(A36="","",IF(DAY(A36)&lt;=2,1,IF(DAY(A36)&lt;=9,2,IF(DAY(A36)&lt;=16,3,IF(DAY(A36)&lt;=23,4,5)))))</f>
        <v>3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IF(A37="","",IF(DAY(A37)&lt;=2,1,IF(DAY(A37)&lt;=9,2,IF(DAY(A37)&lt;=16,3,IF(DAY(A37)&lt;=23,4,5)))))</f>
        <v>3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IF(A38="","",IF(DAY(A38)&lt;=2,1,IF(DAY(A38)&lt;=9,2,IF(DAY(A38)&lt;=16,3,IF(DAY(A38)&lt;=23,4,5)))))</f>
        <v>3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IF(A39="","",IF(DAY(A39)&lt;=2,1,IF(DAY(A39)&lt;=9,2,IF(DAY(A39)&lt;=16,3,IF(DAY(A39)&lt;=23,4,5)))))</f>
        <v>3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IF(A40="","",IF(DAY(A40)&lt;=2,1,IF(DAY(A40)&lt;=9,2,IF(DAY(A40)&lt;=16,3,IF(DAY(A40)&lt;=23,4,5)))))</f>
        <v>3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IF(A41="","",IF(DAY(A41)&lt;=2,1,IF(DAY(A41)&lt;=9,2,IF(DAY(A41)&lt;=16,3,IF(DAY(A41)&lt;=23,4,5)))))</f>
        <v>3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IF(A42="","",IF(DAY(A42)&lt;=2,1,IF(DAY(A42)&lt;=9,2,IF(DAY(A42)&lt;=16,3,IF(DAY(A42)&lt;=23,4,5)))))</f>
        <v>3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IF(A43="","",IF(DAY(A43)&lt;=2,1,IF(DAY(A43)&lt;=9,2,IF(DAY(A43)&lt;=16,3,IF(DAY(A43)&lt;=23,4,5)))))</f>
        <v>3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IF(A44="","",IF(DAY(A44)&lt;=2,1,IF(DAY(A44)&lt;=9,2,IF(DAY(A44)&lt;=16,3,IF(DAY(A44)&lt;=23,4,5)))))</f>
        <v>3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IF(A45="","",IF(DAY(A45)&lt;=2,1,IF(DAY(A45)&lt;=9,2,IF(DAY(A45)&lt;=16,3,IF(DAY(A45)&lt;=23,4,5)))))</f>
        <v>3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IF(A46="","",IF(DAY(A46)&lt;=2,1,IF(DAY(A46)&lt;=9,2,IF(DAY(A46)&lt;=16,3,IF(DAY(A46)&lt;=23,4,5)))))</f>
        <v>3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IF(A47="","",IF(DAY(A47)&lt;=2,1,IF(DAY(A47)&lt;=9,2,IF(DAY(A47)&lt;=16,3,IF(DAY(A47)&lt;=23,4,5)))))</f>
        <v>3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IF(A48="","",IF(DAY(A48)&lt;=2,1,IF(DAY(A48)&lt;=9,2,IF(DAY(A48)&lt;=16,3,IF(DAY(A48)&lt;=23,4,5)))))</f>
        <v>3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IF(A49="","",IF(DAY(A49)&lt;=2,1,IF(DAY(A49)&lt;=9,2,IF(DAY(A49)&lt;=16,3,IF(DAY(A49)&lt;=23,4,5)))))</f>
        <v>3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IF(A50="","",IF(DAY(A50)&lt;=2,1,IF(DAY(A50)&lt;=9,2,IF(DAY(A50)&lt;=16,3,IF(DAY(A50)&lt;=23,4,5)))))</f>
        <v>3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IF(A51="","",IF(DAY(A51)&lt;=2,1,IF(DAY(A51)&lt;=9,2,IF(DAY(A51)&lt;=16,3,IF(DAY(A51)&lt;=23,4,5)))))</f>
        <v>3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IF(A52="","",IF(DAY(A52)&lt;=2,1,IF(DAY(A52)&lt;=9,2,IF(DAY(A52)&lt;=16,3,IF(DAY(A52)&lt;=23,4,5)))))</f>
        <v>3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IF(A53="","",IF(DAY(A53)&lt;=2,1,IF(DAY(A53)&lt;=9,2,IF(DAY(A53)&lt;=16,3,IF(DAY(A53)&lt;=23,4,5)))))</f>
        <v>3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IF(A54="","",IF(DAY(A54)&lt;=2,1,IF(DAY(A54)&lt;=9,2,IF(DAY(A54)&lt;=16,3,IF(DAY(A54)&lt;=23,4,5)))))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IF(A55="","",IF(DAY(A55)&lt;=2,1,IF(DAY(A55)&lt;=9,2,IF(DAY(A55)&lt;=16,3,IF(DAY(A55)&lt;=23,4,5)))))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IF(A56="","",IF(DAY(A56)&lt;=2,1,IF(DAY(A56)&lt;=9,2,IF(DAY(A56)&lt;=16,3,IF(DAY(A56)&lt;=23,4,5)))))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IF(A57="","",IF(DAY(A57)&lt;=2,1,IF(DAY(A57)&lt;=9,2,IF(DAY(A57)&lt;=16,3,IF(DAY(A57)&lt;=23,4,5)))))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IF(A58="","",IF(DAY(A58)&lt;=2,1,IF(DAY(A58)&lt;=9,2,IF(DAY(A58)&lt;=16,3,IF(DAY(A58)&lt;=23,4,5)))))</f>
        <v>4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IF(A59="","",IF(DAY(A59)&lt;=2,1,IF(DAY(A59)&lt;=9,2,IF(DAY(A59)&lt;=16,3,IF(DAY(A59)&lt;=23,4,5)))))</f>
        <v>4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IF(A60="","",IF(DAY(A60)&lt;=2,1,IF(DAY(A60)&lt;=9,2,IF(DAY(A60)&lt;=16,3,IF(DAY(A60)&lt;=23,4,5)))))</f>
        <v>4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IF(A61="","",IF(DAY(A61)&lt;=2,1,IF(DAY(A61)&lt;=9,2,IF(DAY(A61)&lt;=16,3,IF(DAY(A61)&lt;=23,4,5)))))</f>
        <v>4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IF(A62="","",IF(DAY(A62)&lt;=2,1,IF(DAY(A62)&lt;=9,2,IF(DAY(A62)&lt;=16,3,IF(DAY(A62)&lt;=23,4,5)))))</f>
        <v>4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IF(A63="","",IF(DAY(A63)&lt;=2,1,IF(DAY(A63)&lt;=9,2,IF(DAY(A63)&lt;=16,3,IF(DAY(A63)&lt;=23,4,5)))))</f>
        <v>4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IF(A64="","",IF(DAY(A64)&lt;=2,1,IF(DAY(A64)&lt;=9,2,IF(DAY(A64)&lt;=16,3,IF(DAY(A64)&lt;=23,4,5)))))</f>
        <v>4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IF(A65="","",IF(DAY(A65)&lt;=2,1,IF(DAY(A65)&lt;=9,2,IF(DAY(A65)&lt;=16,3,IF(DAY(A65)&lt;=23,4,5)))))</f>
        <v>4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IF(A66="","",IF(DAY(A66)&lt;=2,1,IF(DAY(A66)&lt;=9,2,IF(DAY(A66)&lt;=16,3,IF(DAY(A66)&lt;=23,4,5)))))</f>
        <v>4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IF(A67="","",IF(DAY(A67)&lt;=2,1,IF(DAY(A67)&lt;=9,2,IF(DAY(A67)&lt;=16,3,IF(DAY(A67)&lt;=23,4,5)))))</f>
        <v>4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IF(A68="","",IF(DAY(A68)&lt;=2,1,IF(DAY(A68)&lt;=9,2,IF(DAY(A68)&lt;=16,3,IF(DAY(A68)&lt;=23,4,5)))))</f>
        <v>4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IF(A69="","",IF(DAY(A69)&lt;=2,1,IF(DAY(A69)&lt;=9,2,IF(DAY(A69)&lt;=16,3,IF(DAY(A69)&lt;=23,4,5)))))</f>
        <v>4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IF(A70="","",IF(DAY(A70)&lt;=2,1,IF(DAY(A70)&lt;=9,2,IF(DAY(A70)&lt;=16,3,IF(DAY(A70)&lt;=23,4,5)))))</f>
        <v>4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IF(A71="","",IF(DAY(A71)&lt;=2,1,IF(DAY(A71)&lt;=9,2,IF(DAY(A71)&lt;=16,3,IF(DAY(A71)&lt;=23,4,5)))))</f>
        <v>4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IF(A72="","",IF(DAY(A72)&lt;=2,1,IF(DAY(A72)&lt;=9,2,IF(DAY(A72)&lt;=16,3,IF(DAY(A72)&lt;=23,4,5)))))</f>
        <v>4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IF(A73="","",IF(DAY(A73)&lt;=2,1,IF(DAY(A73)&lt;=9,2,IF(DAY(A73)&lt;=16,3,IF(DAY(A73)&lt;=23,4,5)))))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IF(A74="","",IF(DAY(A74)&lt;=2,1,IF(DAY(A74)&lt;=9,2,IF(DAY(A74)&lt;=16,3,IF(DAY(A74)&lt;=23,4,5)))))</f>
        <v>4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IF(A75="","",IF(DAY(A75)&lt;=2,1,IF(DAY(A75)&lt;=9,2,IF(DAY(A75)&lt;=16,3,IF(DAY(A75)&lt;=23,4,5)))))</f>
        <v>4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IF(A76="","",IF(DAY(A76)&lt;=2,1,IF(DAY(A76)&lt;=9,2,IF(DAY(A76)&lt;=16,3,IF(DAY(A76)&lt;=23,4,5)))))</f>
        <v>4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IF(A77="","",IF(DAY(A77)&lt;=2,1,IF(DAY(A77)&lt;=9,2,IF(DAY(A77)&lt;=16,3,IF(DAY(A77)&lt;=23,4,5)))))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IF(A78="","",IF(DAY(A78)&lt;=2,1,IF(DAY(A78)&lt;=9,2,IF(DAY(A78)&lt;=16,3,IF(DAY(A78)&lt;=23,4,5)))))</f>
        <v>5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IF(A79="","",IF(DAY(A79)&lt;=2,1,IF(DAY(A79)&lt;=9,2,IF(DAY(A79)&lt;=16,3,IF(DAY(A79)&lt;=23,4,5)))))</f>
        <v>5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IF(A80="","",IF(DAY(A80)&lt;=2,1,IF(DAY(A80)&lt;=9,2,IF(DAY(A80)&lt;=16,3,IF(DAY(A80)&lt;=23,4,5)))))</f>
        <v>5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IF(A81="","",IF(DAY(A81)&lt;=2,1,IF(DAY(A81)&lt;=9,2,IF(DAY(A81)&lt;=16,3,IF(DAY(A81)&lt;=23,4,5)))))</f>
        <v>5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IF(A82="","",IF(DAY(A82)&lt;=2,1,IF(DAY(A82)&lt;=9,2,IF(DAY(A82)&lt;=16,3,IF(DAY(A82)&lt;=23,4,5)))))</f>
        <v>5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IF(A83="","",IF(DAY(A83)&lt;=2,1,IF(DAY(A83)&lt;=9,2,IF(DAY(A83)&lt;=16,3,IF(DAY(A83)&lt;=23,4,5)))))</f>
        <v>5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IF(A84="","",IF(DAY(A84)&lt;=2,1,IF(DAY(A84)&lt;=9,2,IF(DAY(A84)&lt;=16,3,IF(DAY(A84)&lt;=23,4,5)))))</f>
        <v>5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IF(A85="","",IF(DAY(A85)&lt;=2,1,IF(DAY(A85)&lt;=9,2,IF(DAY(A85)&lt;=16,3,IF(DAY(A85)&lt;=23,4,5)))))</f>
        <v>5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IF(A86="","",IF(DAY(A86)&lt;=2,1,IF(DAY(A86)&lt;=9,2,IF(DAY(A86)&lt;=16,3,IF(DAY(A86)&lt;=23,4,5)))))</f>
        <v>5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IF(A87="","",IF(DAY(A87)&lt;=2,1,IF(DAY(A87)&lt;=9,2,IF(DAY(A87)&lt;=16,3,IF(DAY(A87)&lt;=23,4,5)))))</f>
        <v>5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IF(A88="","",IF(DAY(A88)&lt;=2,1,IF(DAY(A88)&lt;=9,2,IF(DAY(A88)&lt;=16,3,IF(DAY(A88)&lt;=23,4,5)))))</f>
        <v>5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IF(A89="","",IF(DAY(A89)&lt;=2,1,IF(DAY(A89)&lt;=9,2,IF(DAY(A89)&lt;=16,3,IF(DAY(A89)&lt;=23,4,5)))))</f>
        <v>5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IF(A90="","",IF(DAY(A90)&lt;=2,1,IF(DAY(A90)&lt;=9,2,IF(DAY(A90)&lt;=16,3,IF(DAY(A90)&lt;=23,4,5)))))</f>
        <v>5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IF(A91="","",IF(DAY(A91)&lt;=2,1,IF(DAY(A91)&lt;=9,2,IF(DAY(A91)&lt;=16,3,IF(DAY(A91)&lt;=23,4,5)))))</f>
        <v>5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IF(A92="","",IF(DAY(A92)&lt;=2,1,IF(DAY(A92)&lt;=9,2,IF(DAY(A92)&lt;=16,3,IF(DAY(A92)&lt;=23,4,5)))))</f>
        <v>5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IF(A93="","",IF(DAY(A93)&lt;=2,1,IF(DAY(A93)&lt;=9,2,IF(DAY(A93)&lt;=16,3,IF(DAY(A93)&lt;=23,4,5)))))</f>
        <v>5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IF(A94="","",IF(DAY(A94)&lt;=2,1,IF(DAY(A94)&lt;=9,2,IF(DAY(A94)&lt;=16,3,IF(DAY(A94)&lt;=23,4,5)))))</f>
        <v>5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IF(A95="","",IF(DAY(A95)&lt;=2,1,IF(DAY(A95)&lt;=9,2,IF(DAY(A95)&lt;=16,3,IF(DAY(A95)&lt;=23,4,5)))))</f>
        <v>5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IF(A96="","",IF(DAY(A96)&lt;=2,1,IF(DAY(A96)&lt;=9,2,IF(DAY(A96)&lt;=16,3,IF(DAY(A96)&lt;=23,4,5)))))</f>
        <v>5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IF(A97="","",IF(DAY(A97)&lt;=2,1,IF(DAY(A97)&lt;=9,2,IF(DAY(A97)&lt;=16,3,IF(DAY(A97)&lt;=23,4,5)))))</f>
        <v>5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IF(A98="","",IF(DAY(A98)&lt;=2,1,IF(DAY(A98)&lt;=9,2,IF(DAY(A98)&lt;=16,3,IF(DAY(A98)&lt;=23,4,5)))))</f>
        <v>5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IF(A99="","",IF(DAY(A99)&lt;=2,1,IF(DAY(A99)&lt;=9,2,IF(DAY(A99)&lt;=16,3,IF(DAY(A99)&lt;=23,4,5)))))</f>
        <v>5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IF(A100="","",IF(DAY(A100)&lt;=2,1,IF(DAY(A100)&lt;=9,2,IF(DAY(A100)&lt;=16,3,IF(DAY(A100)&lt;=23,4,5)))))</f>
        <v>5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46265</v>
      </c>
      <c r="B101" s="9">
        <f>IF(A101="","",IF(DAY(A101)&lt;=2,1,IF(DAY(A101)&lt;=9,2,IF(DAY(A101)&lt;=16,3,IF(DAY(A101)&lt;=23,4,5)))))</f>
        <v>5</v>
      </c>
      <c r="C101" s="9" t="inlineStr">
        <is>
          <t>MTA*NYCT PAYGO NEW YORK NY 08/30 (...0119)</t>
        </is>
      </c>
      <c r="D101" s="9" t="inlineStr">
        <is>
          <t>MTA NYCT Paygo</t>
        </is>
      </c>
      <c r="E101" s="9" t="inlineStr">
        <is>
          <t>Transportation</t>
        </is>
      </c>
      <c r="F101" s="9" t="inlineStr">
        <is>
          <t>Public transit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2</v>
      </c>
      <c r="K101" s="9" t="inlineStr">
        <is>
          <t>8월 5주차; Chase Secure (...0119); Balance shown: $8,242.24</t>
        </is>
      </c>
    </row>
    <row r="102">
      <c r="A102" s="4" t="n">
        <v>46265</v>
      </c>
      <c r="B102" s="9">
        <f>IF(A102="","",IF(DAY(A102)&lt;=2,1,IF(DAY(A102)&lt;=9,2,IF(DAY(A102)&lt;=16,3,IF(DAY(A102)&lt;=23,4,5)))))</f>
        <v>5</v>
      </c>
      <c r="C102" s="9" t="inlineStr">
        <is>
          <t>WHOLEFDS HRM#105 100 W NEW YORK NY 184677 08/30 (...0119)</t>
        </is>
      </c>
      <c r="D102" s="9" t="inlineStr">
        <is>
          <t>Whole Foods Market</t>
        </is>
      </c>
      <c r="E102" s="9" t="inlineStr">
        <is>
          <t>Groceries</t>
        </is>
      </c>
      <c r="F102" s="9" t="inlineStr">
        <is>
          <t>Groceries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47.02</v>
      </c>
      <c r="K102" s="9" t="inlineStr">
        <is>
          <t>8월 5주차; Chase Secure (...0119); Balance shown: $8,244.24</t>
        </is>
      </c>
    </row>
    <row r="103">
      <c r="A103" s="4" t="n">
        <v>46265</v>
      </c>
      <c r="B103" s="9">
        <f>IF(A103="","",IF(DAY(A103)&lt;=2,1,IF(DAY(A103)&lt;=9,2,IF(DAY(A103)&lt;=16,3,IF(DAY(A103)&lt;=23,4,5)))))</f>
        <v>5</v>
      </c>
      <c r="C103" s="9" t="inlineStr">
        <is>
          <t>T.J. MAXX #1469 NEW YORK NY 013504 08/30 (...0119)</t>
        </is>
      </c>
      <c r="D103" s="9" t="inlineStr">
        <is>
          <t>T.J. Maxx</t>
        </is>
      </c>
      <c r="E103" s="9" t="inlineStr">
        <is>
          <t>Shopping</t>
        </is>
      </c>
      <c r="F103" s="9" t="inlineStr">
        <is>
          <t>Clothing &amp; household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5.43</v>
      </c>
      <c r="K103" s="9" t="inlineStr">
        <is>
          <t>8월 5주차; Chase Secure (...0119); Balance shown: $8,291.26</t>
        </is>
      </c>
    </row>
    <row r="104">
      <c r="A104" s="4" t="n">
        <v>46265</v>
      </c>
      <c r="B104" s="9">
        <f>IF(A104="","",IF(DAY(A104)&lt;=2,1,IF(DAY(A104)&lt;=9,2,IF(DAY(A104)&lt;=16,3,IF(DAY(A104)&lt;=23,4,5)))))</f>
        <v>5</v>
      </c>
      <c r="C104" s="9" t="inlineStr">
        <is>
          <t>TRADER JOE S #57 123 W HARLEM NY 252588 08/30 (...0119)</t>
        </is>
      </c>
      <c r="D104" s="9" t="inlineStr">
        <is>
          <t>Trader Joe's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56.6</v>
      </c>
      <c r="K104" s="9" t="inlineStr">
        <is>
          <t>8월 5주차; Chase Secure (...0119); Balance shown: $8,296.69</t>
        </is>
      </c>
    </row>
    <row r="105">
      <c r="A105" s="4" t="n">
        <v>46265</v>
      </c>
      <c r="B105" s="9">
        <f>IF(A105="","",IF(DAY(A105)&lt;=2,1,IF(DAY(A105)&lt;=9,2,IF(DAY(A105)&lt;=16,3,IF(DAY(A105)&lt;=23,4,5)))))</f>
        <v>5</v>
      </c>
      <c r="C105" s="9" t="inlineStr">
        <is>
          <t>TMOBILE*PREPAID WEB 877-778-2106 WA 08/30 (...0119)</t>
        </is>
      </c>
      <c r="D105" s="9" t="inlineStr">
        <is>
          <t>T-Mobile Prepaid</t>
        </is>
      </c>
      <c r="E105" s="9" t="inlineStr">
        <is>
          <t>Utilities</t>
        </is>
      </c>
      <c r="F105" s="9" t="inlineStr">
        <is>
          <t>Phone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6.64</v>
      </c>
      <c r="K105" s="9" t="inlineStr">
        <is>
          <t>8월 5주차; Chase Secure (...0119); Balance shown: $8,353.29</t>
        </is>
      </c>
    </row>
    <row r="106">
      <c r="A106" s="4" t="n">
        <v>46265</v>
      </c>
      <c r="B106" s="9">
        <f>IF(A106="","",IF(DAY(A106)&lt;=2,1,IF(DAY(A106)&lt;=9,2,IF(DAY(A106)&lt;=16,3,IF(DAY(A106)&lt;=23,4,5)))))</f>
        <v>5</v>
      </c>
      <c r="C106" s="9" t="inlineStr">
        <is>
          <t>MTA*NYCT PAYGO NEW YORK NY 08/29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$8,359.93</t>
        </is>
      </c>
    </row>
    <row r="107">
      <c r="A107" s="4" t="n">
        <v>46265</v>
      </c>
      <c r="B107" s="9">
        <f>IF(A107="","",IF(DAY(A107)&lt;=2,1,IF(DAY(A107)&lt;=9,2,IF(DAY(A107)&lt;=16,3,IF(DAY(A107)&lt;=23,4,5)))))</f>
        <v>5</v>
      </c>
      <c r="C107" s="9" t="inlineStr">
        <is>
          <t>SQ *GYROWAY NYC INC New York NY 08/29 (...0119)</t>
        </is>
      </c>
      <c r="D107" s="9" t="inlineStr">
        <is>
          <t>Gyroway NYC</t>
        </is>
      </c>
      <c r="E107" s="9" t="inlineStr">
        <is>
          <t>Dining</t>
        </is>
      </c>
      <c r="F107" s="9" t="inlineStr">
        <is>
          <t>Restaurant</t>
        </is>
      </c>
      <c r="G107" s="9" t="inlineStr">
        <is>
          <t>Checking</t>
        </is>
      </c>
      <c r="H107" s="9" t="inlineStr">
        <is>
          <t>Debit Card</t>
        </is>
      </c>
      <c r="I107" s="9" t="inlineStr">
        <is>
          <t>Expense</t>
        </is>
      </c>
      <c r="J107" s="3" t="n">
        <v>14.67</v>
      </c>
      <c r="K107" s="9" t="inlineStr">
        <is>
          <t>8월 5주차; Chase Secure (...0119); Balance shown: $8,362.93</t>
        </is>
      </c>
    </row>
    <row r="108">
      <c r="A108" s="4" t="n">
        <v>46265</v>
      </c>
      <c r="B108" s="9">
        <f>IF(A108="","",IF(DAY(A108)&lt;=2,1,IF(DAY(A108)&lt;=9,2,IF(DAY(A108)&lt;=16,3,IF(DAY(A108)&lt;=23,4,5)))))</f>
        <v>5</v>
      </c>
      <c r="C108" s="9" t="inlineStr">
        <is>
          <t>MTA*NYCT PAYGO NEW YORK NY 08/29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3</v>
      </c>
      <c r="K108" s="9" t="inlineStr">
        <is>
          <t>8월 5주차; Chase Secure (...0119); Balance shown: $8,377.60</t>
        </is>
      </c>
    </row>
    <row r="109">
      <c r="A109" s="4" t="n">
        <v>46265</v>
      </c>
      <c r="B109" s="9">
        <f>IF(A109="","",IF(DAY(A109)&lt;=2,1,IF(DAY(A109)&lt;=9,2,IF(DAY(A109)&lt;=16,3,IF(DAY(A109)&lt;=23,4,5)))))</f>
        <v>5</v>
      </c>
      <c r="C109" s="9" t="inlineStr">
        <is>
          <t>MTA*NYCT PAYGO NEW YORK NY 08/28 (...0119)</t>
        </is>
      </c>
      <c r="D109" s="9" t="inlineStr">
        <is>
          <t>MTA NYCT Paygo</t>
        </is>
      </c>
      <c r="E109" s="9" t="inlineStr">
        <is>
          <t>Transportation</t>
        </is>
      </c>
      <c r="F109" s="9" t="inlineStr">
        <is>
          <t>Public transit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3</v>
      </c>
      <c r="K109" s="9" t="inlineStr">
        <is>
          <t>8월 5주차; Chase Secure (...0119); Balance shown: $8,380.60</t>
        </is>
      </c>
    </row>
    <row r="110">
      <c r="A110" s="4" t="n">
        <v>46265</v>
      </c>
      <c r="B110" s="9">
        <f>IF(A110="","",IF(DAY(A110)&lt;=2,1,IF(DAY(A110)&lt;=9,2,IF(DAY(A110)&lt;=16,3,IF(DAY(A110)&lt;=23,4,5)))))</f>
        <v>5</v>
      </c>
      <c r="C110" s="9" t="inlineStr">
        <is>
          <t>MTA*NYCT PAYGO NEW YORK NY 08/28 (...0119)</t>
        </is>
      </c>
      <c r="D110" s="9" t="inlineStr">
        <is>
          <t>MTA NYCT Paygo</t>
        </is>
      </c>
      <c r="E110" s="9" t="inlineStr">
        <is>
          <t>Transportation</t>
        </is>
      </c>
      <c r="F110" s="9" t="inlineStr">
        <is>
          <t>Public transit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3</v>
      </c>
      <c r="K110" s="9" t="inlineStr">
        <is>
          <t>8월 5주차; Chase Secure (...0119); Balance shown: $8,383.60</t>
        </is>
      </c>
    </row>
    <row r="111">
      <c r="A111" s="4" t="n">
        <v>46265</v>
      </c>
      <c r="B111" s="9">
        <f>IF(A111="","",IF(DAY(A111)&lt;=2,1,IF(DAY(A111)&lt;=9,2,IF(DAY(A111)&lt;=16,3,IF(DAY(A111)&lt;=23,4,5)))))</f>
        <v>5</v>
      </c>
      <c r="C111" s="9" t="inlineStr">
        <is>
          <t>SOOSANGHAN POCHA NEW PALISADES PAR NJ 08/27 (...0119)</t>
        </is>
      </c>
      <c r="D111" s="9" t="inlineStr">
        <is>
          <t>Soosanghan Pocha</t>
        </is>
      </c>
      <c r="E111" s="9" t="inlineStr">
        <is>
          <t>Dining</t>
        </is>
      </c>
      <c r="F111" s="9" t="inlineStr">
        <is>
          <t>Restaurant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72.04</v>
      </c>
      <c r="K111" s="9" t="inlineStr">
        <is>
          <t>8월 5주차; Chase Secure (...0119); Balance shown: $8,386.60</t>
        </is>
      </c>
    </row>
    <row r="112">
      <c r="A112" s="4" t="n">
        <v>46262</v>
      </c>
      <c r="B112" s="9">
        <f>IF(A112="","",IF(DAY(A112)&lt;=2,1,IF(DAY(A112)&lt;=9,2,IF(DAY(A112)&lt;=16,3,IF(DAY(A112)&lt;=23,4,5)))))</f>
        <v>5</v>
      </c>
      <c r="C112" s="9" t="inlineStr">
        <is>
          <t>TRADER JOE S #54 445 G NEW YORK NY 905886 08/28 (...0119)</t>
        </is>
      </c>
      <c r="D112" s="9" t="inlineStr">
        <is>
          <t>Trader Joe's</t>
        </is>
      </c>
      <c r="E112" s="9" t="inlineStr">
        <is>
          <t>Groceries</t>
        </is>
      </c>
      <c r="F112" s="9" t="inlineStr">
        <is>
          <t>Groceries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13</v>
      </c>
      <c r="K112" s="9" t="inlineStr">
        <is>
          <t>8월 5주차; Chase Secure (...0119); Balance shown: $8,458.64</t>
        </is>
      </c>
    </row>
    <row r="113">
      <c r="A113" s="4" t="n">
        <v>46262</v>
      </c>
      <c r="B113" s="9">
        <f>IF(A113="","",IF(DAY(A113)&lt;=2,1,IF(DAY(A113)&lt;=9,2,IF(DAY(A113)&lt;=16,3,IF(DAY(A113)&lt;=23,4,5)))))</f>
        <v>5</v>
      </c>
      <c r="C113" s="9" t="inlineStr">
        <is>
          <t>MTA*NYCT PAYGO NEW YORK NY 08/27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$8,471.64</t>
        </is>
      </c>
    </row>
    <row r="114">
      <c r="A114" s="4" t="n">
        <v>46262</v>
      </c>
      <c r="B114" s="9">
        <f>IF(A114="","",IF(DAY(A114)&lt;=2,1,IF(DAY(A114)&lt;=9,2,IF(DAY(A114)&lt;=16,3,IF(DAY(A114)&lt;=23,4,5)))))</f>
        <v>5</v>
      </c>
      <c r="C114" s="9" t="inlineStr">
        <is>
          <t>NJT BUS MY-TIX JWAITE@NJTRAN NJ 08/27 (...0119)</t>
        </is>
      </c>
      <c r="D114" s="9" t="inlineStr">
        <is>
          <t>NJ Transit MyTix</t>
        </is>
      </c>
      <c r="E114" s="9" t="inlineStr">
        <is>
          <t>Transportation</t>
        </is>
      </c>
      <c r="F114" s="9" t="inlineStr">
        <is>
          <t>Public transit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5.45</v>
      </c>
      <c r="K114" s="9" t="inlineStr">
        <is>
          <t>8월 5주차; Chase Secure (...0119); Balance shown: $8,474.64</t>
        </is>
      </c>
    </row>
    <row r="115">
      <c r="A115" s="4" t="n">
        <v>46262</v>
      </c>
      <c r="B115" s="9">
        <f>IF(A115="","",IF(DAY(A115)&lt;=2,1,IF(DAY(A115)&lt;=9,2,IF(DAY(A115)&lt;=16,3,IF(DAY(A115)&lt;=23,4,5)))))</f>
        <v>5</v>
      </c>
      <c r="C115" s="9" t="inlineStr">
        <is>
          <t>HAN MI SUPERMARKET PALISADES PAR NJ 08/27 (...0119)</t>
        </is>
      </c>
      <c r="D115" s="9" t="inlineStr">
        <is>
          <t>Han Mi Supermarket</t>
        </is>
      </c>
      <c r="E115" s="9" t="inlineStr">
        <is>
          <t>Groceries</t>
        </is>
      </c>
      <c r="F115" s="9" t="inlineStr">
        <is>
          <t>Groceries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3.2</v>
      </c>
      <c r="K115" s="9" t="inlineStr">
        <is>
          <t>8월 5주차; Chase Secure (...0119); Balance shown: $8,480.09</t>
        </is>
      </c>
    </row>
    <row r="116">
      <c r="A116" s="4" t="n">
        <v>46262</v>
      </c>
      <c r="B116" s="9">
        <f>IF(A116="","",IF(DAY(A116)&lt;=2,1,IF(DAY(A116)&lt;=9,2,IF(DAY(A116)&lt;=16,3,IF(DAY(A116)&lt;=23,4,5)))))</f>
        <v>5</v>
      </c>
      <c r="C116" s="9" t="inlineStr">
        <is>
          <t>MTA*NYCT PAYGO NEW YORK NY 08/27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$8,483.29</t>
        </is>
      </c>
    </row>
    <row r="117">
      <c r="A117" s="4" t="n">
        <v>46262</v>
      </c>
      <c r="B117" s="9">
        <f>IF(A117="","",IF(DAY(A117)&lt;=2,1,IF(DAY(A117)&lt;=9,2,IF(DAY(A117)&lt;=16,3,IF(DAY(A117)&lt;=23,4,5)))))</f>
        <v>5</v>
      </c>
      <c r="C117" s="9" t="inlineStr">
        <is>
          <t>MTA*NYCT PAYGO NEW YORK NY 08/27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$8,486.29</t>
        </is>
      </c>
    </row>
    <row r="118">
      <c r="A118" s="4" t="n">
        <v>46262</v>
      </c>
      <c r="B118" s="9">
        <f>IF(A118="","",IF(DAY(A118)&lt;=2,1,IF(DAY(A118)&lt;=9,2,IF(DAY(A118)&lt;=16,3,IF(DAY(A118)&lt;=23,4,5)))))</f>
        <v>5</v>
      </c>
      <c r="C118" s="9" t="inlineStr">
        <is>
          <t>NEW YORK UNIVERS DIRECT DEP PPD ID: 5135562308</t>
        </is>
      </c>
      <c r="D118" s="9" t="inlineStr">
        <is>
          <t>New York University</t>
        </is>
      </c>
      <c r="E118" s="9" t="inlineStr">
        <is>
          <t>Income</t>
        </is>
      </c>
      <c r="F118" s="9" t="inlineStr">
        <is>
          <t>Salary</t>
        </is>
      </c>
      <c r="G118" s="9" t="inlineStr">
        <is>
          <t>Checking</t>
        </is>
      </c>
      <c r="H118" s="9" t="inlineStr">
        <is>
          <t>ACH</t>
        </is>
      </c>
      <c r="I118" s="9" t="inlineStr">
        <is>
          <t>Income</t>
        </is>
      </c>
      <c r="J118" s="3" t="n">
        <v>4988</v>
      </c>
      <c r="K118" s="9" t="inlineStr">
        <is>
          <t>8월 5주차; Chase Secure (...0119); Balance shown: $8,489.29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46296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46327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46357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