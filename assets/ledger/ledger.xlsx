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1578.00</v>
      </c>
      <c r="C14" s="3">
        <f>'Sep 2026'!$B$6</f>
        <v>2012.75</v>
      </c>
      <c r="D14" s="3">
        <f>'Sep 2026'!$B$7</f>
        <v>0.0</v>
      </c>
      <c r="E14" s="3">
        <f>'Sep 2026'!$B$8</f>
        <v>106.0</v>
      </c>
      <c r="F14" s="3">
        <f>'Sep 2026'!$B$9</f>
        <v>-434.75</v>
      </c>
      <c r="G14" s="3">
        <f>'Sep 2026'!$B$10</f>
        <v>8407.49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6566.00</v>
      </c>
      <c r="C18" s="3">
        <f>SUM(C6:C17)</f>
        <v>4754.31</v>
      </c>
      <c r="D18" s="3">
        <f>SUM(D6:D17)</f>
        <v>7300.0</v>
      </c>
      <c r="E18" s="3">
        <f>SUM(E6:E17)</f>
        <v>1806.0</v>
      </c>
      <c r="F18" s="3">
        <f>SUM(F6:F17)</f>
        <v>1811.69</v>
      </c>
      <c r="G18" s="3">
        <f>LOOKUP(2,1/(G6:G17&lt;&gt;0),G6:G17)</f>
        <v>8407.49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0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0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25.70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-25.70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22.65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-22.65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15.00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-15.00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14.34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-14.34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104.89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-104.89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0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0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30.00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30.00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0</v>
      </c>
      <c r="E41" s="3">
        <f>C41+D41-B41</f>
        <v>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1578.00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2012.75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0.0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0.0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1548.0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</v>
      </c>
      <c r="D8" s="5" t="inlineStr">
        <is>
          <t>Groceries</t>
        </is>
      </c>
      <c r="E8" s="3">
        <f>SUMIFS($J$29:$J$528,$E$29:$E$528,$D8,$I$29:$I$528,"Expense")</f>
        <v>167.33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0.0</v>
      </c>
      <c r="J8" s="3">
        <f>SUMIFS($J$29:$J$528,$B$29:$B$528,3,$I$29:$I$528,"Income")</f>
        <v>30.00</v>
      </c>
      <c r="K8" s="3">
        <f>J8-I8</f>
        <v>30.00</v>
      </c>
    </row>
    <row r="9">
      <c r="A9" s="5" t="inlineStr">
        <is>
          <t>Net Cash Flow</t>
        </is>
      </c>
      <c r="B9" s="3">
        <f>B5-B6</f>
        <v>-434.75</v>
      </c>
      <c r="D9" s="5" t="inlineStr">
        <is>
          <t>Dining</t>
        </is>
      </c>
      <c r="E9" s="3">
        <f>SUMIFS($J$29:$J$528,$E$29:$E$528,$D9,$I$29:$I$528,"Expense")</f>
        <v>64.01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0.0</v>
      </c>
      <c r="J9" s="3">
        <f>SUMIFS($J$29:$J$528,$B$29:$B$528,4,$I$29:$I$528,"Income")</f>
        <v>0.0</v>
      </c>
      <c r="K9" s="3">
        <f>J9-I9</f>
        <v>0.0</v>
      </c>
    </row>
    <row r="10">
      <c r="A10" s="5" t="inlineStr">
        <is>
          <t>Current Balance</t>
        </is>
      </c>
      <c r="B10" s="3" t="n">
        <v>8407.49</v>
      </c>
      <c r="D10" s="5" t="inlineStr">
        <is>
          <t>Transportation</t>
        </is>
      </c>
      <c r="E10" s="3">
        <f>SUMIFS($J$29:$J$528,$E$29:$E$528,$D10,$I$29:$I$528,"Expense")</f>
        <v>62.00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0.0</v>
      </c>
      <c r="J10" s="3">
        <f>SUMIFS($J$29:$J$528,$B$29:$B$528,5,$I$29:$I$528,"Income")</f>
        <v>0.0</v>
      </c>
      <c r="K10" s="3">
        <f>J10-I10</f>
        <v>0.0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2012.75</v>
      </c>
      <c r="J11" s="3">
        <f>B5</f>
        <v>1578.00</v>
      </c>
      <c r="K11" s="3">
        <f>J11-I11</f>
        <v>-434.75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296.44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172.77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0.0</v>
      </c>
      <c r="G19" s="3">
        <f>SUMIFS($J$29:$J$528,$E$29:$E$528,$D19,$I$29:$I$528,"Opening Balance")</f>
        <v>0.0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1578.00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0.0</v>
      </c>
      <c r="F24" s="3">
        <f>SUMIFS($J$29:$J$528,$E$29:$E$528,$D24,$I$29:$I$528,"Income")</f>
        <v>0.0</v>
      </c>
      <c r="G24" s="3">
        <f>SUMIFS($J$29:$J$528,$E$29:$E$528,$D24,$I$29:$I$528,"Opening Balance")</f>
        <v>0.0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