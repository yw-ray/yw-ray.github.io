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Jan 2026" sheetId="2" r:id="rId2"/>
    <sheet name="Feb 2026" sheetId="3" r:id="rId3"/>
    <sheet name="Mar 2026" sheetId="4" r:id="rId4"/>
    <sheet name="Apr 2026" sheetId="5" r:id="rId5"/>
    <sheet name="May 2026" sheetId="6" r:id="rId6"/>
    <sheet name="Jun 2026" sheetId="7" r:id="rId7"/>
    <sheet name="Jul 2026" sheetId="8" r:id="rId8"/>
    <sheet name="Aug 2026" sheetId="9" r:id="rId9"/>
    <sheet name="Sep 2026" sheetId="10" r:id="rId10"/>
    <sheet name="Oct 2026" sheetId="11" r:id="rId11"/>
    <sheet name="Nov 2026" sheetId="12" r:id="rId12"/>
    <sheet name="Dec 2026" sheetId="13" r:id="rId13"/>
    <sheet name="Lists" sheetId="14" state="hidden" r:id="rId14"/>
  </sheet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sz val="11"/>
      <name val="Calibri"/>
    </font>
    <font>
      <b/>
      <sz val="16"/>
      <name val="Calibri"/>
    </font>
    <font>
      <b/>
      <color rgb="FFFFFFFF"/>
      <sz val="11"/>
      <name val="Calibri"/>
    </font>
    <font>
      <color rgb="FF666666"/>
      <sz val="10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1" xfId="0" applyBorder="1"/>
    <xf numFmtId="0" fontId="1" fillId="0" borderId="0" xfId="0" applyFont="1"/>
    <xf numFmtId="0" fontId="2" fillId="2" borderId="1" xfId="0" applyFont="1" applyFill="1" applyBorder="1"/>
    <xf numFmtId="164" fontId="0" fillId="0" borderId="1" xfId="0" applyNumberFormat="1" applyBorder="1"/>
    <xf numFmtId="165" fontId="0" fillId="0" borderId="1" xfId="0" applyNumberFormat="1" applyBorder="1"/>
    <xf numFmtId="0" fontId="4" fillId="3" borderId="1" xfId="0" applyFont="1" applyFill="1" applyBorder="1"/>
    <xf numFmtId="10" fontId="0" fillId="0" borderId="1" xfId="0" applyNumberFormat="1" applyBorder="1"/>
    <xf numFmtId="0" fontId="3" fillId="0" borderId="0" xfId="0" applyFont="1"/>
    <xf numFmtId="0" fontId="3" fillId="4" borderId="1" xfId="0" applyFont="1" applyFill="1" applyBorder="1"/>
    <xf numFmtId="0" fontId="0" fillId="0" borderId="1" xfId="0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xSplit="0" ySplit="5" topLeftCell="A6" activePane="bottomLeft" state="frozen"/>
      <selection pane="bottomLeft" activeCell="A6" sqref="A6"/>
    </sheetView>
  </sheetViews>
  <cols>
    <col min="1" max="1" width="26" customWidth="1"/>
    <col min="2" max="6" width="18" customWidth="1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</c>
      <c r="C6" s="3">
        <f>'Jan 2026'!$B$6</f>
      </c>
      <c r="D6" s="3">
        <f>'Jan 2026'!$B$7</f>
      </c>
      <c r="E6" s="3">
        <f>'Jan 2026'!$B$8</f>
      </c>
      <c r="F6" s="3">
        <f>'Jan 2026'!$B$9</f>
      </c>
    </row>
    <row r="7">
      <c r="A7" s="5" t="inlineStr">
        <is>
          <t>Feb 2026</t>
        </is>
      </c>
      <c r="B7" s="3">
        <f>'Feb 2026'!$B$5</f>
      </c>
      <c r="C7" s="3">
        <f>'Feb 2026'!$B$6</f>
      </c>
      <c r="D7" s="3">
        <f>'Feb 2026'!$B$7</f>
      </c>
      <c r="E7" s="3">
        <f>'Feb 2026'!$B$8</f>
      </c>
      <c r="F7" s="3">
        <f>'Feb 2026'!$B$9</f>
      </c>
    </row>
    <row r="8">
      <c r="A8" s="5" t="inlineStr">
        <is>
          <t>Mar 2026</t>
        </is>
      </c>
      <c r="B8" s="3">
        <f>'Mar 2026'!$B$5</f>
      </c>
      <c r="C8" s="3">
        <f>'Mar 2026'!$B$6</f>
      </c>
      <c r="D8" s="3">
        <f>'Mar 2026'!$B$7</f>
      </c>
      <c r="E8" s="3">
        <f>'Mar 2026'!$B$8</f>
      </c>
      <c r="F8" s="3">
        <f>'Mar 2026'!$B$9</f>
      </c>
    </row>
    <row r="9">
      <c r="A9" s="5" t="inlineStr">
        <is>
          <t>Apr 2026</t>
        </is>
      </c>
      <c r="B9" s="3">
        <f>'Apr 2026'!$B$5</f>
      </c>
      <c r="C9" s="3">
        <f>'Apr 2026'!$B$6</f>
      </c>
      <c r="D9" s="3">
        <f>'Apr 2026'!$B$7</f>
      </c>
      <c r="E9" s="3">
        <f>'Apr 2026'!$B$8</f>
      </c>
      <c r="F9" s="3">
        <f>'Apr 2026'!$B$9</f>
      </c>
    </row>
    <row r="10">
      <c r="A10" s="5" t="inlineStr">
        <is>
          <t>May 2026</t>
        </is>
      </c>
      <c r="B10" s="3">
        <f>'May 2026'!$B$5</f>
      </c>
      <c r="C10" s="3">
        <f>'May 2026'!$B$6</f>
      </c>
      <c r="D10" s="3">
        <f>'May 2026'!$B$7</f>
      </c>
      <c r="E10" s="3">
        <f>'May 2026'!$B$8</f>
      </c>
      <c r="F10" s="3">
        <f>'May 2026'!$B$9</f>
      </c>
    </row>
    <row r="11">
      <c r="A11" s="5" t="inlineStr">
        <is>
          <t>Jun 2026</t>
        </is>
      </c>
      <c r="B11" s="3">
        <f>'Jun 2026'!$B$5</f>
      </c>
      <c r="C11" s="3">
        <f>'Jun 2026'!$B$6</f>
      </c>
      <c r="D11" s="3">
        <f>'Jun 2026'!$B$7</f>
      </c>
      <c r="E11" s="3">
        <f>'Jun 2026'!$B$8</f>
      </c>
      <c r="F11" s="3">
        <f>'Jun 2026'!$B$9</f>
      </c>
    </row>
    <row r="12">
      <c r="A12" s="5" t="inlineStr">
        <is>
          <t>Jul 2026</t>
        </is>
      </c>
      <c r="B12" s="3">
        <f>'Jul 2026'!$B$5</f>
      </c>
      <c r="C12" s="3">
        <f>'Jul 2026'!$B$6</f>
      </c>
      <c r="D12" s="3">
        <f>'Jul 2026'!$B$7</f>
      </c>
      <c r="E12" s="3">
        <f>'Jul 2026'!$B$8</f>
      </c>
      <c r="F12" s="3">
        <f>'Jul 2026'!$B$9</f>
      </c>
    </row>
    <row r="13">
      <c r="A13" s="5" t="inlineStr">
        <is>
          <t>Aug 2026</t>
        </is>
      </c>
      <c r="B13" s="3">
        <f>'Aug 2026'!$B$5</f>
      </c>
      <c r="C13" s="3">
        <f>'Aug 2026'!$B$6</f>
      </c>
      <c r="D13" s="3">
        <f>'Aug 2026'!$B$7</f>
      </c>
      <c r="E13" s="3">
        <f>'Aug 2026'!$B$8</f>
      </c>
      <c r="F13" s="3">
        <f>'Aug 2026'!$B$9</f>
      </c>
    </row>
    <row r="14">
      <c r="A14" s="5" t="inlineStr">
        <is>
          <t>Sep 2026</t>
        </is>
      </c>
      <c r="B14" s="3">
        <f>'Sep 2026'!$B$5</f>
      </c>
      <c r="C14" s="3">
        <f>'Sep 2026'!$B$6</f>
      </c>
      <c r="D14" s="3">
        <f>'Sep 2026'!$B$7</f>
      </c>
      <c r="E14" s="3">
        <f>'Sep 2026'!$B$8</f>
      </c>
      <c r="F14" s="3">
        <f>'Sep 2026'!$B$9</f>
      </c>
    </row>
    <row r="15">
      <c r="A15" s="5" t="inlineStr">
        <is>
          <t>Oct 2026</t>
        </is>
      </c>
      <c r="B15" s="3">
        <f>'Oct 2026'!$B$5</f>
      </c>
      <c r="C15" s="3">
        <f>'Oct 2026'!$B$6</f>
      </c>
      <c r="D15" s="3">
        <f>'Oct 2026'!$B$7</f>
      </c>
      <c r="E15" s="3">
        <f>'Oct 2026'!$B$8</f>
      </c>
      <c r="F15" s="3">
        <f>'Oct 2026'!$B$9</f>
      </c>
    </row>
    <row r="16">
      <c r="A16" s="5" t="inlineStr">
        <is>
          <t>Nov 2026</t>
        </is>
      </c>
      <c r="B16" s="3">
        <f>'Nov 2026'!$B$5</f>
      </c>
      <c r="C16" s="3">
        <f>'Nov 2026'!$B$6</f>
      </c>
      <c r="D16" s="3">
        <f>'Nov 2026'!$B$7</f>
      </c>
      <c r="E16" s="3">
        <f>'Nov 2026'!$B$8</f>
      </c>
      <c r="F16" s="3">
        <f>'Nov 2026'!$B$9</f>
      </c>
    </row>
    <row r="17">
      <c r="A17" s="5" t="inlineStr">
        <is>
          <t>Dec 2026</t>
        </is>
      </c>
      <c r="B17" s="3">
        <f>'Dec 2026'!$B$5</f>
      </c>
      <c r="C17" s="3">
        <f>'Dec 2026'!$B$6</f>
      </c>
      <c r="D17" s="3">
        <f>'Dec 2026'!$B$7</f>
      </c>
      <c r="E17" s="3">
        <f>'Dec 2026'!$B$8</f>
      </c>
      <c r="F17" s="3">
        <f>'Dec 2026'!$B$9</f>
      </c>
    </row>
    <row r="18">
      <c r="A18" s="2" t="inlineStr">
        <is>
          <t>Total</t>
        </is>
      </c>
      <c r="B18" s="3">
        <f>SUM(B6:B17)</f>
      </c>
      <c r="C18" s="3">
        <f>SUM(C6:C17)</f>
      </c>
      <c r="D18" s="3">
        <f>SUM(D6:D17)</f>
      </c>
      <c r="E18" s="3">
        <f>SUM(E6:E17)</f>
      </c>
      <c r="F18" s="3">
        <f>SUM(F6:F17)</f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</c>
      <c r="E22" s="3">
        <f>C22+D22-B22</f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</c>
      <c r="E23" s="3">
        <f>C23+D23-B23</f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</c>
      <c r="E24" s="3">
        <f>C24+D24-B24</f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</c>
      <c r="E25" s="3">
        <f>C25+D25-B25</f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</c>
      <c r="E26" s="3">
        <f>C26+D26-B26</f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</c>
      <c r="E27" s="3">
        <f>C27+D27-B27</f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</c>
      <c r="E28" s="3">
        <f>C28+D28-B28</f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</c>
      <c r="E29" s="3">
        <f>C29+D29-B29</f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</c>
      <c r="E30" s="3">
        <f>C30+D30-B30</f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</c>
      <c r="E31" s="3">
        <f>C31+D31-B31</f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</c>
      <c r="E32" s="3">
        <f>C32+D32-B32</f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</c>
      <c r="E33" s="3">
        <f>C33+D33-B33</f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</c>
      <c r="E34" s="3">
        <f>C34+D34-B34</f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</c>
      <c r="E35" s="3">
        <f>C35+D35-B35</f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</c>
      <c r="E36" s="3">
        <f>C36+D36-B36</f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</c>
      <c r="E37" s="3">
        <f>C37+D37-B37</f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</c>
      <c r="E38" s="3">
        <f>C38+D38-B38</f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</c>
      <c r="E39" s="3">
        <f>C39+D39-B39</f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</c>
      <c r="E40" s="3">
        <f>C40+D40-B40</f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</c>
      <c r="E41" s="3">
        <f>C41+D41-B41</f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</c>
      <c r="E42" s="3">
        <f>C42+D42-B42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46244.0</v>
      </c>
      <c r="B29" s="9">
        <v>4.0</v>
      </c>
      <c r="C29" s="0" t="inlineStr">
        <is>
          <t>DEPOSIT ID NUMBER 503240</t>
        </is>
      </c>
      <c r="D29" s="0" t="inlineStr">
        <is>
          <t>Existing Savings</t>
        </is>
      </c>
      <c r="E29" s="0" t="inlineStr">
        <is>
          <t>Existing Savings</t>
        </is>
      </c>
      <c r="F29" s="0" t="inlineStr">
        <is>
          <t>Starting balance</t>
        </is>
      </c>
      <c r="G29" s="0" t="inlineStr">
        <is>
          <t>Savings</t>
        </is>
      </c>
      <c r="H29" s="0" t="inlineStr">
        <is>
          <t>Bank Transfer</t>
        </is>
      </c>
      <c r="I29" s="0" t="inlineStr">
        <is>
          <t>Opening Balance</t>
        </is>
      </c>
      <c r="J29" s="3">
        <v>3200.0</v>
      </c>
      <c r="K29" s="0" t="inlineStr">
        <is>
          <t>8월 4주차; Chase Secure (...7259); Balance shown: $3,200.00; Reclassified from income to existing savings</t>
        </is>
      </c>
    </row>
    <row r="30">
      <c r="A30" s="4">
        <v>46244.0</v>
      </c>
      <c r="B30" s="9">
        <v>4.0</v>
      </c>
      <c r="C30" s="0" t="inlineStr">
        <is>
          <t>HOMEGOODS #0515 NEW YORK NY 028967 08/10</t>
        </is>
      </c>
      <c r="D30" s="0" t="inlineStr">
        <is>
          <t>HomeGoods</t>
        </is>
      </c>
      <c r="E30" s="0" t="inlineStr">
        <is>
          <t>Essentials</t>
        </is>
      </c>
      <c r="F30" s="0" t="inlineStr">
        <is>
          <t>Home goods</t>
        </is>
      </c>
      <c r="G30" s="0" t="inlineStr">
        <is>
          <t>Checking</t>
        </is>
      </c>
      <c r="H30" s="0" t="inlineStr">
        <is>
          <t>Debit Card</t>
        </is>
      </c>
      <c r="I30" s="0" t="inlineStr">
        <is>
          <t>Expense</t>
        </is>
      </c>
      <c r="J30" s="3">
        <v>16.32</v>
      </c>
      <c r="K30" s="0" t="inlineStr">
        <is>
          <t>8월 4주차; Chase Secure (...7259); Balance shown: $3,183.68</t>
        </is>
      </c>
    </row>
    <row r="31">
      <c r="A31" s="4">
        <v>46244.0</v>
      </c>
      <c r="B31" s="9">
        <v>4.0</v>
      </c>
      <c r="C31" s="0" t="inlineStr">
        <is>
          <t>T-MOBILE 2563 BROADWAY NEW YORK NY 566367 08/10</t>
        </is>
      </c>
      <c r="D31" s="0" t="inlineStr">
        <is>
          <t>T-Mobile</t>
        </is>
      </c>
      <c r="E31" s="0" t="inlineStr">
        <is>
          <t>Utilities</t>
        </is>
      </c>
      <c r="F31" s="0" t="inlineStr">
        <is>
          <t>Mobile phone</t>
        </is>
      </c>
      <c r="G31" s="0" t="inlineStr">
        <is>
          <t>Checking</t>
        </is>
      </c>
      <c r="H31" s="0" t="inlineStr">
        <is>
          <t>Debit Card</t>
        </is>
      </c>
      <c r="I31" s="0" t="inlineStr">
        <is>
          <t>Expense</t>
        </is>
      </c>
      <c r="J31" s="3">
        <v>61.08</v>
      </c>
      <c r="K31" s="0" t="inlineStr">
        <is>
          <t>8월 4주차; Chase Secure (...7259); Balance shown: $3,122.60</t>
        </is>
      </c>
    </row>
    <row r="32">
      <c r="A32" s="4">
        <v>46244.0</v>
      </c>
      <c r="B32" s="9">
        <v>4.0</v>
      </c>
      <c r="C32" s="0" t="inlineStr">
        <is>
          <t>MTA*NYCT PAYGO NEW YORK NY 08/10</t>
        </is>
      </c>
      <c r="D32" s="0" t="inlineStr">
        <is>
          <t>MTA NYCT Paygo</t>
        </is>
      </c>
      <c r="E32" s="0" t="inlineStr">
        <is>
          <t>Transportation</t>
        </is>
      </c>
      <c r="F32" s="0" t="inlineStr">
        <is>
          <t>Public transit</t>
        </is>
      </c>
      <c r="G32" s="0" t="inlineStr">
        <is>
          <t>Checking</t>
        </is>
      </c>
      <c r="H32" s="0" t="inlineStr">
        <is>
          <t>Debit Card</t>
        </is>
      </c>
      <c r="I32" s="0" t="inlineStr">
        <is>
          <t>Expense</t>
        </is>
      </c>
      <c r="J32" s="3">
        <v>3.0</v>
      </c>
      <c r="K32" s="0" t="inlineStr">
        <is>
          <t>8월 4주차; Chase Secure (...7259); Balance shown: $3,119.60</t>
        </is>
      </c>
    </row>
    <row r="33">
      <c r="A33" s="4">
        <v>46244.0</v>
      </c>
      <c r="B33" s="9">
        <v>4.0</v>
      </c>
      <c r="C33" s="0" t="inlineStr">
        <is>
          <t>MTA*NYCT PAYGO NEW YORK NY 08/10</t>
        </is>
      </c>
      <c r="D33" s="0" t="inlineStr">
        <is>
          <t>MTA NYCT Paygo</t>
        </is>
      </c>
      <c r="E33" s="0" t="inlineStr">
        <is>
          <t>Transportation</t>
        </is>
      </c>
      <c r="F33" s="0" t="inlineStr">
        <is>
          <t>Public transit</t>
        </is>
      </c>
      <c r="G33" s="0" t="inlineStr">
        <is>
          <t>Checking</t>
        </is>
      </c>
      <c r="H33" s="0" t="inlineStr">
        <is>
          <t>Debit Card</t>
        </is>
      </c>
      <c r="I33" s="0" t="inlineStr">
        <is>
          <t>Expense</t>
        </is>
      </c>
      <c r="J33" s="3">
        <v>3.0</v>
      </c>
      <c r="K33" s="0" t="inlineStr">
        <is>
          <t>8월 4주차; Chase Secure (...7259); Balance shown: $3,116.60</t>
        </is>
      </c>
    </row>
    <row r="34">
      <c r="A34" s="4">
        <v>46245.0</v>
      </c>
      <c r="B34" s="9">
        <v>4.0</v>
      </c>
      <c r="C34" s="0" t="inlineStr">
        <is>
          <t>TARGET STORE T-3 10 UN NEW YORK NY 593369 08/11</t>
        </is>
      </c>
      <c r="D34" s="0" t="inlineStr">
        <is>
          <t>Target</t>
        </is>
      </c>
      <c r="E34" s="0" t="inlineStr">
        <is>
          <t>Essentials</t>
        </is>
      </c>
      <c r="F34" s="0" t="inlineStr">
        <is>
          <t>Retail</t>
        </is>
      </c>
      <c r="G34" s="0" t="inlineStr">
        <is>
          <t>Checking</t>
        </is>
      </c>
      <c r="H34" s="0" t="inlineStr">
        <is>
          <t>Debit Card</t>
        </is>
      </c>
      <c r="I34" s="0" t="inlineStr">
        <is>
          <t>Expense</t>
        </is>
      </c>
      <c r="J34" s="3">
        <v>32.72</v>
      </c>
      <c r="K34" s="0" t="inlineStr">
        <is>
          <t>8월 4주차; Chase Secure (...7259); Balance shown: $3,083.88</t>
        </is>
      </c>
    </row>
    <row r="35">
      <c r="A35" s="4">
        <v>46245.0</v>
      </c>
      <c r="B35" s="9">
        <v>4.0</v>
      </c>
      <c r="C35" s="0" t="inlineStr">
        <is>
          <t>TRADER JOE S #54 142 E NEW YORK NY 031581 08/11</t>
        </is>
      </c>
      <c r="D35" s="0" t="inlineStr">
        <is>
          <t>Trader Joe's</t>
        </is>
      </c>
      <c r="E35" s="0" t="inlineStr">
        <is>
          <t>Groceries</t>
        </is>
      </c>
      <c r="F35" s="0" t="inlineStr">
        <is>
          <t>Groceries</t>
        </is>
      </c>
      <c r="G35" s="0" t="inlineStr">
        <is>
          <t>Checking</t>
        </is>
      </c>
      <c r="H35" s="0" t="inlineStr">
        <is>
          <t>Debit Card</t>
        </is>
      </c>
      <c r="I35" s="0" t="inlineStr">
        <is>
          <t>Expense</t>
        </is>
      </c>
      <c r="J35" s="3">
        <v>2.99</v>
      </c>
      <c r="K35" s="0" t="inlineStr">
        <is>
          <t>8월 4주차; Chase Secure (...7259); Balance shown: $3,080.89</t>
        </is>
      </c>
    </row>
    <row r="36">
      <c r="A36" s="4">
        <v>46245.0</v>
      </c>
      <c r="B36" s="9">
        <v>4.0</v>
      </c>
      <c r="C36" s="0" t="inlineStr">
        <is>
          <t>TRADER JOE S #54 142 E NEW YORK NY 736951 08/11</t>
        </is>
      </c>
      <c r="D36" s="0" t="inlineStr">
        <is>
          <t>Trader Joe's</t>
        </is>
      </c>
      <c r="E36" s="0" t="inlineStr">
        <is>
          <t>Groceries</t>
        </is>
      </c>
      <c r="F36" s="0" t="inlineStr">
        <is>
          <t>Groceries</t>
        </is>
      </c>
      <c r="G36" s="0" t="inlineStr">
        <is>
          <t>Checking</t>
        </is>
      </c>
      <c r="H36" s="0" t="inlineStr">
        <is>
          <t>Debit Card</t>
        </is>
      </c>
      <c r="I36" s="0" t="inlineStr">
        <is>
          <t>Expense</t>
        </is>
      </c>
      <c r="J36" s="3">
        <v>18.99</v>
      </c>
      <c r="K36" s="0" t="inlineStr">
        <is>
          <t>8월 4주차; Chase Secure (...7259); Balance shown: $3,061.90</t>
        </is>
      </c>
    </row>
    <row r="37">
      <c r="A37" s="4">
        <v>46245.0</v>
      </c>
      <c r="B37" s="9">
        <v>4.0</v>
      </c>
      <c r="C37" s="0" t="inlineStr">
        <is>
          <t>TST*BOS BAGELS - HARLEM NEW YORK NY 08/11</t>
        </is>
      </c>
      <c r="D37" s="0" t="inlineStr">
        <is>
          <t>Bo's Bagels Harlem</t>
        </is>
      </c>
      <c r="E37" s="0" t="inlineStr">
        <is>
          <t>Dining</t>
        </is>
      </c>
      <c r="F37" s="0" t="inlineStr">
        <is>
          <t>Bakery/Cafe</t>
        </is>
      </c>
      <c r="G37" s="0" t="inlineStr">
        <is>
          <t>Checking</t>
        </is>
      </c>
      <c r="H37" s="0" t="inlineStr">
        <is>
          <t>Debit Card</t>
        </is>
      </c>
      <c r="I37" s="0" t="inlineStr">
        <is>
          <t>Expense</t>
        </is>
      </c>
      <c r="J37" s="3">
        <v>16.15</v>
      </c>
      <c r="K37" s="0" t="inlineStr">
        <is>
          <t>8월 4주차; Chase Secure (...7259); Balance shown: $3,045.75</t>
        </is>
      </c>
    </row>
    <row r="38">
      <c r="A38" s="4">
        <v>46245.0</v>
      </c>
      <c r="B38" s="9">
        <v>4.0</v>
      </c>
      <c r="C38" s="0" t="inlineStr">
        <is>
          <t>MTA*NYCT PAYGO NEW YORK NY 08/11</t>
        </is>
      </c>
      <c r="D38" s="0" t="inlineStr">
        <is>
          <t>MTA NYCT Paygo</t>
        </is>
      </c>
      <c r="E38" s="0" t="inlineStr">
        <is>
          <t>Transportation</t>
        </is>
      </c>
      <c r="F38" s="0" t="inlineStr">
        <is>
          <t>Public transit</t>
        </is>
      </c>
      <c r="G38" s="0" t="inlineStr">
        <is>
          <t>Checking</t>
        </is>
      </c>
      <c r="H38" s="0" t="inlineStr">
        <is>
          <t>Debit Card</t>
        </is>
      </c>
      <c r="I38" s="0" t="inlineStr">
        <is>
          <t>Expense</t>
        </is>
      </c>
      <c r="J38" s="3">
        <v>3.0</v>
      </c>
      <c r="K38" s="0" t="inlineStr">
        <is>
          <t>8월 4주차; Chase Secure (...7259); Balance shown: $3,042.75</t>
        </is>
      </c>
    </row>
    <row r="39">
      <c r="A39" s="4">
        <v>46245.0</v>
      </c>
      <c r="B39" s="9">
        <v>4.0</v>
      </c>
      <c r="C39" s="0" t="inlineStr">
        <is>
          <t>MTA*NYCT PAYGO NEW YORK NY 08/11</t>
        </is>
      </c>
      <c r="D39" s="0" t="inlineStr">
        <is>
          <t>MTA NYCT Paygo</t>
        </is>
      </c>
      <c r="E39" s="0" t="inlineStr">
        <is>
          <t>Transportation</t>
        </is>
      </c>
      <c r="F39" s="0" t="inlineStr">
        <is>
          <t>Public transit</t>
        </is>
      </c>
      <c r="G39" s="0" t="inlineStr">
        <is>
          <t>Checking</t>
        </is>
      </c>
      <c r="H39" s="0" t="inlineStr">
        <is>
          <t>Debit Card</t>
        </is>
      </c>
      <c r="I39" s="0" t="inlineStr">
        <is>
          <t>Expense</t>
        </is>
      </c>
      <c r="J39" s="3">
        <v>3.0</v>
      </c>
      <c r="K39" s="0" t="inlineStr">
        <is>
          <t>8월 4주차; Chase Secure (...7259); Balance shown: $3,039.75</t>
        </is>
      </c>
    </row>
    <row r="40">
      <c r="A40" s="4">
        <v>46245.0</v>
      </c>
      <c r="B40" s="9">
        <v>4.0</v>
      </c>
      <c r="C40" s="0" t="inlineStr">
        <is>
          <t>MTA*NYCT PAYGO NEW YORK NY 08/11</t>
        </is>
      </c>
      <c r="D40" s="0" t="inlineStr">
        <is>
          <t>MTA NYCT Paygo</t>
        </is>
      </c>
      <c r="E40" s="0" t="inlineStr">
        <is>
          <t>Transportation</t>
        </is>
      </c>
      <c r="F40" s="0" t="inlineStr">
        <is>
          <t>Public transit</t>
        </is>
      </c>
      <c r="G40" s="0" t="inlineStr">
        <is>
          <t>Checking</t>
        </is>
      </c>
      <c r="H40" s="0" t="inlineStr">
        <is>
          <t>Debit Card</t>
        </is>
      </c>
      <c r="I40" s="0" t="inlineStr">
        <is>
          <t>Expense</t>
        </is>
      </c>
      <c r="J40" s="3">
        <v>3.0</v>
      </c>
      <c r="K40" s="0" t="inlineStr">
        <is>
          <t>8월 4주차; Chase Secure (...7259); Balance shown: $3,036.75</t>
        </is>
      </c>
    </row>
    <row r="41">
      <c r="A41" s="4">
        <v>46245.0</v>
      </c>
      <c r="B41" s="9">
        <v>4.0</v>
      </c>
      <c r="C41" s="0" t="inlineStr">
        <is>
          <t>NYU BOOKSTORE #2015 NEW YORK NY 08/11</t>
        </is>
      </c>
      <c r="D41" s="0" t="inlineStr">
        <is>
          <t>NYU Bookstore</t>
        </is>
      </c>
      <c r="E41" s="0" t="inlineStr">
        <is>
          <t>Shopping</t>
        </is>
      </c>
      <c r="F41" s="0" t="inlineStr">
        <is>
          <t>Books/Supplies</t>
        </is>
      </c>
      <c r="G41" s="0" t="inlineStr">
        <is>
          <t>Checking</t>
        </is>
      </c>
      <c r="H41" s="0" t="inlineStr">
        <is>
          <t>Debit Card</t>
        </is>
      </c>
      <c r="I41" s="0" t="inlineStr">
        <is>
          <t>Expense</t>
        </is>
      </c>
      <c r="J41" s="3">
        <v>72.89</v>
      </c>
      <c r="K41" s="0" t="inlineStr">
        <is>
          <t>8월 4주차; Chase Secure (...7259); Balance shown: $2,963.86</t>
        </is>
      </c>
    </row>
    <row r="42">
      <c r="A42" s="4">
        <v>46245.0</v>
      </c>
      <c r="B42" s="9">
        <v>4.0</v>
      </c>
      <c r="C42" s="0" t="inlineStr">
        <is>
          <t>TARGET STORE T-3380 NEW YORK NY 08/11</t>
        </is>
      </c>
      <c r="D42" s="0" t="inlineStr">
        <is>
          <t>Target</t>
        </is>
      </c>
      <c r="E42" s="0" t="inlineStr">
        <is>
          <t>Essentials</t>
        </is>
      </c>
      <c r="F42" s="0" t="inlineStr">
        <is>
          <t>Retail</t>
        </is>
      </c>
      <c r="G42" s="0" t="inlineStr">
        <is>
          <t>Checking</t>
        </is>
      </c>
      <c r="H42" s="0" t="inlineStr">
        <is>
          <t>Debit Card</t>
        </is>
      </c>
      <c r="I42" s="0" t="inlineStr">
        <is>
          <t>Expense</t>
        </is>
      </c>
      <c r="J42" s="3">
        <v>2.98</v>
      </c>
      <c r="K42" s="0" t="inlineStr">
        <is>
          <t>8월 4주차; Chase Secure (...7259); Balance shown: $2,960.88</t>
        </is>
      </c>
    </row>
    <row r="43">
      <c r="A43" s="4">
        <v>46245.0</v>
      </c>
      <c r="B43" s="9">
        <v>4.0</v>
      </c>
      <c r="C43" s="0" t="inlineStr">
        <is>
          <t>MTA*NYCT PAYGO NEW YORK NY 08/11</t>
        </is>
      </c>
      <c r="D43" s="0" t="inlineStr">
        <is>
          <t>MTA NYCT Paygo</t>
        </is>
      </c>
      <c r="E43" s="0" t="inlineStr">
        <is>
          <t>Transportation</t>
        </is>
      </c>
      <c r="F43" s="0" t="inlineStr">
        <is>
          <t>Public transit</t>
        </is>
      </c>
      <c r="G43" s="0" t="inlineStr">
        <is>
          <t>Checking</t>
        </is>
      </c>
      <c r="H43" s="0" t="inlineStr">
        <is>
          <t>Debit Card</t>
        </is>
      </c>
      <c r="I43" s="0" t="inlineStr">
        <is>
          <t>Expense</t>
        </is>
      </c>
      <c r="J43" s="3">
        <v>3.0</v>
      </c>
      <c r="K43" s="0" t="inlineStr">
        <is>
          <t>8월 4주차; Chase Secure (...7259); Balance shown: $2,957.88</t>
        </is>
      </c>
    </row>
    <row r="44">
      <c r="A44" s="4">
        <v>46246.0</v>
      </c>
      <c r="B44" s="9">
        <v>4.0</v>
      </c>
      <c r="C44" s="0" t="inlineStr">
        <is>
          <t>MTA*NYCT PAYGO NEW YORK NY 08/12</t>
        </is>
      </c>
      <c r="D44" s="0" t="inlineStr">
        <is>
          <t>MTA NYCT Paygo</t>
        </is>
      </c>
      <c r="E44" s="0" t="inlineStr">
        <is>
          <t>Transportation</t>
        </is>
      </c>
      <c r="F44" s="0" t="inlineStr">
        <is>
          <t>Public transit</t>
        </is>
      </c>
      <c r="G44" s="0" t="inlineStr">
        <is>
          <t>Checking</t>
        </is>
      </c>
      <c r="H44" s="0" t="inlineStr">
        <is>
          <t>Debit Card</t>
        </is>
      </c>
      <c r="I44" s="0" t="inlineStr">
        <is>
          <t>Expense</t>
        </is>
      </c>
      <c r="J44" s="3">
        <v>3.0</v>
      </c>
      <c r="K44" s="0" t="inlineStr">
        <is>
          <t>8월 4주차; Chase Secure (...7259); Balance shown: $2,954.88</t>
        </is>
      </c>
    </row>
    <row r="45">
      <c r="A45" s="4">
        <v>46246.0</v>
      </c>
      <c r="B45" s="9">
        <v>4.0</v>
      </c>
      <c r="C45" s="0" t="inlineStr">
        <is>
          <t>MTA*NYCT PAYGO NEW YORK NY 08/12</t>
        </is>
      </c>
      <c r="D45" s="0" t="inlineStr">
        <is>
          <t>MTA NYCT Paygo</t>
        </is>
      </c>
      <c r="E45" s="0" t="inlineStr">
        <is>
          <t>Transportation</t>
        </is>
      </c>
      <c r="F45" s="0" t="inlineStr">
        <is>
          <t>Public transit</t>
        </is>
      </c>
      <c r="G45" s="0" t="inlineStr">
        <is>
          <t>Checking</t>
        </is>
      </c>
      <c r="H45" s="0" t="inlineStr">
        <is>
          <t>Debit Card</t>
        </is>
      </c>
      <c r="I45" s="0" t="inlineStr">
        <is>
          <t>Expense</t>
        </is>
      </c>
      <c r="J45" s="3">
        <v>3.0</v>
      </c>
      <c r="K45" s="0" t="inlineStr">
        <is>
          <t>8월 4주차; Chase Secure (...7259); Balance shown: $2,951.88</t>
        </is>
      </c>
    </row>
    <row r="46">
      <c r="A46" s="4">
        <v>46246.0</v>
      </c>
      <c r="B46" s="9">
        <v>4.0</v>
      </c>
      <c r="C46" s="0" t="inlineStr">
        <is>
          <t>MTA*NYCT PAYGO NEW YORK NY 08/12</t>
        </is>
      </c>
      <c r="D46" s="0" t="inlineStr">
        <is>
          <t>MTA NYCT Paygo</t>
        </is>
      </c>
      <c r="E46" s="0" t="inlineStr">
        <is>
          <t>Transportation</t>
        </is>
      </c>
      <c r="F46" s="0" t="inlineStr">
        <is>
          <t>Public transit</t>
        </is>
      </c>
      <c r="G46" s="0" t="inlineStr">
        <is>
          <t>Checking</t>
        </is>
      </c>
      <c r="H46" s="0" t="inlineStr">
        <is>
          <t>Debit Card</t>
        </is>
      </c>
      <c r="I46" s="0" t="inlineStr">
        <is>
          <t>Expense</t>
        </is>
      </c>
      <c r="J46" s="3">
        <v>3.0</v>
      </c>
      <c r="K46" s="0" t="inlineStr">
        <is>
          <t>8월 4주차; Chase Secure (...7259); Balance shown: $2,948.88</t>
        </is>
      </c>
    </row>
    <row r="47">
      <c r="A47" s="4">
        <v>46246.0</v>
      </c>
      <c r="B47" s="9">
        <v>4.0</v>
      </c>
      <c r="C47" s="0" t="inlineStr">
        <is>
          <t>TARGET T-3337 NEW YORK NY 08/12</t>
        </is>
      </c>
      <c r="D47" s="0" t="inlineStr">
        <is>
          <t>Target</t>
        </is>
      </c>
      <c r="E47" s="0" t="inlineStr">
        <is>
          <t>Essentials</t>
        </is>
      </c>
      <c r="F47" s="0" t="inlineStr">
        <is>
          <t>Retail</t>
        </is>
      </c>
      <c r="G47" s="0" t="inlineStr">
        <is>
          <t>Checking</t>
        </is>
      </c>
      <c r="H47" s="0" t="inlineStr">
        <is>
          <t>Debit Card</t>
        </is>
      </c>
      <c r="I47" s="0" t="inlineStr">
        <is>
          <t>Expense</t>
        </is>
      </c>
      <c r="J47" s="3">
        <v>3.27</v>
      </c>
      <c r="K47" s="0" t="inlineStr">
        <is>
          <t>8월 4주차; Chase Secure (...7259); Balance shown: $2,945.61</t>
        </is>
      </c>
    </row>
    <row r="48">
      <c r="A48" s="4">
        <v>46246.0</v>
      </c>
      <c r="B48" s="9">
        <v>4.0</v>
      </c>
      <c r="C48" s="0" t="inlineStr">
        <is>
          <t>MTA*NYCT PAYGO NEW YORK NY 08/12</t>
        </is>
      </c>
      <c r="D48" s="0" t="inlineStr">
        <is>
          <t>MTA NYCT Paygo</t>
        </is>
      </c>
      <c r="E48" s="0" t="inlineStr">
        <is>
          <t>Transportation</t>
        </is>
      </c>
      <c r="F48" s="0" t="inlineStr">
        <is>
          <t>Public transit</t>
        </is>
      </c>
      <c r="G48" s="0" t="inlineStr">
        <is>
          <t>Checking</t>
        </is>
      </c>
      <c r="H48" s="0" t="inlineStr">
        <is>
          <t>Debit Card</t>
        </is>
      </c>
      <c r="I48" s="0" t="inlineStr">
        <is>
          <t>Expense</t>
        </is>
      </c>
      <c r="J48" s="3">
        <v>3.0</v>
      </c>
      <c r="K48" s="0" t="inlineStr">
        <is>
          <t>8월 4주차; Chase Secure (...7259); Balance shown: $2,942.61</t>
        </is>
      </c>
    </row>
    <row r="49">
      <c r="A49" s="4">
        <v>46247.0</v>
      </c>
      <c r="B49" s="9">
        <v>4.0</v>
      </c>
      <c r="C49" s="0" t="inlineStr">
        <is>
          <t>LS TIME OUT MARKET UNI NEW YORK NY 08/13</t>
        </is>
      </c>
      <c r="D49" s="0" t="inlineStr">
        <is>
          <t>Time Out Market</t>
        </is>
      </c>
      <c r="E49" s="0" t="inlineStr">
        <is>
          <t>Dining</t>
        </is>
      </c>
      <c r="F49" s="0" t="inlineStr">
        <is>
          <t>Restaurant/Food hall</t>
        </is>
      </c>
      <c r="G49" s="0" t="inlineStr">
        <is>
          <t>Checking</t>
        </is>
      </c>
      <c r="H49" s="0" t="inlineStr">
        <is>
          <t>Debit Card</t>
        </is>
      </c>
      <c r="I49" s="0" t="inlineStr">
        <is>
          <t>Expense</t>
        </is>
      </c>
      <c r="J49" s="3">
        <v>15.24</v>
      </c>
      <c r="K49" s="0" t="inlineStr">
        <is>
          <t>8월 4주차; Chase Secure (...7259); Balance shown: $2,927.37</t>
        </is>
      </c>
    </row>
    <row r="50">
      <c r="A50" s="4">
        <v>46247.0</v>
      </c>
      <c r="B50" s="9">
        <v>4.0</v>
      </c>
      <c r="C50" s="0" t="inlineStr">
        <is>
          <t>MTA*NYCT PAYGO NEW YORK NY 08/13</t>
        </is>
      </c>
      <c r="D50" s="0" t="inlineStr">
        <is>
          <t>MTA NYCT Paygo</t>
        </is>
      </c>
      <c r="E50" s="0" t="inlineStr">
        <is>
          <t>Transportation</t>
        </is>
      </c>
      <c r="F50" s="0" t="inlineStr">
        <is>
          <t>Public transit</t>
        </is>
      </c>
      <c r="G50" s="0" t="inlineStr">
        <is>
          <t>Checking</t>
        </is>
      </c>
      <c r="H50" s="0" t="inlineStr">
        <is>
          <t>Debit Card</t>
        </is>
      </c>
      <c r="I50" s="0" t="inlineStr">
        <is>
          <t>Expense</t>
        </is>
      </c>
      <c r="J50" s="3">
        <v>3.0</v>
      </c>
      <c r="K50" s="0" t="inlineStr">
        <is>
          <t>8월 4주차; Chase Secure (...7259); Balance shown: $2,924.37</t>
        </is>
      </c>
    </row>
    <row r="51">
      <c r="A51" s="4">
        <v>46247.0</v>
      </c>
      <c r="B51" s="9">
        <v>4.0</v>
      </c>
      <c r="C51" s="0" t="inlineStr">
        <is>
          <t>MTA*NYCT PAYGO NEW YORK NY 08/13</t>
        </is>
      </c>
      <c r="D51" s="0" t="inlineStr">
        <is>
          <t>MTA NYCT Paygo</t>
        </is>
      </c>
      <c r="E51" s="0" t="inlineStr">
        <is>
          <t>Transportation</t>
        </is>
      </c>
      <c r="F51" s="0" t="inlineStr">
        <is>
          <t>Public transit</t>
        </is>
      </c>
      <c r="G51" s="0" t="inlineStr">
        <is>
          <t>Checking</t>
        </is>
      </c>
      <c r="H51" s="0" t="inlineStr">
        <is>
          <t>Debit Card</t>
        </is>
      </c>
      <c r="I51" s="0" t="inlineStr">
        <is>
          <t>Expense</t>
        </is>
      </c>
      <c r="J51" s="3">
        <v>2.0</v>
      </c>
      <c r="K51" s="0" t="inlineStr">
        <is>
          <t>8월 4주차; Chase Secure (...7259); Balance shown: $2,922.37</t>
        </is>
      </c>
    </row>
    <row r="52">
      <c r="A52" s="4">
        <v>46247.0</v>
      </c>
      <c r="B52" s="9">
        <v>4.0</v>
      </c>
      <c r="C52" s="0" t="inlineStr">
        <is>
          <t>TESO LIFE NEW YORK NY 08/13</t>
        </is>
      </c>
      <c r="D52" s="0" t="inlineStr">
        <is>
          <t>Teso Life</t>
        </is>
      </c>
      <c r="E52" s="0" t="inlineStr">
        <is>
          <t>Shopping</t>
        </is>
      </c>
      <c r="F52" s="0" t="inlineStr">
        <is>
          <t>Retail</t>
        </is>
      </c>
      <c r="G52" s="0" t="inlineStr">
        <is>
          <t>Checking</t>
        </is>
      </c>
      <c r="H52" s="0" t="inlineStr">
        <is>
          <t>Debit Card</t>
        </is>
      </c>
      <c r="I52" s="0" t="inlineStr">
        <is>
          <t>Expense</t>
        </is>
      </c>
      <c r="J52" s="3">
        <v>12.99</v>
      </c>
      <c r="K52" s="0" t="inlineStr">
        <is>
          <t>8월 4주차; Chase Secure (...7259); Balance shown: $2,909.38</t>
        </is>
      </c>
    </row>
    <row r="53">
      <c r="A53" s="4">
        <v>46247.0</v>
      </c>
      <c r="B53" s="9">
        <v>4.0</v>
      </c>
      <c r="C53" s="0" t="inlineStr">
        <is>
          <t>SQ *SHAWONTRADEINC NEW YORK NY 08/13</t>
        </is>
      </c>
      <c r="D53" s="0" t="inlineStr">
        <is>
          <t>SQ Shawontradeinc</t>
        </is>
      </c>
      <c r="E53" s="0" t="inlineStr">
        <is>
          <t>Shopping</t>
        </is>
      </c>
      <c r="F53" s="0" t="inlineStr">
        <is>
          <t>Retail</t>
        </is>
      </c>
      <c r="G53" s="0" t="inlineStr">
        <is>
          <t>Checking</t>
        </is>
      </c>
      <c r="H53" s="0" t="inlineStr">
        <is>
          <t>Debit Card</t>
        </is>
      </c>
      <c r="I53" s="0" t="inlineStr">
        <is>
          <t>Expense</t>
        </is>
      </c>
      <c r="J53" s="3">
        <v>4.36</v>
      </c>
      <c r="K53" s="0" t="inlineStr">
        <is>
          <t>8월 4주차; Chase Secure (...7259); Balance shown: $2,905.02</t>
        </is>
      </c>
    </row>
    <row r="54">
      <c r="A54" s="4">
        <v>46248.0</v>
      </c>
      <c r="B54" s="9">
        <v>4.0</v>
      </c>
      <c r="C54" s="0" t="inlineStr">
        <is>
          <t>SEATGEEK TICKETS SEATGEEK.COM NY 08/14</t>
        </is>
      </c>
      <c r="D54" s="0" t="inlineStr">
        <is>
          <t>SeatGeek</t>
        </is>
      </c>
      <c r="E54" s="0" t="inlineStr">
        <is>
          <t>Entertainment</t>
        </is>
      </c>
      <c r="F54" s="0" t="inlineStr">
        <is>
          <t>Tickets</t>
        </is>
      </c>
      <c r="G54" s="0" t="inlineStr">
        <is>
          <t>Checking</t>
        </is>
      </c>
      <c r="H54" s="0" t="inlineStr">
        <is>
          <t>Debit Card</t>
        </is>
      </c>
      <c r="I54" s="0" t="inlineStr">
        <is>
          <t>Expense</t>
        </is>
      </c>
      <c r="J54" s="3">
        <v>102.47</v>
      </c>
      <c r="K54" s="0" t="inlineStr">
        <is>
          <t>8월 4주차; Chase Secure (...7259); Original charge $204.94 split between 2 people; personal share $102.47</t>
        </is>
      </c>
    </row>
    <row r="55">
      <c r="A55" s="4">
        <v>46248.0</v>
      </c>
      <c r="B55" s="9">
        <v>4.0</v>
      </c>
      <c r="C55" s="0" t="inlineStr">
        <is>
          <t>T.J. MAXX #1469 NEW YORK NY 008988 08/14</t>
        </is>
      </c>
      <c r="D55" s="0" t="inlineStr">
        <is>
          <t>T.J. Maxx</t>
        </is>
      </c>
      <c r="E55" s="0" t="inlineStr">
        <is>
          <t>Essentials</t>
        </is>
      </c>
      <c r="F55" s="0" t="inlineStr">
        <is>
          <t>Retail</t>
        </is>
      </c>
      <c r="G55" s="0" t="inlineStr">
        <is>
          <t>Checking</t>
        </is>
      </c>
      <c r="H55" s="0" t="inlineStr">
        <is>
          <t>Debit Card</t>
        </is>
      </c>
      <c r="I55" s="0" t="inlineStr">
        <is>
          <t>Expense</t>
        </is>
      </c>
      <c r="J55" s="3">
        <v>14.13</v>
      </c>
      <c r="K55" s="0" t="inlineStr">
        <is>
          <t>8월 4주차; Chase Secure (...7259); Balance shown: $2,685.95</t>
        </is>
      </c>
    </row>
    <row r="56">
      <c r="A56" s="4">
        <v>46248.0</v>
      </c>
      <c r="B56" s="9">
        <v>4.0</v>
      </c>
      <c r="C56" s="0" t="inlineStr">
        <is>
          <t>WHOLEFDS HRM#105 100 W NEW YORK NY 666156 08/14</t>
        </is>
      </c>
      <c r="D56" s="0" t="inlineStr">
        <is>
          <t>Whole Foods</t>
        </is>
      </c>
      <c r="E56" s="0" t="inlineStr">
        <is>
          <t>Groceries</t>
        </is>
      </c>
      <c r="F56" s="0" t="inlineStr">
        <is>
          <t>Groceries</t>
        </is>
      </c>
      <c r="G56" s="0" t="inlineStr">
        <is>
          <t>Checking</t>
        </is>
      </c>
      <c r="H56" s="0" t="inlineStr">
        <is>
          <t>Debit Card</t>
        </is>
      </c>
      <c r="I56" s="0" t="inlineStr">
        <is>
          <t>Expense</t>
        </is>
      </c>
      <c r="J56" s="3">
        <v>14.29</v>
      </c>
      <c r="K56" s="0" t="inlineStr">
        <is>
          <t>8월 4주차; Chase Secure (...7259); Balance shown: $2,671.66</t>
        </is>
      </c>
    </row>
    <row r="57">
      <c r="A57" s="4">
        <v>46248.0</v>
      </c>
      <c r="B57" s="9">
        <v>4.0</v>
      </c>
      <c r="C57" s="0" t="inlineStr">
        <is>
          <t>TRADER JOE S #57 123 W HARLEM NY 284362 08/14</t>
        </is>
      </c>
      <c r="D57" s="0" t="inlineStr">
        <is>
          <t>Trader Joe's</t>
        </is>
      </c>
      <c r="E57" s="0" t="inlineStr">
        <is>
          <t>Groceries</t>
        </is>
      </c>
      <c r="F57" s="0" t="inlineStr">
        <is>
          <t>Groceries</t>
        </is>
      </c>
      <c r="G57" s="0" t="inlineStr">
        <is>
          <t>Checking</t>
        </is>
      </c>
      <c r="H57" s="0" t="inlineStr">
        <is>
          <t>Debit Card</t>
        </is>
      </c>
      <c r="I57" s="0" t="inlineStr">
        <is>
          <t>Expense</t>
        </is>
      </c>
      <c r="J57" s="3">
        <v>17.93</v>
      </c>
      <c r="K57" s="0" t="inlineStr">
        <is>
          <t>8월 4주차; Chase Secure (...7259); Balance shown: $2,653.73</t>
        </is>
      </c>
    </row>
    <row r="58">
      <c r="A58" s="4">
        <v>46251.0</v>
      </c>
      <c r="B58" s="9">
        <v>4.0</v>
      </c>
      <c r="C58" s="0" t="inlineStr">
        <is>
          <t>WHOLEFDS HRM#105 100 W NEW YORK NY 875002 08/16</t>
        </is>
      </c>
      <c r="D58" s="0" t="inlineStr">
        <is>
          <t>Whole Foods</t>
        </is>
      </c>
      <c r="E58" s="0" t="inlineStr">
        <is>
          <t>Groceries</t>
        </is>
      </c>
      <c r="F58" s="0" t="inlineStr">
        <is>
          <t>Groceries</t>
        </is>
      </c>
      <c r="G58" s="0" t="inlineStr">
        <is>
          <t>Checking</t>
        </is>
      </c>
      <c r="H58" s="0" t="inlineStr">
        <is>
          <t>Debit Card</t>
        </is>
      </c>
      <c r="I58" s="0" t="inlineStr">
        <is>
          <t>Expense</t>
        </is>
      </c>
      <c r="J58" s="3">
        <v>19.45</v>
      </c>
      <c r="K58" s="0" t="inlineStr">
        <is>
          <t>8월 4주차; Chase Secure (...0119); Balance shown: $2,494.73</t>
        </is>
      </c>
    </row>
    <row r="59">
      <c r="A59" s="4">
        <v>46251.0</v>
      </c>
      <c r="B59" s="9">
        <v>4.0</v>
      </c>
      <c r="C59" s="0" t="inlineStr">
        <is>
          <t>TRADER JOE S #57 123 W HARLEM NY 605005 08/16</t>
        </is>
      </c>
      <c r="D59" s="0" t="inlineStr">
        <is>
          <t>Trader Joe's</t>
        </is>
      </c>
      <c r="E59" s="0" t="inlineStr">
        <is>
          <t>Groceries</t>
        </is>
      </c>
      <c r="F59" s="0" t="inlineStr">
        <is>
          <t>Groceries</t>
        </is>
      </c>
      <c r="G59" s="0" t="inlineStr">
        <is>
          <t>Checking</t>
        </is>
      </c>
      <c r="H59" s="0" t="inlineStr">
        <is>
          <t>Debit Card</t>
        </is>
      </c>
      <c r="I59" s="0" t="inlineStr">
        <is>
          <t>Expense</t>
        </is>
      </c>
      <c r="J59" s="3">
        <v>46.86</v>
      </c>
      <c r="K59" s="0" t="inlineStr">
        <is>
          <t>8월 4주차; Chase Secure (...0119); Balance shown: $2,514.18</t>
        </is>
      </c>
    </row>
    <row r="60">
      <c r="A60" s="4">
        <v>46251.0</v>
      </c>
      <c r="B60" s="9">
        <v>4.0</v>
      </c>
      <c r="C60" s="0" t="inlineStr">
        <is>
          <t>AMC 9640 ONLINE 888-440-4262 KS 08/17</t>
        </is>
      </c>
      <c r="D60" s="0" t="inlineStr">
        <is>
          <t>AMC</t>
        </is>
      </c>
      <c r="E60" s="0" t="inlineStr">
        <is>
          <t>Entertainment</t>
        </is>
      </c>
      <c r="F60" s="0" t="inlineStr">
        <is>
          <t>Movies</t>
        </is>
      </c>
      <c r="G60" s="0" t="inlineStr">
        <is>
          <t>Checking</t>
        </is>
      </c>
      <c r="H60" s="0" t="inlineStr">
        <is>
          <t>Debit Card</t>
        </is>
      </c>
      <c r="I60" s="0" t="inlineStr">
        <is>
          <t>Expense</t>
        </is>
      </c>
      <c r="J60" s="3">
        <v>25.86</v>
      </c>
      <c r="K60" s="0" t="inlineStr">
        <is>
          <t>8월 4주차; Chase Secure (...0119); Balance shown: $2,561.04</t>
        </is>
      </c>
    </row>
    <row r="61">
      <c r="A61" s="4">
        <v>46251.0</v>
      </c>
      <c r="B61" s="9">
        <v>4.0</v>
      </c>
      <c r="C61" s="0" t="inlineStr">
        <is>
          <t>TST* 230 FIFTH NEW YORK NY 08/16</t>
        </is>
      </c>
      <c r="D61" s="0" t="inlineStr">
        <is>
          <t>230 Fifth</t>
        </is>
      </c>
      <c r="E61" s="0" t="inlineStr">
        <is>
          <t>Dining</t>
        </is>
      </c>
      <c r="F61" s="0" t="inlineStr">
        <is>
          <t>Restaurant/Bar</t>
        </is>
      </c>
      <c r="G61" s="0" t="inlineStr">
        <is>
          <t>Checking</t>
        </is>
      </c>
      <c r="H61" s="0" t="inlineStr">
        <is>
          <t>Debit Card</t>
        </is>
      </c>
      <c r="I61" s="0" t="inlineStr">
        <is>
          <t>Expense</t>
        </is>
      </c>
      <c r="J61" s="3">
        <v>9.00</v>
      </c>
      <c r="K61" s="0" t="inlineStr">
        <is>
          <t>8월 4주차; Chase Secure (...0119); Balance shown: $2,586.90</t>
        </is>
      </c>
    </row>
    <row r="62">
      <c r="A62" s="4">
        <v>46251.0</v>
      </c>
      <c r="B62" s="9">
        <v>4.0</v>
      </c>
      <c r="C62" s="0" t="inlineStr">
        <is>
          <t>TST* 230 FIFTH NEW YORK NY 08/16</t>
        </is>
      </c>
      <c r="D62" s="0" t="inlineStr">
        <is>
          <t>230 Fifth</t>
        </is>
      </c>
      <c r="E62" s="0" t="inlineStr">
        <is>
          <t>Dining</t>
        </is>
      </c>
      <c r="F62" s="0" t="inlineStr">
        <is>
          <t>Restaurant/Bar</t>
        </is>
      </c>
      <c r="G62" s="0" t="inlineStr">
        <is>
          <t>Checking</t>
        </is>
      </c>
      <c r="H62" s="0" t="inlineStr">
        <is>
          <t>Debit Card</t>
        </is>
      </c>
      <c r="I62" s="0" t="inlineStr">
        <is>
          <t>Expense</t>
        </is>
      </c>
      <c r="J62" s="3">
        <v>10.00</v>
      </c>
      <c r="K62" s="0" t="inlineStr">
        <is>
          <t>8월 4주차; Chase Secure (...0119); Balance shown: $2,595.90</t>
        </is>
      </c>
    </row>
    <row r="63">
      <c r="A63" s="4">
        <v>46251.0</v>
      </c>
      <c r="B63" s="9">
        <v>4.0</v>
      </c>
      <c r="C63" s="0" t="inlineStr">
        <is>
          <t>TST* 230 FIFTH NEW YORK NY 08/16</t>
        </is>
      </c>
      <c r="D63" s="0" t="inlineStr">
        <is>
          <t>230 Fifth</t>
        </is>
      </c>
      <c r="E63" s="0" t="inlineStr">
        <is>
          <t>Dining</t>
        </is>
      </c>
      <c r="F63" s="0" t="inlineStr">
        <is>
          <t>Restaurant/Bar</t>
        </is>
      </c>
      <c r="G63" s="0" t="inlineStr">
        <is>
          <t>Checking</t>
        </is>
      </c>
      <c r="H63" s="0" t="inlineStr">
        <is>
          <t>Debit Card</t>
        </is>
      </c>
      <c r="I63" s="0" t="inlineStr">
        <is>
          <t>Expense</t>
        </is>
      </c>
      <c r="J63" s="3">
        <v>15.00</v>
      </c>
      <c r="K63" s="0" t="inlineStr">
        <is>
          <t>8월 4주차; Chase Secure (...0119); Balance shown: $2,605.90</t>
        </is>
      </c>
    </row>
    <row r="64">
      <c r="A64" s="4">
        <v>46251.0</v>
      </c>
      <c r="B64" s="9">
        <v>4</v>
      </c>
      <c r="C64" s="0" t="inlineStr">
        <is>
          <t>150 BROADWAY ELECTRONIC NEW YORK NY 08/15</t>
        </is>
      </c>
      <c r="D64" s="0" t="inlineStr">
        <is>
          <t>150 Broadway Electronic</t>
        </is>
      </c>
      <c r="E64" s="0" t="inlineStr">
        <is>
          <t>Shopping</t>
        </is>
      </c>
      <c r="F64" s="0" t="inlineStr">
        <is>
          <t>Electronics</t>
        </is>
      </c>
      <c r="G64" s="0" t="inlineStr">
        <is>
          <t>Checking</t>
        </is>
      </c>
      <c r="H64" s="0" t="inlineStr">
        <is>
          <t>Debit Card</t>
        </is>
      </c>
      <c r="I64" s="0" t="inlineStr">
        <is>
          <t>Expense</t>
        </is>
      </c>
      <c r="J64" s="3">
        <v>28.02</v>
      </c>
      <c r="K64" s="0" t="inlineStr">
        <is>
          <t>8월 4주차; Chase Secure (...0119); Balance shown: $2,620.90</t>
        </is>
      </c>
    </row>
    <row r="65">
      <c r="A65" s="4">
        <v>46251.0</v>
      </c>
      <c r="B65" s="9">
        <v>4.0</v>
      </c>
      <c r="C65" s="0" t="inlineStr">
        <is>
          <t>MILANO PIZZA &amp; PASTA NEW YORK NY 08/14</t>
        </is>
      </c>
      <c r="D65" s="0" t="inlineStr">
        <is>
          <t>Milano Pizza &amp; Pasta</t>
        </is>
      </c>
      <c r="E65" s="0" t="inlineStr">
        <is>
          <t>Dining</t>
        </is>
      </c>
      <c r="F65" s="0" t="inlineStr">
        <is>
          <t>Restaurant</t>
        </is>
      </c>
      <c r="G65" s="0" t="inlineStr">
        <is>
          <t>Checking</t>
        </is>
      </c>
      <c r="H65" s="0" t="inlineStr">
        <is>
          <t>Debit Card</t>
        </is>
      </c>
      <c r="I65" s="0" t="inlineStr">
        <is>
          <t>Expense</t>
        </is>
      </c>
      <c r="J65" s="3">
        <v>4.81</v>
      </c>
      <c r="K65" s="0" t="inlineStr">
        <is>
          <t>8월 4주차; Chase Secure (...0119); Balance shown: $2,648.92</t>
        </is>
      </c>
    </row>
    <row r="66">
      <c r="A66" s="4">
        <v>46252.0</v>
      </c>
      <c r="B66" s="9">
        <v>4.0</v>
      </c>
      <c r="C66" s="0" t="inlineStr">
        <is>
          <t>TRADER JOE S #57 123 W HARLEM NY 902542 08/18</t>
        </is>
      </c>
      <c r="D66" s="0" t="inlineStr">
        <is>
          <t>Trader Joe's</t>
        </is>
      </c>
      <c r="E66" s="0" t="inlineStr">
        <is>
          <t>Groceries</t>
        </is>
      </c>
      <c r="F66" s="0" t="inlineStr">
        <is>
          <t>Groceries</t>
        </is>
      </c>
      <c r="G66" s="0" t="inlineStr">
        <is>
          <t>Checking</t>
        </is>
      </c>
      <c r="H66" s="0" t="inlineStr">
        <is>
          <t>Debit Card</t>
        </is>
      </c>
      <c r="I66" s="0" t="inlineStr">
        <is>
          <t>Expense</t>
        </is>
      </c>
      <c r="J66" s="3">
        <v>2.49</v>
      </c>
      <c r="K66" s="0" t="inlineStr">
        <is>
          <t>8월 4주차; Chase Secure (...0119); Balance shown: $2,472.11</t>
        </is>
      </c>
    </row>
    <row r="67">
      <c r="A67" s="4">
        <v>46252.0</v>
      </c>
      <c r="B67" s="9">
        <v>4.0</v>
      </c>
      <c r="C67" s="0" t="inlineStr">
        <is>
          <t>T.J. MAXX #1469 NEW YORK NY 007353 08/18</t>
        </is>
      </c>
      <c r="D67" s="0" t="inlineStr">
        <is>
          <t>T.J. Maxx</t>
        </is>
      </c>
      <c r="E67" s="0" t="inlineStr">
        <is>
          <t>Essentials</t>
        </is>
      </c>
      <c r="F67" s="0" t="inlineStr">
        <is>
          <t>Retail</t>
        </is>
      </c>
      <c r="G67" s="0" t="inlineStr">
        <is>
          <t>Checking</t>
        </is>
      </c>
      <c r="H67" s="0" t="inlineStr">
        <is>
          <t>Debit Card</t>
        </is>
      </c>
      <c r="I67" s="0" t="inlineStr">
        <is>
          <t>Expense</t>
        </is>
      </c>
      <c r="J67" s="3">
        <v>14.13</v>
      </c>
      <c r="K67" s="0" t="inlineStr">
        <is>
          <t>8월 4주차; Chase Secure (...0119); Balance shown: $2,474.60</t>
        </is>
      </c>
    </row>
    <row r="68">
      <c r="A68" s="4">
        <v>46252.0</v>
      </c>
      <c r="B68" s="9">
        <v>4.0</v>
      </c>
      <c r="C68" s="0" t="inlineStr">
        <is>
          <t>MTA*NYCT PAYGO NEW YORK NY 08/17</t>
        </is>
      </c>
      <c r="D68" s="0" t="inlineStr">
        <is>
          <t>MTA NYCT Paygo</t>
        </is>
      </c>
      <c r="E68" s="0" t="inlineStr">
        <is>
          <t>Transportation</t>
        </is>
      </c>
      <c r="F68" s="0" t="inlineStr">
        <is>
          <t>Public transit</t>
        </is>
      </c>
      <c r="G68" s="0" t="inlineStr">
        <is>
          <t>Checking</t>
        </is>
      </c>
      <c r="H68" s="0" t="inlineStr">
        <is>
          <t>Debit Card</t>
        </is>
      </c>
      <c r="I68" s="0" t="inlineStr">
        <is>
          <t>Expense</t>
        </is>
      </c>
      <c r="J68" s="3">
        <v>3.00</v>
      </c>
      <c r="K68" s="0" t="inlineStr">
        <is>
          <t>8월 4주차; Chase Secure (...0119); Balance shown: $2,488.73</t>
        </is>
      </c>
    </row>
    <row r="69">
      <c r="A69" s="4">
        <v>46252.0</v>
      </c>
      <c r="B69" s="9">
        <v>4.0</v>
      </c>
      <c r="C69" s="0" t="inlineStr">
        <is>
          <t>MTA*NYCT PAYGO NEW YORK NY 08/17</t>
        </is>
      </c>
      <c r="D69" s="0" t="inlineStr">
        <is>
          <t>MTA NYCT Paygo</t>
        </is>
      </c>
      <c r="E69" s="0" t="inlineStr">
        <is>
          <t>Transportation</t>
        </is>
      </c>
      <c r="F69" s="0" t="inlineStr">
        <is>
          <t>Public transit</t>
        </is>
      </c>
      <c r="G69" s="0" t="inlineStr">
        <is>
          <t>Checking</t>
        </is>
      </c>
      <c r="H69" s="0" t="inlineStr">
        <is>
          <t>Debit Card</t>
        </is>
      </c>
      <c r="I69" s="0" t="inlineStr">
        <is>
          <t>Expense</t>
        </is>
      </c>
      <c r="J69" s="3">
        <v>3.00</v>
      </c>
      <c r="K69" s="0" t="inlineStr">
        <is>
          <t>8월 4주차; Chase Secure (...0119); Balance shown: $2,491.73</t>
        </is>
      </c>
    </row>
    <row r="70">
      <c r="A70" s="4">
        <v>46253.0</v>
      </c>
      <c r="B70" s="9">
        <v>4.0</v>
      </c>
      <c r="C70" s="0" t="inlineStr">
        <is>
          <t>MTA*NYCT PAYGO NEW YORK NY 08/18</t>
        </is>
      </c>
      <c r="D70" s="0" t="inlineStr">
        <is>
          <t>MTA NYCT Paygo</t>
        </is>
      </c>
      <c r="E70" s="0" t="inlineStr">
        <is>
          <t>Transportation</t>
        </is>
      </c>
      <c r="F70" s="0" t="inlineStr">
        <is>
          <t>Public transit</t>
        </is>
      </c>
      <c r="G70" s="0" t="inlineStr">
        <is>
          <t>Checking</t>
        </is>
      </c>
      <c r="H70" s="0" t="inlineStr">
        <is>
          <t>Debit Card</t>
        </is>
      </c>
      <c r="I70" s="0" t="inlineStr">
        <is>
          <t>Expense</t>
        </is>
      </c>
      <c r="J70" s="3">
        <v>3.00</v>
      </c>
      <c r="K70" s="0" t="inlineStr">
        <is>
          <t>8월 4주차; Chase Secure (...0119); Balance shown: $2,452.61</t>
        </is>
      </c>
    </row>
    <row r="71">
      <c r="A71" s="4">
        <v>46253.0</v>
      </c>
      <c r="B71" s="9">
        <v>4.0</v>
      </c>
      <c r="C71" s="0" t="inlineStr">
        <is>
          <t>NEW YORK STATE DMV ALBANY NY 08/18</t>
        </is>
      </c>
      <c r="D71" s="0" t="inlineStr">
        <is>
          <t>New York State DMV</t>
        </is>
      </c>
      <c r="E71" s="0" t="inlineStr">
        <is>
          <t>Essentials</t>
        </is>
      </c>
      <c r="F71" s="0" t="inlineStr">
        <is>
          <t>DMV</t>
        </is>
      </c>
      <c r="G71" s="0" t="inlineStr">
        <is>
          <t>Checking</t>
        </is>
      </c>
      <c r="H71" s="0" t="inlineStr">
        <is>
          <t>Debit Card</t>
        </is>
      </c>
      <c r="I71" s="0" t="inlineStr">
        <is>
          <t>Expense</t>
        </is>
      </c>
      <c r="J71" s="3">
        <v>13.50</v>
      </c>
      <c r="K71" s="0" t="inlineStr">
        <is>
          <t>8월 4주차; Chase Secure (...0119); Balance shown: $2,455.61</t>
        </is>
      </c>
    </row>
    <row r="72">
      <c r="A72" s="4">
        <v>46253.0</v>
      </c>
      <c r="B72" s="9">
        <v>4.0</v>
      </c>
      <c r="C72" s="0" t="inlineStr">
        <is>
          <t>MTA*NYCT PAYGO NEW YORK NY 08/18</t>
        </is>
      </c>
      <c r="D72" s="0" t="inlineStr">
        <is>
          <t>MTA NYCT Paygo</t>
        </is>
      </c>
      <c r="E72" s="0" t="inlineStr">
        <is>
          <t>Transportation</t>
        </is>
      </c>
      <c r="F72" s="0" t="inlineStr">
        <is>
          <t>Public transit</t>
        </is>
      </c>
      <c r="G72" s="0" t="inlineStr">
        <is>
          <t>Checking</t>
        </is>
      </c>
      <c r="H72" s="0" t="inlineStr">
        <is>
          <t>Debit Card</t>
        </is>
      </c>
      <c r="I72" s="0" t="inlineStr">
        <is>
          <t>Expense</t>
        </is>
      </c>
      <c r="J72" s="3">
        <v>3.00</v>
      </c>
      <c r="K72" s="0" t="inlineStr">
        <is>
          <t>8월 4주차; Chase Secure (...0119); Balance shown: $2,469.11</t>
        </is>
      </c>
    </row>
    <row r="73">
      <c r="A73" s="4">
        <v>46235.0</v>
      </c>
      <c r="B73" s="9">
        <v>1.0</v>
      </c>
      <c r="C73" s="0" t="inlineStr">
        <is>
          <t>Monthly housing cost</t>
        </is>
      </c>
      <c r="D73" s="0" t="inlineStr">
        <is>
          <t>Housing</t>
        </is>
      </c>
      <c r="E73" s="0" t="inlineStr">
        <is>
          <t>Housing</t>
        </is>
      </c>
      <c r="F73" s="0" t="inlineStr">
        <is>
          <t>Rent</t>
        </is>
      </c>
      <c r="G73" s="0" t="inlineStr">
        <is>
          <t>Checking</t>
        </is>
      </c>
      <c r="H73" s="0" t="inlineStr">
        <is>
          <t>Bank Transfer</t>
        </is>
      </c>
      <c r="I73" s="0" t="inlineStr">
        <is>
          <t>Expense</t>
        </is>
      </c>
      <c r="J73" s="3">
        <v>1100.00</v>
      </c>
      <c r="K73" s="0" t="inlineStr">
        <is>
          <t>Recurring monthly housing cost through Dec 2026</t>
        </is>
      </c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46266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46296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46327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46357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Views>
    <sheetView workbookViewId="0" showGridLines="0"/>
  </sheetViews>
  <cols>
    <col min="1" max="4" width="24" customWidth="1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t="inlineStr">
        <is>
          <t>Housing</t>
        </is>
      </c>
      <c r="B2" t="inlineStr">
        <is>
          <t>Expense</t>
        </is>
      </c>
      <c r="C2" t="inlineStr">
        <is>
          <t>Credit Card</t>
        </is>
      </c>
      <c r="D2" t="inlineStr">
        <is>
          <t>Checking</t>
        </is>
      </c>
    </row>
    <row r="3">
      <c r="A3" t="inlineStr">
        <is>
          <t>Utilities</t>
        </is>
      </c>
      <c r="B3" t="inlineStr">
        <is>
          <t>Income</t>
        </is>
      </c>
      <c r="C3" t="inlineStr">
        <is>
          <t>Debit Card</t>
        </is>
      </c>
      <c r="D3" t="inlineStr">
        <is>
          <t>Savings</t>
        </is>
      </c>
    </row>
    <row r="4">
      <c r="A4" t="inlineStr">
        <is>
          <t>Groceries</t>
        </is>
      </c>
      <c r="B4" t="inlineStr">
        <is>
          <t>Transfer</t>
        </is>
      </c>
      <c r="C4" t="inlineStr">
        <is>
          <t>Bank Transfer</t>
        </is>
      </c>
      <c r="D4" t="inlineStr">
        <is>
          <t>Credit Card</t>
        </is>
      </c>
    </row>
    <row r="5">
      <c r="A5" t="inlineStr">
        <is>
          <t>Dining</t>
        </is>
      </c>
      <c r="B5" t="inlineStr">
        <is>
          <t>Opening Balance</t>
        </is>
      </c>
      <c r="C5" t="inlineStr">
        <is>
          <t>ACH</t>
        </is>
      </c>
      <c r="D5" t="inlineStr">
        <is>
          <t>Cash</t>
        </is>
      </c>
    </row>
    <row r="6">
      <c r="A6" t="inlineStr">
        <is>
          <t>Transportation</t>
        </is>
      </c>
      <c r="B6"/>
      <c r="C6" t="inlineStr">
        <is>
          <t>Cash</t>
        </is>
      </c>
      <c r="D6" t="inlineStr">
        <is>
          <t>Investment</t>
        </is>
      </c>
    </row>
    <row r="7">
      <c r="A7" t="inlineStr">
        <is>
          <t>Health &amp; Medical</t>
        </is>
      </c>
      <c r="B7"/>
      <c r="C7" t="inlineStr">
        <is>
          <t>Check</t>
        </is>
      </c>
      <c r="D7" t="inlineStr">
        <is>
          <t>Loan</t>
        </is>
      </c>
    </row>
    <row r="8">
      <c r="A8" t="inlineStr">
        <is>
          <t>Insurance</t>
        </is>
      </c>
      <c r="B8"/>
      <c r="C8" t="inlineStr">
        <is>
          <t>Venmo/Zelle/PayPal</t>
        </is>
      </c>
      <c r="D8" t="inlineStr">
        <is>
          <t>Other</t>
        </is>
      </c>
    </row>
    <row r="9">
      <c r="A9" t="inlineStr">
        <is>
          <t>Debt Payments</t>
        </is>
      </c>
      <c r="B9"/>
      <c r="C9" t="inlineStr">
        <is>
          <t>Other</t>
        </is>
      </c>
      <c r="D9"/>
    </row>
    <row r="10">
      <c r="A10" t="inlineStr">
        <is>
          <t>Savings &amp; Investments</t>
        </is>
      </c>
      <c r="B10"/>
      <c r="C10"/>
      <c r="D10"/>
    </row>
    <row r="11">
      <c r="A11" t="inlineStr">
        <is>
          <t>Personal Care</t>
        </is>
      </c>
      <c r="B11"/>
      <c r="C11"/>
      <c r="D11"/>
    </row>
    <row r="12">
      <c r="A12" t="inlineStr">
        <is>
          <t>Shopping</t>
        </is>
      </c>
      <c r="B12"/>
      <c r="C12"/>
      <c r="D12"/>
    </row>
    <row r="13">
      <c r="A13" t="inlineStr">
        <is>
          <t>Entertainment</t>
        </is>
      </c>
      <c r="B13"/>
      <c r="C13"/>
      <c r="D13"/>
    </row>
    <row r="14">
      <c r="A14" t="inlineStr">
        <is>
          <t>Travel</t>
        </is>
      </c>
      <c r="B14"/>
      <c r="C14"/>
      <c r="D14"/>
    </row>
    <row r="15">
      <c r="A15" t="inlineStr">
        <is>
          <t>Education</t>
        </is>
      </c>
      <c r="B15"/>
      <c r="C15"/>
      <c r="D15"/>
    </row>
    <row r="16">
      <c r="A16" t="inlineStr">
        <is>
          <t>Gifts &amp; Donations</t>
        </is>
      </c>
      <c r="B16"/>
      <c r="C16"/>
      <c r="D16"/>
    </row>
    <row r="17">
      <c r="A17" t="inlineStr">
        <is>
          <t>Taxes</t>
        </is>
      </c>
      <c r="B17"/>
      <c r="C17"/>
      <c r="D17"/>
    </row>
    <row r="18">
      <c r="A18" t="inlineStr">
        <is>
          <t>Fees &amp; Charges</t>
        </is>
      </c>
      <c r="B18"/>
      <c r="C18"/>
      <c r="D18"/>
    </row>
    <row r="19">
      <c r="A19" t="inlineStr">
        <is>
          <t>Income</t>
        </is>
      </c>
      <c r="B19"/>
      <c r="C19"/>
      <c r="D19"/>
    </row>
    <row r="20">
      <c r="A20" t="inlineStr">
        <is>
          <t>Transfers</t>
        </is>
      </c>
      <c r="B20"/>
      <c r="C20"/>
      <c r="D20"/>
    </row>
    <row r="21">
      <c r="A21" t="inlineStr">
        <is>
          <t>Existing Savings</t>
        </is>
      </c>
      <c r="B21"/>
      <c r="C21"/>
      <c r="D21"/>
    </row>
    <row r="22">
      <c r="A22" t="inlineStr">
        <is>
          <t>Essentials</t>
        </is>
      </c>
      <c r="B22"/>
      <c r="C22"/>
      <c r="D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Jan 2026</vt:lpstr>
      <vt:lpstr>Feb 2026</vt:lpstr>
      <vt:lpstr>Mar 2026</vt:lpstr>
      <vt:lpstr>Apr 2026</vt:lpstr>
      <vt:lpstr>May 2026</vt:lpstr>
      <vt:lpstr>Jun 2026</vt:lpstr>
      <vt:lpstr>Jul 2026</vt:lpstr>
      <vt:lpstr>Aug 2026</vt:lpstr>
      <vt:lpstr>Sep 2026</vt:lpstr>
      <vt:lpstr>Oct 2026</vt:lpstr>
      <vt:lpstr>Nov 2026</vt:lpstr>
      <vt:lpstr>Dec 2026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Youngwoo Ledger Template</dc:creator>
  <cp:lastModifiedBy>Youngwoo Ledger Template</cp:lastModifiedBy>
  <dcterms:created xsi:type="dcterms:W3CDTF">2026-08-16T22:59:43Z</dcterms:created>
  <dcterms:modified xsi:type="dcterms:W3CDTF">2026-08-16T22:59:43Z</dcterms:modified>
</cp:coreProperties>
</file>