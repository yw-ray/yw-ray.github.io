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1548.0</v>
      </c>
      <c r="C14" s="3">
        <f>'Sep 2026'!$B$6</f>
        <v>1830.17</v>
      </c>
      <c r="D14" s="3">
        <f>'Sep 2026'!$B$7</f>
        <v>0.0</v>
      </c>
      <c r="E14" s="3">
        <f>'Sep 2026'!$B$8</f>
        <v>106.0</v>
      </c>
      <c r="F14" s="3">
        <f>'Sep 2026'!$B$9</f>
        <v>-282.17</v>
      </c>
      <c r="G14" s="3">
        <f>'Sep 2026'!$B$10</f>
        <v>8560.07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  <c r="G18" s="3">
        <f>LOOKUP(2,1/(G6:G17&lt;&gt;0),G6:G17)</f>
        <v>8560.07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/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/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/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/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/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/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/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/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/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/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/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/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/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/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/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/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/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/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/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/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/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/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/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/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/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/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/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/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/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/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/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/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/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/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/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/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/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/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/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/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/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/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/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/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/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/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/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/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/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/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/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/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/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/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/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/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/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/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/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/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/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/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/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/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/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/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/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/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/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/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/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/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/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IF(A102="","",IF(DAY(A102)&lt;=2,1,IF(DAY(A102)&lt;=9,2,IF(DAY(A102)&lt;=16,3,IF(DAY(A102)&lt;=23,4,5)))))</f>
        <v/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IF(A103="","",IF(DAY(A103)&lt;=2,1,IF(DAY(A103)&lt;=9,2,IF(DAY(A103)&lt;=16,3,IF(DAY(A103)&lt;=23,4,5)))))</f>
        <v/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IF(A104="","",IF(DAY(A104)&lt;=2,1,IF(DAY(A104)&lt;=9,2,IF(DAY(A104)&lt;=16,3,IF(DAY(A104)&lt;=23,4,5)))))</f>
        <v/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IF(A105="","",IF(DAY(A105)&lt;=2,1,IF(DAY(A105)&lt;=9,2,IF(DAY(A105)&lt;=16,3,IF(DAY(A105)&lt;=23,4,5)))))</f>
        <v/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IF(A106="","",IF(DAY(A106)&lt;=2,1,IF(DAY(A106)&lt;=9,2,IF(DAY(A106)&lt;=16,3,IF(DAY(A106)&lt;=23,4,5)))))</f>
        <v/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IF(A107="","",IF(DAY(A107)&lt;=2,1,IF(DAY(A107)&lt;=9,2,IF(DAY(A107)&lt;=16,3,IF(DAY(A107)&lt;=23,4,5)))))</f>
        <v/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IF(A108="","",IF(DAY(A108)&lt;=2,1,IF(DAY(A108)&lt;=9,2,IF(DAY(A108)&lt;=16,3,IF(DAY(A108)&lt;=23,4,5)))))</f>
        <v/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IF(A109="","",IF(DAY(A109)&lt;=2,1,IF(DAY(A109)&lt;=9,2,IF(DAY(A109)&lt;=16,3,IF(DAY(A109)&lt;=23,4,5)))))</f>
        <v/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IF(A110="","",IF(DAY(A110)&lt;=2,1,IF(DAY(A110)&lt;=9,2,IF(DAY(A110)&lt;=16,3,IF(DAY(A110)&lt;=23,4,5)))))</f>
        <v/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IF(A111="","",IF(DAY(A111)&lt;=2,1,IF(DAY(A111)&lt;=9,2,IF(DAY(A111)&lt;=16,3,IF(DAY(A111)&lt;=23,4,5)))))</f>
        <v/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IF(A112="","",IF(DAY(A112)&lt;=2,1,IF(DAY(A112)&lt;=9,2,IF(DAY(A112)&lt;=16,3,IF(DAY(A112)&lt;=23,4,5)))))</f>
        <v/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IF(A113="","",IF(DAY(A113)&lt;=2,1,IF(DAY(A113)&lt;=9,2,IF(DAY(A113)&lt;=16,3,IF(DAY(A113)&lt;=23,4,5)))))</f>
        <v/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IF(A114="","",IF(DAY(A114)&lt;=2,1,IF(DAY(A114)&lt;=9,2,IF(DAY(A114)&lt;=16,3,IF(DAY(A114)&lt;=23,4,5)))))</f>
        <v/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IF(A115="","",IF(DAY(A115)&lt;=2,1,IF(DAY(A115)&lt;=9,2,IF(DAY(A115)&lt;=16,3,IF(DAY(A115)&lt;=23,4,5)))))</f>
        <v/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IF(A116="","",IF(DAY(A116)&lt;=2,1,IF(DAY(A116)&lt;=9,2,IF(DAY(A116)&lt;=16,3,IF(DAY(A116)&lt;=23,4,5)))))</f>
        <v/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IF(A117="","",IF(DAY(A117)&lt;=2,1,IF(DAY(A117)&lt;=9,2,IF(DAY(A117)&lt;=16,3,IF(DAY(A117)&lt;=23,4,5)))))</f>
        <v/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IF(A118="","",IF(DAY(A118)&lt;=2,1,IF(DAY(A118)&lt;=9,2,IF(DAY(A118)&lt;=16,3,IF(DAY(A118)&lt;=23,4,5)))))</f>
        <v/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1548.0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1830.17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280.32</v>
      </c>
      <c r="J7" s="3">
        <f>SUMIFS($J$29:$J$528,$B$29:$B$528,2,$I$29:$I$528,"Income")</f>
        <v>1548.0</v>
      </c>
      <c r="K7" s="3">
        <f>J7-I7</f>
        <v>1267.68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141.63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0.0</v>
      </c>
      <c r="J8" s="3">
        <f>SUMIFS($J$29:$J$528,$B$29:$B$528,3,$I$29:$I$528,"Income")</f>
        <v>0.0</v>
      </c>
      <c r="K8" s="3">
        <f>J8-I8</f>
        <v>0.0</v>
      </c>
    </row>
    <row r="9">
      <c r="A9" s="5" t="inlineStr">
        <is>
          <t>Net Cash Flow</t>
        </is>
      </c>
      <c r="B9" s="3">
        <f>B5-B6</f>
        <v>-282.17</v>
      </c>
      <c r="D9" s="5" t="inlineStr">
        <is>
          <t>Dining</t>
        </is>
      </c>
      <c r="E9" s="3">
        <f>SUMIFS($J$29:$J$528,$E$29:$E$528,$D9,$I$29:$I$528,"Expense")</f>
        <v>41.36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8560.07</v>
      </c>
      <c r="D10" s="5" t="inlineStr">
        <is>
          <t>Transportation</t>
        </is>
      </c>
      <c r="E10" s="3">
        <f>SUMIFS($J$29:$J$528,$E$29:$E$528,$D10,$I$29:$I$528,"Expense")</f>
        <v>47.0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282.1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67.88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1548.0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 t="n"/>
      <c r="B69" s="9">
        <f>IF(A69="","",INT(DAY(A69)/7)+1)</f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IF(A70="","",INT(DAY(A70)/7)+1)</f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IF(A71="","",INT(DAY(A71)/7)+1)</f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IF(A72="","",INT(DAY(A72)/7)+1)</f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IF(A73="","",INT(DAY(A73)/7)+1)</f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IF(A74="","",INT(DAY(A74)/7)+1)</f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IF(A75="","",INT(DAY(A75)/7)+1)</f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IF(A76="","",INT(DAY(A76)/7)+1)</f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IF(A77="","",INT(DAY(A77)/7)+1)</f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IF(A78="","",INT(DAY(A78)/7)+1)</f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IF(A79="","",INT(DAY(A79)/7)+1)</f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IF(A80="","",INT(DAY(A80)/7)+1)</f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IF(A81="","",INT(DAY(A81)/7)+1)</f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